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.A.D" sheetId="1" r:id="rId5"/>
    <sheet state="visible" name="The Ender" sheetId="2" r:id="rId6"/>
    <sheet state="visible" name="Rocinante" sheetId="3" r:id="rId7"/>
    <sheet state="visible" name="Lego Requin" sheetId="4" r:id="rId8"/>
    <sheet state="visible" name="Poings de Shiva" sheetId="5" r:id="rId9"/>
    <sheet state="visible" name="Pokebots" sheetId="6" r:id="rId10"/>
    <sheet state="visible" name="Shadow Runners" sheetId="7" r:id="rId11"/>
  </sheets>
  <definedNames/>
  <calcPr/>
</workbook>
</file>

<file path=xl/sharedStrings.xml><?xml version="1.0" encoding="utf-8"?>
<sst xmlns="http://schemas.openxmlformats.org/spreadsheetml/2006/main" count="736" uniqueCount="328">
  <si>
    <t>Frigate</t>
  </si>
  <si>
    <t>Battlecruiser</t>
  </si>
  <si>
    <t>Taille 3</t>
  </si>
  <si>
    <t>Taille</t>
  </si>
  <si>
    <t>Fuel</t>
  </si>
  <si>
    <t>Deuterium</t>
  </si>
  <si>
    <t>%</t>
  </si>
  <si>
    <t>PROFIL</t>
  </si>
  <si>
    <t>LIVRE DE COMPTES</t>
  </si>
  <si>
    <t>PERSONNEL</t>
  </si>
  <si>
    <t>Infrastructure</t>
  </si>
  <si>
    <t>Valeur</t>
  </si>
  <si>
    <t>R&amp;D</t>
  </si>
  <si>
    <t>Modules</t>
  </si>
  <si>
    <t>&lt; ---</t>
  </si>
  <si>
    <t>t</t>
  </si>
  <si>
    <t>kt</t>
  </si>
  <si>
    <t>Sail</t>
  </si>
  <si>
    <t>Bridge</t>
  </si>
  <si>
    <t>Laboratoire</t>
  </si>
  <si>
    <t>1,000 crédits</t>
  </si>
  <si>
    <t>Weapons</t>
  </si>
  <si>
    <t>Trésorerie</t>
  </si>
  <si>
    <t>jours</t>
  </si>
  <si>
    <t>Classe : MCRN Scirocco</t>
  </si>
  <si>
    <t>VIP</t>
  </si>
  <si>
    <t>Classe : MCRN Rocinante</t>
  </si>
  <si>
    <t>CPU</t>
  </si>
  <si>
    <t>MH</t>
  </si>
  <si>
    <t>crédits</t>
  </si>
  <si>
    <t>Cargo</t>
  </si>
  <si>
    <t>Heat sink</t>
  </si>
  <si>
    <t>Salariés</t>
  </si>
  <si>
    <t>Engine</t>
  </si>
  <si>
    <t>Sensors</t>
  </si>
  <si>
    <t>Radiator</t>
  </si>
  <si>
    <t>rounds (eco)</t>
  </si>
  <si>
    <t>rounds at 1g</t>
  </si>
  <si>
    <t>rounds (burst)</t>
  </si>
  <si>
    <t>+5D</t>
  </si>
  <si>
    <t>+2D</t>
  </si>
  <si>
    <t>Influence</t>
  </si>
  <si>
    <t>Siège</t>
  </si>
  <si>
    <t>Chiffre d'affaire</t>
  </si>
  <si>
    <t>crédits / mois</t>
  </si>
  <si>
    <t>Industrie</t>
  </si>
  <si>
    <t>Chantier orbital</t>
  </si>
  <si>
    <t>100,000 crédits</t>
  </si>
  <si>
    <t>Management</t>
  </si>
  <si>
    <t>Noms</t>
  </si>
  <si>
    <t>Qté</t>
  </si>
  <si>
    <t>Salaire</t>
  </si>
  <si>
    <t>Total</t>
  </si>
  <si>
    <t>Armement</t>
  </si>
  <si>
    <t>Exploitations</t>
  </si>
  <si>
    <t>Population</t>
  </si>
  <si>
    <t>Part</t>
  </si>
  <si>
    <t>Accel</t>
  </si>
  <si>
    <t>Staff</t>
  </si>
  <si>
    <t>Administration</t>
  </si>
  <si>
    <t>Stark</t>
  </si>
  <si>
    <t>+3D</t>
  </si>
  <si>
    <t>Agility</t>
  </si>
  <si>
    <t>Sony cybersecurity</t>
  </si>
  <si>
    <t>Auxiliary</t>
  </si>
  <si>
    <t>Thrusters</t>
  </si>
  <si>
    <t>Thermos imaging</t>
  </si>
  <si>
    <t>Propulsion</t>
  </si>
  <si>
    <t>Tau Ceti</t>
  </si>
  <si>
    <t>MICF-AM</t>
  </si>
  <si>
    <t>PW</t>
  </si>
  <si>
    <t>Epstein drive</t>
  </si>
  <si>
    <t>TW</t>
  </si>
  <si>
    <t>Cooling</t>
  </si>
  <si>
    <t>Angel</t>
  </si>
  <si>
    <t>MICFAM</t>
  </si>
  <si>
    <t xml:space="preserve">   Combat (low)</t>
  </si>
  <si>
    <t xml:space="preserve">   Combat</t>
  </si>
  <si>
    <t>g</t>
  </si>
  <si>
    <t>YZ Ceti</t>
  </si>
  <si>
    <t>% MH / round</t>
  </si>
  <si>
    <t>ton / round</t>
  </si>
  <si>
    <t>kton / round</t>
  </si>
  <si>
    <t>Armure</t>
  </si>
  <si>
    <t xml:space="preserve">   Combat (medium)</t>
  </si>
  <si>
    <t>Sécurité</t>
  </si>
  <si>
    <t>DDE</t>
  </si>
  <si>
    <t xml:space="preserve">   Cruise</t>
  </si>
  <si>
    <t>(pré-requis)</t>
  </si>
  <si>
    <t>D</t>
  </si>
  <si>
    <t>ton / jour</t>
  </si>
  <si>
    <t xml:space="preserve">      Surface</t>
  </si>
  <si>
    <t>Waste heat</t>
  </si>
  <si>
    <t>Mass</t>
  </si>
  <si>
    <t>Actual</t>
  </si>
  <si>
    <t>Kapteyn</t>
  </si>
  <si>
    <t>GW</t>
  </si>
  <si>
    <t>Marketing</t>
  </si>
  <si>
    <t>Landa</t>
  </si>
  <si>
    <t xml:space="preserve">   Combat (high)</t>
  </si>
  <si>
    <t>Operating time (radiators retracted)</t>
  </si>
  <si>
    <t>Standard (wet)</t>
  </si>
  <si>
    <t>Radiators</t>
  </si>
  <si>
    <t>Dusty plasma</t>
  </si>
  <si>
    <t>UV Ceti</t>
  </si>
  <si>
    <t>Standard (dry)</t>
  </si>
  <si>
    <t>Espionnage</t>
  </si>
  <si>
    <t>Lithium hydride</t>
  </si>
  <si>
    <t>% Deuterium / jour</t>
  </si>
  <si>
    <t>Tork</t>
  </si>
  <si>
    <t>TJ</t>
  </si>
  <si>
    <t>kton / jour</t>
  </si>
  <si>
    <t>seconds at full power</t>
  </si>
  <si>
    <t>budget restant :</t>
  </si>
  <si>
    <t>GJ</t>
  </si>
  <si>
    <t>Teegarden</t>
  </si>
  <si>
    <t>Chrome</t>
  </si>
  <si>
    <t>g-seconds</t>
  </si>
  <si>
    <t>Cargo (full speed)</t>
  </si>
  <si>
    <t>Epsilon Eridani</t>
  </si>
  <si>
    <t>Armor</t>
  </si>
  <si>
    <t>Nebuleuse</t>
  </si>
  <si>
    <t>Laser (D=10m, range 300 km)</t>
  </si>
  <si>
    <t>Van Maanen</t>
  </si>
  <si>
    <t>Cargo (half speed)</t>
  </si>
  <si>
    <t>Management AI</t>
  </si>
  <si>
    <t>Phoenix</t>
  </si>
  <si>
    <t>Fateh 2x500 kg</t>
  </si>
  <si>
    <t>(lance missile)</t>
  </si>
  <si>
    <t>g / cm² (25% coverage)</t>
  </si>
  <si>
    <t>Torpilles d'excavation</t>
  </si>
  <si>
    <t>TZ Arietis</t>
  </si>
  <si>
    <t>Laser (D=50m, range 15,000 km)</t>
  </si>
  <si>
    <t>Laser civil x 2</t>
  </si>
  <si>
    <t>Echelle</t>
  </si>
  <si>
    <t xml:space="preserve"> = armure 4</t>
  </si>
  <si>
    <t>Laser militaire</t>
  </si>
  <si>
    <t>10 salariés</t>
  </si>
  <si>
    <t>Point defense (10 x gatling)</t>
  </si>
  <si>
    <t>Gliese 1002</t>
  </si>
  <si>
    <t>Miscellaneous</t>
  </si>
  <si>
    <t>Point defense (100 x 10t artillery)</t>
  </si>
  <si>
    <t>VIP wheel</t>
  </si>
  <si>
    <t>Cargo bay</t>
  </si>
  <si>
    <t>Tourelle coilgun (L=30m)</t>
  </si>
  <si>
    <t>Représentant</t>
  </si>
  <si>
    <t>Dimensions</t>
  </si>
  <si>
    <t>Length</t>
  </si>
  <si>
    <t>m</t>
  </si>
  <si>
    <t>Tubes : 100 x Falaq (100 kg missile)</t>
  </si>
  <si>
    <t>Diameter</t>
  </si>
  <si>
    <t>Keel coilgun (L=30m)</t>
  </si>
  <si>
    <t>Munitions</t>
  </si>
  <si>
    <t>100 salariés dans 10 systèmes</t>
  </si>
  <si>
    <t>Structure</t>
  </si>
  <si>
    <t>Falaq</t>
  </si>
  <si>
    <t>Gliese 1005</t>
  </si>
  <si>
    <t>Sécurité / Maintenance</t>
  </si>
  <si>
    <t>Tubes : 10 x Stinger (10 kg missile)</t>
  </si>
  <si>
    <t>Power</t>
  </si>
  <si>
    <t>Volume</t>
  </si>
  <si>
    <t>Stinger</t>
  </si>
  <si>
    <t>Life support</t>
  </si>
  <si>
    <t>CARGO</t>
  </si>
  <si>
    <t>Imprimante indus x2</t>
  </si>
  <si>
    <t>Scrap</t>
  </si>
  <si>
    <t xml:space="preserve">environnement de programmation </t>
  </si>
  <si>
    <t>m3</t>
  </si>
  <si>
    <t>Surface</t>
  </si>
  <si>
    <t>composants</t>
  </si>
  <si>
    <t>kg</t>
  </si>
  <si>
    <t xml:space="preserve">atelier d'ingénieur </t>
  </si>
  <si>
    <t>biogel</t>
  </si>
  <si>
    <t>Cuve Bacta</t>
  </si>
  <si>
    <t>nanomat</t>
  </si>
  <si>
    <t>m²</t>
  </si>
  <si>
    <t>Hangar</t>
  </si>
  <si>
    <t>Frigates (MCRN Rocinante)</t>
  </si>
  <si>
    <t>x</t>
  </si>
  <si>
    <t>1,000 salariés dans 100 systèmes</t>
  </si>
  <si>
    <t>Sirius</t>
  </si>
  <si>
    <t>Stratios</t>
  </si>
  <si>
    <t>Density</t>
  </si>
  <si>
    <t>10,000 salariés dans tout le Consortium</t>
  </si>
  <si>
    <t>Chercheurs</t>
  </si>
  <si>
    <t>Megacorporation, millions d'affiliés</t>
  </si>
  <si>
    <t>t / m3</t>
  </si>
  <si>
    <t>Recettes</t>
  </si>
  <si>
    <t>Wasp</t>
  </si>
  <si>
    <t>Copyrights</t>
  </si>
  <si>
    <t>Droide taille 0</t>
  </si>
  <si>
    <t>Nation, billions de citoyens</t>
  </si>
  <si>
    <t>10 to 30 crew members</t>
  </si>
  <si>
    <t>Sponsors</t>
  </si>
  <si>
    <t>Skillsofts</t>
  </si>
  <si>
    <t>Maintenance</t>
  </si>
  <si>
    <t>Equipage Ender</t>
  </si>
  <si>
    <t>Nebula</t>
  </si>
  <si>
    <t>Exploitation</t>
  </si>
  <si>
    <t>Toutes les ressources appartiennent au Consortium</t>
  </si>
  <si>
    <t>Requin</t>
  </si>
  <si>
    <t>Escorte Stratios</t>
  </si>
  <si>
    <t>Bender</t>
  </si>
  <si>
    <t>Exploitation automatisée à hauteur de la population</t>
  </si>
  <si>
    <t>Surplus &gt; moitié est exporté au hub le plus proche</t>
  </si>
  <si>
    <t>cred / mois</t>
  </si>
  <si>
    <t>Le reste est distribué au prorata de citoyens</t>
  </si>
  <si>
    <t>Dépenses</t>
  </si>
  <si>
    <t>Salaires</t>
  </si>
  <si>
    <t>Taxe Legion (Tau Ceti)</t>
  </si>
  <si>
    <t>Carac</t>
  </si>
  <si>
    <t>Expertises</t>
  </si>
  <si>
    <t>Historiques</t>
  </si>
  <si>
    <t>Mods</t>
  </si>
  <si>
    <t>Damage</t>
  </si>
  <si>
    <t>AP</t>
  </si>
  <si>
    <t>RAF</t>
  </si>
  <si>
    <t>Ext</t>
  </si>
  <si>
    <t>Derm</t>
  </si>
  <si>
    <t>Int</t>
  </si>
  <si>
    <t>Corps</t>
  </si>
  <si>
    <t>+4</t>
  </si>
  <si>
    <t>Arts martiaux</t>
  </si>
  <si>
    <t>Moine-guerrier</t>
  </si>
  <si>
    <t>Reflexes +1</t>
  </si>
  <si>
    <t>Reflexes 4</t>
  </si>
  <si>
    <t>Monoclaws</t>
  </si>
  <si>
    <t>1+</t>
  </si>
  <si>
    <t>x4</t>
  </si>
  <si>
    <t>mains + pieds</t>
  </si>
  <si>
    <t>Hu Shan</t>
  </si>
  <si>
    <t>Processeur</t>
  </si>
  <si>
    <t>Volonté</t>
  </si>
  <si>
    <t>Cyberlegs</t>
  </si>
  <si>
    <t>Dam</t>
  </si>
  <si>
    <t>Monotail</t>
  </si>
  <si>
    <t>0+</t>
  </si>
  <si>
    <t>1m</t>
  </si>
  <si>
    <t>3m</t>
  </si>
  <si>
    <t>10m</t>
  </si>
  <si>
    <t>x1</t>
  </si>
  <si>
    <t>"Mountain Tiger"</t>
  </si>
  <si>
    <t>Esprit</t>
  </si>
  <si>
    <t>Yeux de félin</t>
  </si>
  <si>
    <t>+5</t>
  </si>
  <si>
    <t>Empathie</t>
  </si>
  <si>
    <t>Show biz</t>
  </si>
  <si>
    <t>Pokebot</t>
  </si>
  <si>
    <t>Nopain</t>
  </si>
  <si>
    <t>Taille -1</t>
  </si>
  <si>
    <t>Electron+</t>
  </si>
  <si>
    <t>6 EMP</t>
  </si>
  <si>
    <t>1/sec</t>
  </si>
  <si>
    <t>AP 6</t>
  </si>
  <si>
    <t>AP 5</t>
  </si>
  <si>
    <t>AP 4</t>
  </si>
  <si>
    <t>Injecteur (Stim + dopant)</t>
  </si>
  <si>
    <t>Pikashoot</t>
  </si>
  <si>
    <t>Militaire</t>
  </si>
  <si>
    <t>Modder</t>
  </si>
  <si>
    <t>Cout / 2</t>
  </si>
  <si>
    <t>Oversized battery (8)</t>
  </si>
  <si>
    <t>Vapeur électrifiée (juste pour le style)</t>
  </si>
  <si>
    <t>Shield</t>
  </si>
  <si>
    <t>+3</t>
  </si>
  <si>
    <t>Tir</t>
  </si>
  <si>
    <t>Membres supp : 6</t>
  </si>
  <si>
    <t>Revolver (bolt)</t>
  </si>
  <si>
    <t>x6</t>
  </si>
  <si>
    <t>Glocktopus</t>
  </si>
  <si>
    <t>+1</t>
  </si>
  <si>
    <t>x2</t>
  </si>
  <si>
    <t>Infiltration</t>
  </si>
  <si>
    <t>Cyborg</t>
  </si>
  <si>
    <t>cout mods/2</t>
  </si>
  <si>
    <t>Reflexes +2</t>
  </si>
  <si>
    <t>Monokunai</t>
  </si>
  <si>
    <t>Poison 10</t>
  </si>
  <si>
    <t>Kagenkumo</t>
  </si>
  <si>
    <t>30m</t>
  </si>
  <si>
    <t>100m</t>
  </si>
  <si>
    <t>300m</t>
  </si>
  <si>
    <t>Assassinat</t>
  </si>
  <si>
    <t>Shinobi</t>
  </si>
  <si>
    <t>1v1</t>
  </si>
  <si>
    <t>Overclock +2</t>
  </si>
  <si>
    <t>Taille 1</t>
  </si>
  <si>
    <t>Monowire</t>
  </si>
  <si>
    <t>Hacker</t>
  </si>
  <si>
    <t>Heavy laser x 5</t>
  </si>
  <si>
    <t>Elfe chromé</t>
  </si>
  <si>
    <t>5/sec</t>
  </si>
  <si>
    <t>cyber / 2</t>
  </si>
  <si>
    <t>"Shadow Spider"</t>
  </si>
  <si>
    <t>Laserhino</t>
  </si>
  <si>
    <t>Toile mortelle</t>
  </si>
  <si>
    <t>Encumbered</t>
  </si>
  <si>
    <t>Monowires x6</t>
  </si>
  <si>
    <t>x5</t>
  </si>
  <si>
    <t>Membres supp x 4</t>
  </si>
  <si>
    <t>x30</t>
  </si>
  <si>
    <t>Street doc</t>
  </si>
  <si>
    <t>Vision +3 (IR, EM)</t>
  </si>
  <si>
    <t>+1D Proc</t>
  </si>
  <si>
    <t>Predator + gecko</t>
  </si>
  <si>
    <t>SMG arm (smart)</t>
  </si>
  <si>
    <t>Lockpick</t>
  </si>
  <si>
    <t>Rigger</t>
  </si>
  <si>
    <t>drones / 2</t>
  </si>
  <si>
    <t>Batterie supp</t>
  </si>
  <si>
    <t>Biologie</t>
  </si>
  <si>
    <t>Face</t>
  </si>
  <si>
    <t>Baston</t>
  </si>
  <si>
    <t>Troll</t>
  </si>
  <si>
    <t>Clé à molette +1</t>
  </si>
  <si>
    <t>Big Mac</t>
  </si>
  <si>
    <t>Bourrin</t>
  </si>
  <si>
    <t>+1D Corps</t>
  </si>
  <si>
    <t>Claymore +1</t>
  </si>
  <si>
    <t>Orc</t>
  </si>
  <si>
    <t>Predator</t>
  </si>
  <si>
    <t>Needler</t>
  </si>
  <si>
    <t>Torc</t>
  </si>
  <si>
    <t>Exfiltration</t>
  </si>
  <si>
    <t>Ninja</t>
  </si>
  <si>
    <t>Gecko</t>
  </si>
  <si>
    <t>Monosting</t>
  </si>
  <si>
    <t>Mono arm x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</si>
</sst>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E+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4.0"/>
      <color theme="1"/>
      <name val="Arial"/>
      <scheme val="minor"/>
    </font>
    <font>
      <b/>
      <sz val="14.0"/>
      <color theme="1"/>
      <name val="Arial"/>
      <scheme val="minor"/>
    </font>
    <font>
      <sz val="14.0"/>
      <color rgb="FF242529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 readingOrder="0"/>
    </xf>
    <xf borderId="0" fillId="2" fontId="2" numFmtId="0" xfId="0" applyAlignment="1" applyFill="1" applyFont="1">
      <alignment horizontal="left"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1" fillId="2" fontId="1" numFmtId="0" xfId="0" applyAlignment="1" applyBorder="1" applyFill="1" applyFont="1">
      <alignment horizontal="center"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3" fontId="2" numFmtId="0" xfId="0" applyAlignment="1" applyFill="1" applyFont="1">
      <alignment readingOrder="0"/>
    </xf>
    <xf borderId="0" fillId="0" fontId="1" numFmtId="0" xfId="0" applyFont="1"/>
    <xf borderId="0" fillId="4" fontId="1" numFmtId="0" xfId="0" applyAlignment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0" fontId="1" numFmtId="1" xfId="0" applyFont="1" applyNumberFormat="1"/>
    <xf borderId="0" fillId="3" fontId="1" numFmtId="0" xfId="0" applyAlignment="1" applyFill="1" applyFont="1">
      <alignment readingOrder="0"/>
    </xf>
    <xf borderId="0" fillId="2" fontId="1" numFmtId="0" xfId="0" applyFill="1" applyFont="1"/>
    <xf borderId="0" fillId="3" fontId="1" numFmtId="1" xfId="0" applyAlignment="1" applyFill="1" applyFont="1" applyNumberFormat="1">
      <alignment horizontal="center" readingOrder="0"/>
    </xf>
    <xf borderId="0" fillId="3" fontId="1" numFmtId="0" xfId="0" applyFill="1" applyFont="1"/>
    <xf borderId="0" fillId="5" fontId="1" numFmtId="0" xfId="0" applyAlignment="1" applyFill="1" applyFont="1">
      <alignment horizontal="center" readingOrder="0"/>
    </xf>
    <xf borderId="0" fillId="2" fontId="2" numFmtId="0" xfId="0" applyAlignment="1" applyFill="1" applyFont="1">
      <alignment readingOrder="0"/>
    </xf>
    <xf borderId="0" fillId="3" fontId="1" numFmtId="0" xfId="0" applyAlignment="1" applyFill="1" applyFont="1">
      <alignment horizontal="center" readingOrder="0"/>
    </xf>
    <xf quotePrefix="1" borderId="2" fillId="2" fontId="1" numFmtId="0" xfId="0" applyAlignment="1" applyBorder="1" applyFill="1" applyFont="1">
      <alignment horizontal="center" readingOrder="0"/>
    </xf>
    <xf borderId="0" fillId="3" fontId="1" numFmtId="1" xfId="0" applyAlignment="1" applyFill="1" applyFont="1" applyNumberFormat="1">
      <alignment horizontal="center"/>
    </xf>
    <xf borderId="3" fillId="2" fontId="1" numFmtId="0" xfId="0" applyAlignment="1" applyBorder="1" applyFill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/>
    </xf>
    <xf quotePrefix="1" borderId="0" fillId="0" fontId="1" numFmtId="0" xfId="0" applyAlignment="1" applyFont="1">
      <alignment horizontal="center" readingOrder="0"/>
    </xf>
    <xf borderId="4" fillId="2" fontId="1" numFmtId="1" xfId="0" applyAlignment="1" applyBorder="1" applyFill="1" applyFont="1" applyNumberFormat="1">
      <alignment horizontal="center" readingOrder="0"/>
    </xf>
    <xf borderId="0" fillId="2" fontId="1" numFmtId="1" xfId="0" applyAlignment="1" applyFill="1" applyFont="1" applyNumberFormat="1">
      <alignment horizontal="center" readingOrder="0"/>
    </xf>
    <xf borderId="0" fillId="0" fontId="1" numFmtId="1" xfId="0" applyAlignment="1" applyFont="1" applyNumberFormat="1">
      <alignment horizontal="center" readingOrder="0"/>
    </xf>
    <xf borderId="1" fillId="2" fontId="1" numFmtId="1" xfId="0" applyAlignment="1" applyBorder="1" applyFill="1" applyFont="1" applyNumberFormat="1">
      <alignment horizontal="center" readingOrder="0"/>
    </xf>
    <xf borderId="0" fillId="0" fontId="1" numFmtId="9" xfId="0" applyAlignment="1" applyFont="1" applyNumberFormat="1">
      <alignment horizontal="center" readingOrder="0"/>
    </xf>
    <xf borderId="2" fillId="2" fontId="1" numFmtId="1" xfId="0" applyAlignment="1" applyBorder="1" applyFill="1" applyFont="1" applyNumberForma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0" fontId="1" numFmtId="1" xfId="0" applyAlignment="1" applyFont="1" applyNumberFormat="1">
      <alignment readingOrder="0"/>
    </xf>
    <xf borderId="0" fillId="2" fontId="1" numFmtId="3" xfId="0" applyAlignment="1" applyFill="1" applyFont="1" applyNumberFormat="1">
      <alignment horizontal="right" readingOrder="0"/>
    </xf>
    <xf borderId="0" fillId="0" fontId="1" numFmtId="164" xfId="0" applyAlignment="1" applyFont="1" applyNumberFormat="1">
      <alignment readingOrder="0"/>
    </xf>
    <xf borderId="0" fillId="2" fontId="1" numFmtId="3" xfId="0" applyAlignment="1" applyFill="1" applyFont="1" applyNumberFormat="1">
      <alignment horizontal="right"/>
    </xf>
    <xf borderId="0" fillId="0" fontId="1" numFmtId="0" xfId="0" applyAlignment="1" applyFont="1">
      <alignment horizontal="right" readingOrder="0"/>
    </xf>
    <xf quotePrefix="1" borderId="0" fillId="0" fontId="1" numFmtId="0" xfId="0" applyAlignment="1" applyFont="1">
      <alignment readingOrder="0"/>
    </xf>
    <xf borderId="0" fillId="0" fontId="1" numFmtId="165" xfId="0" applyFont="1" applyNumberFormat="1"/>
    <xf borderId="0" fillId="6" fontId="5" numFmtId="0" xfId="0" applyAlignment="1" applyFill="1" applyFont="1">
      <alignment readingOrder="0" shrinkToFit="0" wrapText="0"/>
    </xf>
    <xf borderId="0" fillId="0" fontId="1" numFmtId="2" xfId="0" applyFont="1" applyNumberFormat="1"/>
    <xf borderId="0" fillId="0" fontId="1" numFmtId="164" xfId="0" applyFont="1" applyNumberFormat="1"/>
    <xf borderId="0" fillId="2" fontId="1" numFmtId="0" xfId="0" applyAlignment="1" applyFill="1" applyFont="1">
      <alignment horizontal="right" readingOrder="0"/>
    </xf>
    <xf borderId="0" fillId="2" fontId="1" numFmtId="9" xfId="0" applyAlignment="1" applyFill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2" fontId="1" numFmtId="1" xfId="0" applyAlignment="1" applyFill="1" applyFont="1" applyNumberFormat="1">
      <alignment horizontal="center"/>
    </xf>
    <xf borderId="0" fillId="0" fontId="1" numFmtId="0" xfId="0" applyAlignment="1" applyFont="1">
      <alignment horizontal="left" readingOrder="0"/>
    </xf>
    <xf borderId="5" fillId="0" fontId="1" numFmtId="0" xfId="0" applyBorder="1" applyFont="1"/>
    <xf borderId="5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933450</xdr:colOff>
      <xdr:row>0</xdr:row>
      <xdr:rowOff>0</xdr:rowOff>
    </xdr:from>
    <xdr:ext cx="9563100" cy="53816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38100</xdr:colOff>
      <xdr:row>0</xdr:row>
      <xdr:rowOff>0</xdr:rowOff>
    </xdr:from>
    <xdr:ext cx="6505575" cy="8296275"/>
    <xdr:pic>
      <xdr:nvPicPr>
        <xdr:cNvPr id="0" name="image4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27</xdr:row>
      <xdr:rowOff>190500</xdr:rowOff>
    </xdr:from>
    <xdr:ext cx="8010525" cy="44862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542925</xdr:colOff>
      <xdr:row>0</xdr:row>
      <xdr:rowOff>0</xdr:rowOff>
    </xdr:from>
    <xdr:ext cx="4972050" cy="5219700"/>
    <xdr:pic>
      <xdr:nvPicPr>
        <xdr:cNvPr id="0" name="image3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4.25"/>
    <col customWidth="1" min="3" max="3" width="5.88"/>
    <col customWidth="1" min="4" max="4" width="13.63"/>
    <col customWidth="1" min="5" max="5" width="21.13"/>
    <col customWidth="1" min="6" max="6" width="3.63"/>
    <col customWidth="1" min="7" max="7" width="13.38"/>
    <col customWidth="1" min="8" max="8" width="12.63"/>
    <col customWidth="1" min="9" max="9" width="5.63"/>
    <col customWidth="1" min="10" max="10" width="4.75"/>
    <col customWidth="1" min="11" max="11" width="6.75"/>
    <col customWidth="1" min="12" max="12" width="3.13"/>
    <col customWidth="1" min="13" max="13" width="15.63"/>
    <col customWidth="1" min="14" max="14" width="13.38"/>
    <col customWidth="1" min="15" max="16" width="5.13"/>
    <col customWidth="1" min="17" max="17" width="3.38"/>
    <col customWidth="1" min="18" max="18" width="5.75"/>
  </cols>
  <sheetData>
    <row r="1">
      <c r="C1" s="1"/>
      <c r="K1" s="1"/>
      <c r="Q1" s="1"/>
    </row>
    <row r="2">
      <c r="A2" s="7"/>
      <c r="B2" s="9" t="s">
        <v>7</v>
      </c>
      <c r="C2" s="7"/>
      <c r="D2" s="7"/>
      <c r="E2" s="7"/>
      <c r="F2" s="7"/>
      <c r="G2" s="9" t="s">
        <v>8</v>
      </c>
      <c r="H2" s="7"/>
      <c r="I2" s="7"/>
      <c r="J2" s="7"/>
      <c r="K2" s="10"/>
      <c r="L2" s="7"/>
      <c r="M2" s="9" t="s">
        <v>9</v>
      </c>
      <c r="N2" s="7"/>
      <c r="O2" s="7"/>
      <c r="P2" s="7"/>
      <c r="Q2" s="10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>
      <c r="C3" s="1"/>
      <c r="D3" s="6" t="s">
        <v>10</v>
      </c>
      <c r="E3" s="6" t="s">
        <v>11</v>
      </c>
      <c r="K3" s="1"/>
      <c r="Q3" s="1"/>
    </row>
    <row r="4">
      <c r="B4" s="13" t="s">
        <v>12</v>
      </c>
      <c r="C4" s="16">
        <v>2.0</v>
      </c>
      <c r="D4" s="4" t="s">
        <v>19</v>
      </c>
      <c r="E4" s="4" t="s">
        <v>20</v>
      </c>
      <c r="G4" s="13" t="s">
        <v>22</v>
      </c>
      <c r="H4" s="19"/>
      <c r="I4" s="21">
        <v>25512.0</v>
      </c>
      <c r="J4" s="19" t="s">
        <v>29</v>
      </c>
      <c r="K4" s="22"/>
      <c r="M4" s="13" t="s">
        <v>32</v>
      </c>
      <c r="N4" s="22"/>
      <c r="O4" s="22"/>
      <c r="P4" s="25">
        <f>sum(O1:O30)</f>
        <v>513</v>
      </c>
      <c r="Q4" s="10"/>
      <c r="R4" s="7"/>
    </row>
    <row r="5">
      <c r="B5" s="13" t="s">
        <v>41</v>
      </c>
      <c r="C5" s="16">
        <v>2.0</v>
      </c>
      <c r="D5" s="4" t="s">
        <v>42</v>
      </c>
      <c r="E5" s="4" t="s">
        <v>20</v>
      </c>
      <c r="G5" s="13" t="s">
        <v>43</v>
      </c>
      <c r="H5" s="22"/>
      <c r="I5" s="27">
        <f>sum(K:K)</f>
        <v>-150</v>
      </c>
      <c r="J5" s="19" t="s">
        <v>44</v>
      </c>
      <c r="K5" s="22"/>
      <c r="Q5" s="1"/>
    </row>
    <row r="6">
      <c r="B6" s="13" t="s">
        <v>45</v>
      </c>
      <c r="C6" s="16">
        <v>2.0</v>
      </c>
      <c r="D6" s="4" t="s">
        <v>46</v>
      </c>
      <c r="E6" s="4" t="s">
        <v>47</v>
      </c>
      <c r="M6" s="24" t="s">
        <v>48</v>
      </c>
      <c r="N6" s="24" t="s">
        <v>49</v>
      </c>
      <c r="O6" s="29" t="s">
        <v>50</v>
      </c>
      <c r="P6" s="24" t="s">
        <v>51</v>
      </c>
      <c r="Q6" s="30"/>
      <c r="R6" s="29" t="s">
        <v>52</v>
      </c>
    </row>
    <row r="7">
      <c r="B7" s="13" t="s">
        <v>53</v>
      </c>
      <c r="C7" s="16">
        <v>2.0</v>
      </c>
      <c r="D7" s="4" t="s">
        <v>1</v>
      </c>
      <c r="E7" s="4" t="s">
        <v>47</v>
      </c>
      <c r="G7" s="24" t="s">
        <v>54</v>
      </c>
      <c r="H7" s="29" t="s">
        <v>55</v>
      </c>
      <c r="I7" s="29" t="s">
        <v>56</v>
      </c>
      <c r="J7" s="29" t="s">
        <v>58</v>
      </c>
      <c r="K7" s="29"/>
      <c r="M7" s="4" t="s">
        <v>59</v>
      </c>
      <c r="N7" s="4" t="s">
        <v>60</v>
      </c>
      <c r="O7" s="12">
        <v>1.0</v>
      </c>
      <c r="P7" s="12">
        <v>1.0</v>
      </c>
      <c r="Q7" s="12"/>
      <c r="R7" s="33">
        <f t="shared" ref="R7:R14" si="1">if(Q7="",  O7*P7, O7*P7/12)</f>
        <v>1</v>
      </c>
    </row>
    <row r="8">
      <c r="G8" s="4" t="s">
        <v>68</v>
      </c>
      <c r="H8" s="12">
        <v>10000.0</v>
      </c>
      <c r="I8" s="36">
        <v>0.2</v>
      </c>
      <c r="J8" s="12">
        <v>50.0</v>
      </c>
      <c r="K8" s="30">
        <f t="shared" ref="K8:K18" si="2">H8*I8*0.1</f>
        <v>200</v>
      </c>
      <c r="M8" s="4" t="s">
        <v>12</v>
      </c>
      <c r="N8" s="4" t="s">
        <v>74</v>
      </c>
      <c r="O8" s="12">
        <v>1.0</v>
      </c>
      <c r="P8" s="12">
        <v>1.0</v>
      </c>
      <c r="Q8" s="12"/>
      <c r="R8" s="33">
        <f t="shared" si="1"/>
        <v>1</v>
      </c>
    </row>
    <row r="9">
      <c r="B9" s="24" t="s">
        <v>10</v>
      </c>
      <c r="C9" s="38">
        <v>1.0</v>
      </c>
      <c r="D9" s="40">
        <v>100.0</v>
      </c>
      <c r="E9" s="5" t="s">
        <v>29</v>
      </c>
      <c r="F9" s="4"/>
      <c r="G9" s="4" t="s">
        <v>79</v>
      </c>
      <c r="H9" s="12">
        <v>1000.0</v>
      </c>
      <c r="I9" s="36">
        <v>0.5</v>
      </c>
      <c r="J9" s="12">
        <v>10.0</v>
      </c>
      <c r="K9" s="30">
        <f t="shared" si="2"/>
        <v>50</v>
      </c>
      <c r="M9" s="4" t="s">
        <v>85</v>
      </c>
      <c r="N9" s="4" t="s">
        <v>86</v>
      </c>
      <c r="O9" s="12">
        <v>1.0</v>
      </c>
      <c r="P9" s="12">
        <v>1.0</v>
      </c>
      <c r="Q9" s="12"/>
      <c r="R9" s="33">
        <f t="shared" si="1"/>
        <v>1</v>
      </c>
    </row>
    <row r="10">
      <c r="B10" s="5" t="s">
        <v>88</v>
      </c>
      <c r="C10" s="38">
        <v>2.0</v>
      </c>
      <c r="D10" s="42">
        <f>10^3</f>
        <v>1000</v>
      </c>
      <c r="E10" s="5" t="s">
        <v>29</v>
      </c>
      <c r="F10" s="4"/>
      <c r="G10" s="4" t="s">
        <v>95</v>
      </c>
      <c r="H10" s="12">
        <v>500.0</v>
      </c>
      <c r="I10" s="36">
        <v>0.5</v>
      </c>
      <c r="J10" s="12">
        <v>10.0</v>
      </c>
      <c r="K10" s="30">
        <f t="shared" si="2"/>
        <v>25</v>
      </c>
      <c r="M10" s="4" t="s">
        <v>97</v>
      </c>
      <c r="N10" s="4" t="s">
        <v>98</v>
      </c>
      <c r="O10" s="12">
        <v>1.0</v>
      </c>
      <c r="P10" s="12">
        <v>1.0</v>
      </c>
      <c r="Q10" s="12"/>
      <c r="R10" s="33">
        <f t="shared" si="1"/>
        <v>1</v>
      </c>
    </row>
    <row r="11">
      <c r="B11" s="20"/>
      <c r="C11" s="38">
        <v>3.0</v>
      </c>
      <c r="D11" s="42">
        <f>10^4</f>
        <v>10000</v>
      </c>
      <c r="E11" s="5" t="s">
        <v>29</v>
      </c>
      <c r="G11" s="4" t="s">
        <v>104</v>
      </c>
      <c r="H11" s="12">
        <v>100.0</v>
      </c>
      <c r="I11" s="36">
        <v>1.0</v>
      </c>
      <c r="J11" s="12">
        <v>5.0</v>
      </c>
      <c r="K11" s="30">
        <f t="shared" si="2"/>
        <v>10</v>
      </c>
      <c r="M11" s="4" t="s">
        <v>106</v>
      </c>
      <c r="N11" s="4" t="s">
        <v>109</v>
      </c>
      <c r="O11" s="12">
        <v>1.0</v>
      </c>
      <c r="P11" s="12">
        <v>1.0</v>
      </c>
      <c r="Q11" s="12"/>
      <c r="R11" s="33">
        <f t="shared" si="1"/>
        <v>1</v>
      </c>
    </row>
    <row r="12">
      <c r="B12" s="20"/>
      <c r="C12" s="38">
        <v>4.0</v>
      </c>
      <c r="D12" s="42">
        <f>10^5</f>
        <v>100000</v>
      </c>
      <c r="E12" s="5" t="s">
        <v>29</v>
      </c>
      <c r="G12" s="4" t="s">
        <v>115</v>
      </c>
      <c r="H12" s="12">
        <v>1000.0</v>
      </c>
      <c r="I12" s="36">
        <v>0.1</v>
      </c>
      <c r="J12" s="12">
        <v>50.0</v>
      </c>
      <c r="K12" s="30">
        <f t="shared" si="2"/>
        <v>10</v>
      </c>
      <c r="M12" s="4" t="s">
        <v>68</v>
      </c>
      <c r="N12" s="4" t="s">
        <v>116</v>
      </c>
      <c r="O12" s="12">
        <v>1.0</v>
      </c>
      <c r="P12" s="12">
        <v>1.0</v>
      </c>
      <c r="Q12" s="1"/>
      <c r="R12" s="33">
        <f t="shared" si="1"/>
        <v>1</v>
      </c>
    </row>
    <row r="13">
      <c r="B13" s="20"/>
      <c r="C13" s="38">
        <v>5.0</v>
      </c>
      <c r="D13" s="42">
        <f>10^6</f>
        <v>1000000</v>
      </c>
      <c r="E13" s="5" t="s">
        <v>29</v>
      </c>
      <c r="G13" s="4" t="s">
        <v>119</v>
      </c>
      <c r="H13" s="12">
        <v>10000.0</v>
      </c>
      <c r="I13" s="36">
        <v>0.01</v>
      </c>
      <c r="J13" s="12">
        <v>50.0</v>
      </c>
      <c r="K13" s="30">
        <f t="shared" si="2"/>
        <v>10</v>
      </c>
      <c r="M13" s="4" t="s">
        <v>79</v>
      </c>
      <c r="N13" s="4" t="s">
        <v>121</v>
      </c>
      <c r="O13" s="12">
        <v>1.0</v>
      </c>
      <c r="P13" s="12">
        <v>1.0</v>
      </c>
      <c r="Q13" s="1"/>
      <c r="R13" s="33">
        <f t="shared" si="1"/>
        <v>1</v>
      </c>
    </row>
    <row r="14">
      <c r="B14" s="20"/>
      <c r="C14" s="38">
        <v>6.0</v>
      </c>
      <c r="D14" s="42">
        <f>10^9</f>
        <v>1000000000</v>
      </c>
      <c r="E14" s="5" t="s">
        <v>29</v>
      </c>
      <c r="G14" s="4" t="s">
        <v>123</v>
      </c>
      <c r="H14" s="12">
        <v>50.0</v>
      </c>
      <c r="I14" s="36">
        <v>1.0</v>
      </c>
      <c r="J14" s="12">
        <v>5.0</v>
      </c>
      <c r="K14" s="30">
        <f t="shared" si="2"/>
        <v>5</v>
      </c>
      <c r="M14" s="4" t="s">
        <v>125</v>
      </c>
      <c r="N14" s="4" t="s">
        <v>126</v>
      </c>
      <c r="O14" s="12">
        <v>11.0</v>
      </c>
      <c r="P14" s="12">
        <v>1.0</v>
      </c>
      <c r="Q14" s="1"/>
      <c r="R14" s="33">
        <f t="shared" si="1"/>
        <v>11</v>
      </c>
    </row>
    <row r="15">
      <c r="G15" s="4" t="s">
        <v>131</v>
      </c>
      <c r="H15" s="12">
        <v>50.0</v>
      </c>
      <c r="I15" s="36">
        <v>1.0</v>
      </c>
      <c r="J15" s="12">
        <v>10.0</v>
      </c>
      <c r="K15" s="30">
        <f t="shared" si="2"/>
        <v>5</v>
      </c>
      <c r="O15" s="1"/>
      <c r="P15" s="1"/>
      <c r="Q15" s="1"/>
    </row>
    <row r="16">
      <c r="B16" s="24" t="s">
        <v>134</v>
      </c>
      <c r="C16" s="38">
        <v>1.0</v>
      </c>
      <c r="D16" s="5" t="s">
        <v>137</v>
      </c>
      <c r="E16" s="20"/>
      <c r="G16" s="4" t="s">
        <v>139</v>
      </c>
      <c r="H16" s="12">
        <v>5.0</v>
      </c>
      <c r="I16" s="36">
        <v>1.0</v>
      </c>
      <c r="J16" s="12">
        <v>5.0</v>
      </c>
      <c r="K16" s="30">
        <f t="shared" si="2"/>
        <v>0.5</v>
      </c>
      <c r="M16" s="24" t="s">
        <v>58</v>
      </c>
      <c r="N16" s="24" t="s">
        <v>145</v>
      </c>
      <c r="O16" s="29" t="s">
        <v>50</v>
      </c>
      <c r="P16" s="24" t="s">
        <v>51</v>
      </c>
      <c r="Q16" s="30"/>
      <c r="R16" s="29" t="s">
        <v>52</v>
      </c>
    </row>
    <row r="17">
      <c r="B17" s="5" t="s">
        <v>88</v>
      </c>
      <c r="C17" s="38">
        <v>2.0</v>
      </c>
      <c r="D17" s="5" t="s">
        <v>153</v>
      </c>
      <c r="E17" s="20"/>
      <c r="G17" s="4" t="s">
        <v>156</v>
      </c>
      <c r="H17" s="12">
        <v>5.0</v>
      </c>
      <c r="I17" s="36">
        <v>1.0</v>
      </c>
      <c r="J17" s="12">
        <v>5.0</v>
      </c>
      <c r="K17" s="30">
        <f t="shared" si="2"/>
        <v>0.5</v>
      </c>
      <c r="M17" s="4" t="s">
        <v>157</v>
      </c>
      <c r="O17" s="38">
        <f>sum(J8:J19)</f>
        <v>200</v>
      </c>
      <c r="P17" s="12">
        <v>1.0</v>
      </c>
      <c r="Q17" s="12"/>
      <c r="R17" s="33">
        <f t="shared" ref="R17:R27" si="3">if(Q17="",  O17*P17, O17*P17/12)</f>
        <v>200</v>
      </c>
    </row>
    <row r="18">
      <c r="B18" s="20"/>
      <c r="C18" s="38">
        <v>3.0</v>
      </c>
      <c r="D18" s="5" t="s">
        <v>179</v>
      </c>
      <c r="E18" s="20"/>
      <c r="G18" s="4" t="s">
        <v>180</v>
      </c>
      <c r="H18" s="12">
        <v>1000.0</v>
      </c>
      <c r="I18" s="36">
        <v>0.0</v>
      </c>
      <c r="J18" s="12">
        <v>0.0</v>
      </c>
      <c r="K18" s="30">
        <f t="shared" si="2"/>
        <v>0</v>
      </c>
      <c r="M18" s="4" t="s">
        <v>181</v>
      </c>
      <c r="O18" s="12">
        <v>20.0</v>
      </c>
      <c r="P18" s="12">
        <v>1.0</v>
      </c>
      <c r="Q18" s="12"/>
      <c r="R18" s="33">
        <f t="shared" si="3"/>
        <v>20</v>
      </c>
    </row>
    <row r="19">
      <c r="B19" s="20"/>
      <c r="C19" s="38">
        <v>4.0</v>
      </c>
      <c r="D19" s="5" t="s">
        <v>183</v>
      </c>
      <c r="E19" s="20"/>
      <c r="M19" s="4" t="s">
        <v>184</v>
      </c>
      <c r="O19" s="12">
        <v>5.0</v>
      </c>
      <c r="P19" s="12">
        <v>2.0</v>
      </c>
      <c r="Q19" s="12"/>
      <c r="R19" s="33">
        <f t="shared" si="3"/>
        <v>10</v>
      </c>
    </row>
    <row r="20">
      <c r="B20" s="20"/>
      <c r="C20" s="38">
        <v>5.0</v>
      </c>
      <c r="D20" s="5" t="s">
        <v>185</v>
      </c>
      <c r="E20" s="20"/>
      <c r="G20" s="24" t="s">
        <v>187</v>
      </c>
      <c r="H20" s="5" t="s">
        <v>189</v>
      </c>
      <c r="J20" s="4"/>
      <c r="K20" s="38">
        <f t="shared" ref="K20:K23" si="4">10^C4</f>
        <v>100</v>
      </c>
      <c r="O20" s="12"/>
      <c r="P20" s="12"/>
      <c r="Q20" s="12"/>
      <c r="R20" s="33">
        <f t="shared" si="3"/>
        <v>0</v>
      </c>
    </row>
    <row r="21">
      <c r="B21" s="20"/>
      <c r="C21" s="38">
        <v>6.0</v>
      </c>
      <c r="D21" s="5" t="s">
        <v>191</v>
      </c>
      <c r="E21" s="20"/>
      <c r="H21" s="5" t="s">
        <v>193</v>
      </c>
      <c r="K21" s="38">
        <f t="shared" si="4"/>
        <v>100</v>
      </c>
      <c r="M21" s="4" t="s">
        <v>194</v>
      </c>
      <c r="N21" s="4" t="s">
        <v>60</v>
      </c>
      <c r="O21" s="12">
        <v>10.0</v>
      </c>
      <c r="P21" s="12">
        <v>1.0</v>
      </c>
      <c r="Q21" s="1"/>
      <c r="R21" s="33">
        <f t="shared" si="3"/>
        <v>10</v>
      </c>
    </row>
    <row r="22">
      <c r="H22" s="5" t="s">
        <v>195</v>
      </c>
      <c r="K22" s="38">
        <f t="shared" si="4"/>
        <v>100</v>
      </c>
      <c r="M22" s="4" t="s">
        <v>196</v>
      </c>
      <c r="N22" s="4" t="s">
        <v>197</v>
      </c>
      <c r="O22" s="12">
        <v>250.0</v>
      </c>
      <c r="P22" s="12">
        <v>1.0</v>
      </c>
      <c r="Q22" s="12"/>
      <c r="R22" s="33">
        <f t="shared" si="3"/>
        <v>250</v>
      </c>
    </row>
    <row r="23">
      <c r="B23" s="24" t="s">
        <v>198</v>
      </c>
      <c r="C23" s="5" t="s">
        <v>199</v>
      </c>
      <c r="D23" s="20"/>
      <c r="E23" s="20"/>
      <c r="H23" s="5" t="s">
        <v>85</v>
      </c>
      <c r="K23" s="38">
        <f t="shared" si="4"/>
        <v>100</v>
      </c>
      <c r="M23" s="4" t="s">
        <v>201</v>
      </c>
      <c r="N23" s="4" t="s">
        <v>202</v>
      </c>
      <c r="O23" s="12">
        <v>10.0</v>
      </c>
      <c r="P23" s="12">
        <v>1.0</v>
      </c>
      <c r="Q23" s="12"/>
      <c r="R23" s="33">
        <f t="shared" si="3"/>
        <v>10</v>
      </c>
    </row>
    <row r="24">
      <c r="B24" s="20"/>
      <c r="C24" s="5" t="s">
        <v>203</v>
      </c>
      <c r="D24" s="20"/>
      <c r="E24" s="20"/>
      <c r="H24" s="5" t="s">
        <v>60</v>
      </c>
      <c r="K24" s="30">
        <f>sum(K20:K23)/10</f>
        <v>40</v>
      </c>
      <c r="O24" s="12"/>
      <c r="P24" s="12"/>
      <c r="Q24" s="12"/>
      <c r="R24" s="33">
        <f t="shared" si="3"/>
        <v>0</v>
      </c>
    </row>
    <row r="25" ht="15.75" customHeight="1">
      <c r="B25" s="20"/>
      <c r="C25" s="5" t="s">
        <v>204</v>
      </c>
      <c r="D25" s="20"/>
      <c r="E25" s="20"/>
      <c r="H25" s="49" t="s">
        <v>52</v>
      </c>
      <c r="I25" s="20">
        <f>sum(K1:K24)</f>
        <v>756</v>
      </c>
      <c r="J25" s="5" t="s">
        <v>205</v>
      </c>
      <c r="K25" s="30"/>
      <c r="O25" s="12"/>
      <c r="P25" s="12"/>
      <c r="Q25" s="1"/>
      <c r="R25" s="33">
        <f t="shared" si="3"/>
        <v>0</v>
      </c>
    </row>
    <row r="26">
      <c r="B26" s="20"/>
      <c r="C26" s="5" t="s">
        <v>206</v>
      </c>
      <c r="D26" s="20"/>
      <c r="E26" s="20"/>
      <c r="K26" s="1"/>
      <c r="O26" s="1"/>
      <c r="P26" s="1"/>
      <c r="Q26" s="1"/>
      <c r="R26" s="33">
        <f t="shared" si="3"/>
        <v>0</v>
      </c>
    </row>
    <row r="27">
      <c r="G27" s="24" t="s">
        <v>207</v>
      </c>
      <c r="H27" s="5" t="s">
        <v>208</v>
      </c>
      <c r="I27" s="50">
        <f>-K27/I25</f>
        <v>0.6851851852</v>
      </c>
      <c r="K27" s="33">
        <f>-sum(R:R)</f>
        <v>-518</v>
      </c>
      <c r="O27" s="1"/>
      <c r="P27" s="1"/>
      <c r="Q27" s="1"/>
      <c r="R27" s="33">
        <f t="shared" si="3"/>
        <v>0</v>
      </c>
    </row>
    <row r="28">
      <c r="H28" s="5" t="s">
        <v>12</v>
      </c>
      <c r="I28" s="51">
        <f t="shared" ref="I28:I31" si="5">C4*5%</f>
        <v>0.1</v>
      </c>
      <c r="K28" s="52">
        <f t="shared" ref="K28:K32" si="6">-$I$25*I28</f>
        <v>-75.6</v>
      </c>
      <c r="O28" s="1"/>
      <c r="P28" s="1"/>
      <c r="Q28" s="1"/>
      <c r="R28" s="1"/>
    </row>
    <row r="29">
      <c r="H29" s="5" t="s">
        <v>97</v>
      </c>
      <c r="I29" s="51">
        <f t="shared" si="5"/>
        <v>0.1</v>
      </c>
      <c r="K29" s="52">
        <f t="shared" si="6"/>
        <v>-75.6</v>
      </c>
      <c r="O29" s="1"/>
      <c r="P29" s="1"/>
      <c r="Q29" s="1"/>
    </row>
    <row r="30">
      <c r="H30" s="5" t="s">
        <v>10</v>
      </c>
      <c r="I30" s="51">
        <f t="shared" si="5"/>
        <v>0.1</v>
      </c>
      <c r="K30" s="52">
        <f t="shared" si="6"/>
        <v>-75.6</v>
      </c>
      <c r="O30" s="1"/>
      <c r="P30" s="1"/>
      <c r="Q30" s="1"/>
    </row>
    <row r="31">
      <c r="H31" s="5" t="s">
        <v>85</v>
      </c>
      <c r="I31" s="51">
        <f t="shared" si="5"/>
        <v>0.1</v>
      </c>
      <c r="K31" s="52">
        <f t="shared" si="6"/>
        <v>-75.6</v>
      </c>
      <c r="Q31" s="1"/>
    </row>
    <row r="32">
      <c r="B32" s="4"/>
      <c r="C32" s="1"/>
      <c r="H32" s="5" t="s">
        <v>59</v>
      </c>
      <c r="I32" s="51">
        <v>0.1</v>
      </c>
      <c r="K32" s="52">
        <f t="shared" si="6"/>
        <v>-75.6</v>
      </c>
      <c r="Q32" s="1"/>
    </row>
    <row r="33">
      <c r="B33" s="4"/>
      <c r="C33" s="1"/>
      <c r="H33" s="5" t="s">
        <v>209</v>
      </c>
      <c r="I33" s="20"/>
      <c r="K33" s="33">
        <v>-10.0</v>
      </c>
      <c r="Q33" s="1"/>
    </row>
    <row r="34">
      <c r="B34" s="4"/>
      <c r="C34" s="1"/>
      <c r="Q34" s="1"/>
    </row>
    <row r="35">
      <c r="C35" s="1"/>
      <c r="Q35" s="1"/>
    </row>
    <row r="36">
      <c r="C36" s="1"/>
      <c r="Q36" s="1"/>
    </row>
    <row r="37">
      <c r="C37" s="1"/>
      <c r="Q37" s="1"/>
    </row>
    <row r="38">
      <c r="C38" s="1"/>
      <c r="K38" s="1"/>
      <c r="Q38" s="1"/>
    </row>
    <row r="39">
      <c r="C39" s="1"/>
      <c r="K39" s="1"/>
      <c r="Q39" s="1"/>
    </row>
    <row r="40">
      <c r="C40" s="1"/>
      <c r="K40" s="1"/>
      <c r="Q40" s="1"/>
    </row>
    <row r="41">
      <c r="C41" s="1"/>
      <c r="K41" s="1"/>
      <c r="Q41" s="1"/>
    </row>
    <row r="42">
      <c r="C42" s="1"/>
      <c r="K42" s="1"/>
      <c r="Q42" s="1"/>
    </row>
    <row r="43">
      <c r="C43" s="1"/>
      <c r="K43" s="1"/>
      <c r="Q43" s="1"/>
    </row>
    <row r="44">
      <c r="C44" s="1"/>
      <c r="K44" s="1"/>
      <c r="Q44" s="1"/>
    </row>
    <row r="45">
      <c r="C45" s="1"/>
      <c r="K45" s="1"/>
      <c r="Q45" s="1"/>
    </row>
    <row r="46">
      <c r="C46" s="1"/>
      <c r="K46" s="1"/>
      <c r="Q46" s="1"/>
    </row>
    <row r="47">
      <c r="C47" s="1"/>
      <c r="K47" s="1"/>
      <c r="Q47" s="1"/>
    </row>
    <row r="48">
      <c r="C48" s="1"/>
      <c r="K48" s="1"/>
      <c r="Q48" s="1"/>
    </row>
    <row r="49">
      <c r="C49" s="1"/>
      <c r="K49" s="1"/>
      <c r="Q49" s="1"/>
    </row>
    <row r="50">
      <c r="C50" s="1"/>
      <c r="K50" s="1"/>
      <c r="Q50" s="1"/>
    </row>
    <row r="51">
      <c r="C51" s="1"/>
      <c r="K51" s="1"/>
      <c r="Q51" s="1"/>
    </row>
    <row r="52">
      <c r="C52" s="1"/>
      <c r="K52" s="1"/>
      <c r="Q52" s="1"/>
    </row>
    <row r="53">
      <c r="C53" s="1"/>
      <c r="K53" s="1"/>
      <c r="Q53" s="1"/>
    </row>
    <row r="54">
      <c r="C54" s="1"/>
      <c r="K54" s="1"/>
      <c r="Q54" s="1"/>
    </row>
    <row r="55">
      <c r="C55" s="1"/>
      <c r="K55" s="1"/>
      <c r="Q55" s="1"/>
    </row>
    <row r="56">
      <c r="C56" s="1"/>
      <c r="K56" s="1"/>
      <c r="Q56" s="1"/>
    </row>
    <row r="57">
      <c r="C57" s="1"/>
      <c r="K57" s="1"/>
      <c r="Q57" s="1"/>
    </row>
    <row r="58">
      <c r="C58" s="1"/>
      <c r="K58" s="1"/>
      <c r="Q58" s="1"/>
    </row>
    <row r="59">
      <c r="C59" s="1"/>
      <c r="K59" s="1"/>
      <c r="Q59" s="1"/>
    </row>
    <row r="60">
      <c r="C60" s="1"/>
      <c r="K60" s="1"/>
      <c r="Q60" s="1"/>
    </row>
    <row r="61">
      <c r="C61" s="1"/>
      <c r="K61" s="1"/>
      <c r="Q61" s="1"/>
    </row>
    <row r="62">
      <c r="C62" s="1"/>
      <c r="K62" s="1"/>
      <c r="Q62" s="1"/>
    </row>
    <row r="63">
      <c r="C63" s="1"/>
      <c r="K63" s="1"/>
      <c r="Q63" s="1"/>
    </row>
    <row r="64">
      <c r="C64" s="1"/>
      <c r="K64" s="1"/>
      <c r="Q64" s="1"/>
    </row>
    <row r="65">
      <c r="C65" s="1"/>
      <c r="K65" s="1"/>
      <c r="Q65" s="1"/>
    </row>
    <row r="66">
      <c r="C66" s="1"/>
      <c r="K66" s="1"/>
      <c r="Q66" s="1"/>
    </row>
    <row r="67">
      <c r="C67" s="1"/>
      <c r="K67" s="1"/>
      <c r="Q67" s="1"/>
    </row>
    <row r="68">
      <c r="C68" s="1"/>
      <c r="K68" s="1"/>
      <c r="Q68" s="1"/>
    </row>
    <row r="69">
      <c r="C69" s="1"/>
      <c r="K69" s="1"/>
      <c r="Q69" s="1"/>
    </row>
    <row r="70">
      <c r="C70" s="1"/>
      <c r="K70" s="1"/>
      <c r="Q70" s="1"/>
    </row>
    <row r="71">
      <c r="C71" s="1"/>
      <c r="K71" s="1"/>
      <c r="Q71" s="1"/>
    </row>
    <row r="72">
      <c r="C72" s="1"/>
      <c r="K72" s="1"/>
      <c r="Q72" s="1"/>
    </row>
    <row r="73">
      <c r="C73" s="1"/>
      <c r="K73" s="1"/>
      <c r="Q73" s="1"/>
    </row>
    <row r="74">
      <c r="C74" s="1"/>
      <c r="K74" s="1"/>
      <c r="Q74" s="1"/>
    </row>
    <row r="75">
      <c r="C75" s="1"/>
      <c r="K75" s="1"/>
      <c r="Q75" s="1"/>
    </row>
    <row r="76">
      <c r="C76" s="1"/>
      <c r="K76" s="1"/>
      <c r="Q76" s="1"/>
    </row>
    <row r="77">
      <c r="C77" s="1"/>
      <c r="K77" s="1"/>
      <c r="Q77" s="1"/>
    </row>
    <row r="78">
      <c r="C78" s="1"/>
      <c r="K78" s="1"/>
      <c r="Q78" s="1"/>
    </row>
    <row r="79">
      <c r="C79" s="1"/>
      <c r="K79" s="1"/>
      <c r="Q79" s="1"/>
    </row>
    <row r="80">
      <c r="C80" s="1"/>
      <c r="K80" s="1"/>
      <c r="Q80" s="1"/>
    </row>
    <row r="81">
      <c r="C81" s="1"/>
      <c r="K81" s="1"/>
      <c r="Q81" s="1"/>
    </row>
    <row r="82">
      <c r="C82" s="1"/>
      <c r="K82" s="1"/>
      <c r="Q82" s="1"/>
    </row>
    <row r="83">
      <c r="C83" s="1"/>
      <c r="K83" s="1"/>
      <c r="Q83" s="1"/>
    </row>
    <row r="84">
      <c r="C84" s="1"/>
      <c r="K84" s="1"/>
      <c r="Q84" s="1"/>
    </row>
    <row r="85">
      <c r="C85" s="1"/>
      <c r="K85" s="1"/>
      <c r="Q85" s="1"/>
    </row>
    <row r="86">
      <c r="C86" s="1"/>
      <c r="K86" s="1"/>
      <c r="Q86" s="1"/>
    </row>
    <row r="87">
      <c r="C87" s="1"/>
      <c r="K87" s="1"/>
      <c r="Q87" s="1"/>
    </row>
    <row r="88">
      <c r="C88" s="1"/>
      <c r="K88" s="1"/>
      <c r="Q88" s="1"/>
    </row>
    <row r="89">
      <c r="C89" s="1"/>
      <c r="K89" s="1"/>
      <c r="Q89" s="1"/>
    </row>
    <row r="90">
      <c r="C90" s="1"/>
      <c r="K90" s="1"/>
      <c r="Q90" s="1"/>
    </row>
    <row r="91">
      <c r="C91" s="1"/>
      <c r="K91" s="1"/>
      <c r="Q91" s="1"/>
    </row>
    <row r="92">
      <c r="C92" s="1"/>
      <c r="K92" s="1"/>
      <c r="Q92" s="1"/>
    </row>
    <row r="93">
      <c r="C93" s="1"/>
      <c r="K93" s="1"/>
      <c r="Q93" s="1"/>
    </row>
    <row r="94">
      <c r="C94" s="1"/>
      <c r="K94" s="1"/>
      <c r="Q94" s="1"/>
    </row>
    <row r="95">
      <c r="C95" s="1"/>
      <c r="K95" s="1"/>
      <c r="Q95" s="1"/>
    </row>
    <row r="96">
      <c r="C96" s="1"/>
      <c r="K96" s="1"/>
      <c r="Q96" s="1"/>
    </row>
    <row r="97">
      <c r="C97" s="1"/>
      <c r="K97" s="1"/>
      <c r="Q97" s="1"/>
    </row>
    <row r="98">
      <c r="C98" s="1"/>
      <c r="K98" s="1"/>
      <c r="Q98" s="1"/>
    </row>
    <row r="99">
      <c r="C99" s="1"/>
      <c r="K99" s="1"/>
      <c r="Q99" s="1"/>
    </row>
    <row r="100">
      <c r="C100" s="1"/>
      <c r="K100" s="1"/>
      <c r="Q100" s="1"/>
    </row>
    <row r="101">
      <c r="C101" s="1"/>
      <c r="K101" s="1"/>
      <c r="Q101" s="1"/>
    </row>
    <row r="102">
      <c r="C102" s="1"/>
      <c r="K102" s="1"/>
      <c r="Q102" s="1"/>
    </row>
    <row r="103">
      <c r="C103" s="1"/>
      <c r="K103" s="1"/>
      <c r="Q103" s="1"/>
    </row>
    <row r="104">
      <c r="C104" s="1"/>
      <c r="K104" s="1"/>
      <c r="Q104" s="1"/>
    </row>
    <row r="105">
      <c r="C105" s="1"/>
      <c r="K105" s="1"/>
      <c r="Q105" s="1"/>
    </row>
    <row r="106">
      <c r="C106" s="1"/>
      <c r="K106" s="1"/>
      <c r="Q106" s="1"/>
    </row>
    <row r="107">
      <c r="C107" s="1"/>
      <c r="K107" s="1"/>
      <c r="Q107" s="1"/>
    </row>
    <row r="108">
      <c r="C108" s="1"/>
      <c r="K108" s="1"/>
      <c r="Q108" s="1"/>
    </row>
    <row r="109">
      <c r="C109" s="1"/>
      <c r="K109" s="1"/>
      <c r="Q109" s="1"/>
    </row>
    <row r="110">
      <c r="C110" s="1"/>
      <c r="K110" s="1"/>
      <c r="Q110" s="1"/>
    </row>
    <row r="111">
      <c r="C111" s="1"/>
      <c r="K111" s="1"/>
      <c r="Q111" s="1"/>
    </row>
    <row r="112">
      <c r="C112" s="1"/>
      <c r="K112" s="1"/>
      <c r="Q112" s="1"/>
    </row>
    <row r="113">
      <c r="C113" s="1"/>
      <c r="K113" s="1"/>
      <c r="Q113" s="1"/>
    </row>
    <row r="114">
      <c r="C114" s="1"/>
      <c r="K114" s="1"/>
      <c r="Q114" s="1"/>
    </row>
    <row r="115">
      <c r="C115" s="1"/>
      <c r="K115" s="1"/>
      <c r="Q115" s="1"/>
    </row>
    <row r="116">
      <c r="C116" s="1"/>
      <c r="K116" s="1"/>
      <c r="Q116" s="1"/>
    </row>
    <row r="117">
      <c r="C117" s="1"/>
      <c r="K117" s="1"/>
      <c r="Q117" s="1"/>
    </row>
    <row r="118">
      <c r="C118" s="1"/>
      <c r="K118" s="1"/>
      <c r="Q118" s="1"/>
    </row>
    <row r="119">
      <c r="C119" s="1"/>
      <c r="K119" s="1"/>
      <c r="Q119" s="1"/>
    </row>
    <row r="120">
      <c r="C120" s="1"/>
      <c r="K120" s="1"/>
      <c r="Q120" s="1"/>
    </row>
    <row r="121">
      <c r="C121" s="1"/>
      <c r="K121" s="1"/>
      <c r="Q121" s="1"/>
    </row>
    <row r="122">
      <c r="C122" s="1"/>
      <c r="K122" s="1"/>
      <c r="Q122" s="1"/>
    </row>
    <row r="123">
      <c r="C123" s="1"/>
      <c r="K123" s="1"/>
      <c r="Q123" s="1"/>
    </row>
    <row r="124">
      <c r="C124" s="1"/>
      <c r="K124" s="1"/>
      <c r="Q124" s="1"/>
    </row>
    <row r="125">
      <c r="C125" s="1"/>
      <c r="K125" s="1"/>
      <c r="Q125" s="1"/>
    </row>
    <row r="126">
      <c r="C126" s="1"/>
      <c r="K126" s="1"/>
      <c r="Q126" s="1"/>
    </row>
    <row r="127">
      <c r="C127" s="1"/>
      <c r="K127" s="1"/>
      <c r="Q127" s="1"/>
    </row>
    <row r="128">
      <c r="C128" s="1"/>
      <c r="K128" s="1"/>
      <c r="Q128" s="1"/>
    </row>
    <row r="129">
      <c r="C129" s="1"/>
      <c r="K129" s="1"/>
      <c r="Q129" s="1"/>
    </row>
    <row r="130">
      <c r="C130" s="1"/>
      <c r="K130" s="1"/>
      <c r="Q130" s="1"/>
    </row>
    <row r="131">
      <c r="C131" s="1"/>
      <c r="K131" s="1"/>
      <c r="Q131" s="1"/>
    </row>
    <row r="132">
      <c r="C132" s="1"/>
      <c r="K132" s="1"/>
      <c r="Q132" s="1"/>
    </row>
    <row r="133">
      <c r="C133" s="1"/>
      <c r="K133" s="1"/>
      <c r="Q133" s="1"/>
    </row>
    <row r="134">
      <c r="C134" s="1"/>
      <c r="K134" s="1"/>
      <c r="Q134" s="1"/>
    </row>
    <row r="135">
      <c r="C135" s="1"/>
      <c r="K135" s="1"/>
      <c r="Q135" s="1"/>
    </row>
    <row r="136">
      <c r="C136" s="1"/>
      <c r="K136" s="1"/>
      <c r="Q136" s="1"/>
    </row>
    <row r="137">
      <c r="C137" s="1"/>
      <c r="K137" s="1"/>
      <c r="Q137" s="1"/>
    </row>
    <row r="138">
      <c r="C138" s="1"/>
      <c r="K138" s="1"/>
      <c r="Q138" s="1"/>
    </row>
    <row r="139">
      <c r="C139" s="1"/>
      <c r="K139" s="1"/>
      <c r="Q139" s="1"/>
    </row>
    <row r="140">
      <c r="C140" s="1"/>
      <c r="K140" s="1"/>
      <c r="Q140" s="1"/>
    </row>
    <row r="141">
      <c r="C141" s="1"/>
      <c r="K141" s="1"/>
      <c r="Q141" s="1"/>
    </row>
    <row r="142">
      <c r="C142" s="1"/>
      <c r="K142" s="1"/>
      <c r="Q142" s="1"/>
    </row>
    <row r="143">
      <c r="C143" s="1"/>
      <c r="K143" s="1"/>
      <c r="Q143" s="1"/>
    </row>
    <row r="144">
      <c r="C144" s="1"/>
      <c r="K144" s="1"/>
      <c r="Q144" s="1"/>
    </row>
    <row r="145">
      <c r="C145" s="1"/>
      <c r="K145" s="1"/>
      <c r="Q145" s="1"/>
    </row>
    <row r="146">
      <c r="C146" s="1"/>
      <c r="K146" s="1"/>
      <c r="Q146" s="1"/>
    </row>
    <row r="147">
      <c r="C147" s="1"/>
      <c r="K147" s="1"/>
      <c r="Q147" s="1"/>
    </row>
    <row r="148">
      <c r="C148" s="1"/>
      <c r="K148" s="1"/>
      <c r="Q148" s="1"/>
    </row>
    <row r="149">
      <c r="C149" s="1"/>
      <c r="K149" s="1"/>
      <c r="Q149" s="1"/>
    </row>
    <row r="150">
      <c r="C150" s="1"/>
      <c r="K150" s="1"/>
      <c r="Q150" s="1"/>
    </row>
    <row r="151">
      <c r="C151" s="1"/>
      <c r="K151" s="1"/>
      <c r="Q151" s="1"/>
    </row>
    <row r="152">
      <c r="C152" s="1"/>
      <c r="K152" s="1"/>
      <c r="Q152" s="1"/>
    </row>
    <row r="153">
      <c r="C153" s="1"/>
      <c r="K153" s="1"/>
      <c r="Q153" s="1"/>
    </row>
    <row r="154">
      <c r="C154" s="1"/>
      <c r="K154" s="1"/>
      <c r="Q154" s="1"/>
    </row>
    <row r="155">
      <c r="C155" s="1"/>
      <c r="K155" s="1"/>
      <c r="Q155" s="1"/>
    </row>
    <row r="156">
      <c r="C156" s="1"/>
      <c r="K156" s="1"/>
      <c r="Q156" s="1"/>
    </row>
    <row r="157">
      <c r="C157" s="1"/>
      <c r="K157" s="1"/>
      <c r="Q157" s="1"/>
    </row>
    <row r="158">
      <c r="C158" s="1"/>
      <c r="K158" s="1"/>
      <c r="Q158" s="1"/>
    </row>
    <row r="159">
      <c r="C159" s="1"/>
      <c r="K159" s="1"/>
      <c r="Q159" s="1"/>
    </row>
    <row r="160">
      <c r="C160" s="1"/>
      <c r="K160" s="1"/>
      <c r="Q160" s="1"/>
    </row>
    <row r="161">
      <c r="C161" s="1"/>
      <c r="K161" s="1"/>
      <c r="Q161" s="1"/>
    </row>
    <row r="162">
      <c r="C162" s="1"/>
      <c r="K162" s="1"/>
      <c r="Q162" s="1"/>
    </row>
    <row r="163">
      <c r="C163" s="1"/>
      <c r="K163" s="1"/>
      <c r="Q163" s="1"/>
    </row>
    <row r="164">
      <c r="C164" s="1"/>
      <c r="K164" s="1"/>
      <c r="Q164" s="1"/>
    </row>
    <row r="165">
      <c r="C165" s="1"/>
      <c r="K165" s="1"/>
      <c r="Q165" s="1"/>
    </row>
    <row r="166">
      <c r="C166" s="1"/>
      <c r="K166" s="1"/>
      <c r="Q166" s="1"/>
    </row>
    <row r="167">
      <c r="C167" s="1"/>
      <c r="K167" s="1"/>
      <c r="Q167" s="1"/>
    </row>
    <row r="168">
      <c r="C168" s="1"/>
      <c r="K168" s="1"/>
      <c r="Q168" s="1"/>
    </row>
    <row r="169">
      <c r="C169" s="1"/>
      <c r="K169" s="1"/>
      <c r="Q169" s="1"/>
    </row>
    <row r="170">
      <c r="C170" s="1"/>
      <c r="K170" s="1"/>
      <c r="Q170" s="1"/>
    </row>
    <row r="171">
      <c r="C171" s="1"/>
      <c r="K171" s="1"/>
      <c r="Q171" s="1"/>
    </row>
    <row r="172">
      <c r="C172" s="1"/>
      <c r="K172" s="1"/>
      <c r="Q172" s="1"/>
    </row>
    <row r="173">
      <c r="C173" s="1"/>
      <c r="K173" s="1"/>
      <c r="Q173" s="1"/>
    </row>
    <row r="174">
      <c r="C174" s="1"/>
      <c r="K174" s="1"/>
      <c r="Q174" s="1"/>
    </row>
    <row r="175">
      <c r="C175" s="1"/>
      <c r="K175" s="1"/>
      <c r="Q175" s="1"/>
    </row>
    <row r="176">
      <c r="C176" s="1"/>
      <c r="K176" s="1"/>
      <c r="Q176" s="1"/>
    </row>
    <row r="177">
      <c r="C177" s="1"/>
      <c r="K177" s="1"/>
      <c r="Q177" s="1"/>
    </row>
    <row r="178">
      <c r="C178" s="1"/>
      <c r="K178" s="1"/>
      <c r="Q178" s="1"/>
    </row>
    <row r="179">
      <c r="C179" s="1"/>
      <c r="K179" s="1"/>
      <c r="Q179" s="1"/>
    </row>
    <row r="180">
      <c r="C180" s="1"/>
      <c r="K180" s="1"/>
      <c r="Q180" s="1"/>
    </row>
    <row r="181">
      <c r="C181" s="1"/>
      <c r="K181" s="1"/>
      <c r="Q181" s="1"/>
    </row>
    <row r="182">
      <c r="C182" s="1"/>
      <c r="K182" s="1"/>
      <c r="Q182" s="1"/>
    </row>
    <row r="183">
      <c r="C183" s="1"/>
      <c r="K183" s="1"/>
      <c r="Q183" s="1"/>
    </row>
    <row r="184">
      <c r="C184" s="1"/>
      <c r="K184" s="1"/>
      <c r="Q184" s="1"/>
    </row>
    <row r="185">
      <c r="C185" s="1"/>
      <c r="K185" s="1"/>
      <c r="Q185" s="1"/>
    </row>
    <row r="186">
      <c r="C186" s="1"/>
      <c r="K186" s="1"/>
      <c r="Q186" s="1"/>
    </row>
    <row r="187">
      <c r="C187" s="1"/>
      <c r="K187" s="1"/>
      <c r="Q187" s="1"/>
    </row>
    <row r="188">
      <c r="C188" s="1"/>
      <c r="K188" s="1"/>
      <c r="Q188" s="1"/>
    </row>
    <row r="189">
      <c r="C189" s="1"/>
      <c r="K189" s="1"/>
      <c r="Q189" s="1"/>
    </row>
    <row r="190">
      <c r="C190" s="1"/>
      <c r="K190" s="1"/>
      <c r="Q190" s="1"/>
    </row>
    <row r="191">
      <c r="C191" s="1"/>
      <c r="K191" s="1"/>
      <c r="Q191" s="1"/>
    </row>
    <row r="192">
      <c r="C192" s="1"/>
      <c r="K192" s="1"/>
      <c r="Q192" s="1"/>
    </row>
    <row r="193">
      <c r="C193" s="1"/>
      <c r="K193" s="1"/>
      <c r="Q193" s="1"/>
    </row>
    <row r="194">
      <c r="C194" s="1"/>
      <c r="K194" s="1"/>
      <c r="Q194" s="1"/>
    </row>
    <row r="195">
      <c r="C195" s="1"/>
      <c r="K195" s="1"/>
      <c r="Q195" s="1"/>
    </row>
    <row r="196">
      <c r="C196" s="1"/>
      <c r="K196" s="1"/>
      <c r="Q196" s="1"/>
    </row>
    <row r="197">
      <c r="C197" s="1"/>
      <c r="K197" s="1"/>
      <c r="Q197" s="1"/>
    </row>
    <row r="198">
      <c r="C198" s="1"/>
      <c r="K198" s="1"/>
      <c r="Q198" s="1"/>
    </row>
    <row r="199">
      <c r="C199" s="1"/>
      <c r="K199" s="1"/>
      <c r="Q199" s="1"/>
    </row>
    <row r="200">
      <c r="C200" s="1"/>
      <c r="K200" s="1"/>
      <c r="Q200" s="1"/>
    </row>
    <row r="201">
      <c r="C201" s="1"/>
      <c r="K201" s="1"/>
      <c r="Q201" s="1"/>
    </row>
    <row r="202">
      <c r="C202" s="1"/>
      <c r="K202" s="1"/>
      <c r="Q202" s="1"/>
    </row>
    <row r="203">
      <c r="C203" s="1"/>
      <c r="K203" s="1"/>
      <c r="Q203" s="1"/>
    </row>
    <row r="204">
      <c r="C204" s="1"/>
      <c r="K204" s="1"/>
      <c r="Q204" s="1"/>
    </row>
    <row r="205">
      <c r="C205" s="1"/>
      <c r="K205" s="1"/>
      <c r="Q205" s="1"/>
    </row>
    <row r="206">
      <c r="C206" s="1"/>
      <c r="K206" s="1"/>
      <c r="Q206" s="1"/>
    </row>
    <row r="207">
      <c r="C207" s="1"/>
      <c r="K207" s="1"/>
      <c r="Q207" s="1"/>
    </row>
    <row r="208">
      <c r="C208" s="1"/>
      <c r="K208" s="1"/>
      <c r="Q208" s="1"/>
    </row>
    <row r="209">
      <c r="C209" s="1"/>
      <c r="K209" s="1"/>
      <c r="Q209" s="1"/>
    </row>
    <row r="210">
      <c r="C210" s="1"/>
      <c r="K210" s="1"/>
      <c r="Q210" s="1"/>
    </row>
    <row r="211">
      <c r="C211" s="1"/>
      <c r="K211" s="1"/>
      <c r="Q211" s="1"/>
    </row>
    <row r="212">
      <c r="C212" s="1"/>
      <c r="K212" s="1"/>
      <c r="Q212" s="1"/>
    </row>
    <row r="213">
      <c r="C213" s="1"/>
      <c r="K213" s="1"/>
      <c r="Q213" s="1"/>
    </row>
    <row r="214">
      <c r="C214" s="1"/>
      <c r="K214" s="1"/>
      <c r="Q214" s="1"/>
    </row>
    <row r="215">
      <c r="C215" s="1"/>
      <c r="K215" s="1"/>
      <c r="Q215" s="1"/>
    </row>
    <row r="216">
      <c r="C216" s="1"/>
      <c r="K216" s="1"/>
      <c r="Q216" s="1"/>
    </row>
    <row r="217">
      <c r="C217" s="1"/>
      <c r="K217" s="1"/>
      <c r="Q217" s="1"/>
    </row>
    <row r="218">
      <c r="C218" s="1"/>
      <c r="K218" s="1"/>
      <c r="Q218" s="1"/>
    </row>
    <row r="219">
      <c r="C219" s="1"/>
      <c r="K219" s="1"/>
      <c r="Q219" s="1"/>
    </row>
    <row r="220">
      <c r="C220" s="1"/>
      <c r="K220" s="1"/>
      <c r="Q220" s="1"/>
    </row>
    <row r="221">
      <c r="C221" s="1"/>
      <c r="K221" s="1"/>
      <c r="Q221" s="1"/>
    </row>
    <row r="222">
      <c r="C222" s="1"/>
      <c r="K222" s="1"/>
      <c r="Q222" s="1"/>
    </row>
    <row r="223">
      <c r="C223" s="1"/>
      <c r="K223" s="1"/>
      <c r="Q223" s="1"/>
    </row>
    <row r="224">
      <c r="C224" s="1"/>
      <c r="K224" s="1"/>
      <c r="Q224" s="1"/>
    </row>
    <row r="225">
      <c r="C225" s="1"/>
      <c r="K225" s="1"/>
      <c r="Q225" s="1"/>
    </row>
    <row r="226">
      <c r="C226" s="1"/>
      <c r="K226" s="1"/>
      <c r="Q226" s="1"/>
    </row>
    <row r="227">
      <c r="C227" s="1"/>
      <c r="K227" s="1"/>
      <c r="Q227" s="1"/>
    </row>
    <row r="228">
      <c r="C228" s="1"/>
      <c r="K228" s="1"/>
      <c r="Q228" s="1"/>
    </row>
    <row r="229">
      <c r="C229" s="1"/>
      <c r="K229" s="1"/>
      <c r="Q229" s="1"/>
    </row>
    <row r="230">
      <c r="C230" s="1"/>
      <c r="K230" s="1"/>
      <c r="Q230" s="1"/>
    </row>
    <row r="231">
      <c r="C231" s="1"/>
      <c r="K231" s="1"/>
      <c r="Q231" s="1"/>
    </row>
    <row r="232">
      <c r="C232" s="1"/>
      <c r="K232" s="1"/>
      <c r="Q232" s="1"/>
    </row>
    <row r="233">
      <c r="C233" s="1"/>
      <c r="K233" s="1"/>
      <c r="Q233" s="1"/>
    </row>
    <row r="234">
      <c r="C234" s="1"/>
      <c r="K234" s="1"/>
      <c r="Q234" s="1"/>
    </row>
    <row r="235">
      <c r="C235" s="1"/>
      <c r="K235" s="1"/>
      <c r="Q235" s="1"/>
    </row>
    <row r="236">
      <c r="C236" s="1"/>
      <c r="K236" s="1"/>
      <c r="Q236" s="1"/>
    </row>
    <row r="237">
      <c r="C237" s="1"/>
      <c r="K237" s="1"/>
      <c r="Q237" s="1"/>
    </row>
    <row r="238">
      <c r="C238" s="1"/>
      <c r="K238" s="1"/>
      <c r="Q238" s="1"/>
    </row>
    <row r="239">
      <c r="C239" s="1"/>
      <c r="K239" s="1"/>
      <c r="Q239" s="1"/>
    </row>
    <row r="240">
      <c r="C240" s="1"/>
      <c r="K240" s="1"/>
      <c r="Q240" s="1"/>
    </row>
    <row r="241">
      <c r="C241" s="1"/>
      <c r="K241" s="1"/>
      <c r="Q241" s="1"/>
    </row>
    <row r="242">
      <c r="C242" s="1"/>
      <c r="K242" s="1"/>
      <c r="Q242" s="1"/>
    </row>
    <row r="243">
      <c r="C243" s="1"/>
      <c r="K243" s="1"/>
      <c r="Q243" s="1"/>
    </row>
    <row r="244">
      <c r="C244" s="1"/>
      <c r="K244" s="1"/>
      <c r="Q244" s="1"/>
    </row>
    <row r="245">
      <c r="C245" s="1"/>
      <c r="K245" s="1"/>
      <c r="Q245" s="1"/>
    </row>
    <row r="246">
      <c r="C246" s="1"/>
      <c r="K246" s="1"/>
      <c r="Q246" s="1"/>
    </row>
    <row r="247">
      <c r="C247" s="1"/>
      <c r="K247" s="1"/>
      <c r="Q247" s="1"/>
    </row>
    <row r="248">
      <c r="C248" s="1"/>
      <c r="K248" s="1"/>
      <c r="Q248" s="1"/>
    </row>
    <row r="249">
      <c r="C249" s="1"/>
      <c r="K249" s="1"/>
      <c r="Q249" s="1"/>
    </row>
    <row r="250">
      <c r="C250" s="1"/>
      <c r="K250" s="1"/>
      <c r="Q250" s="1"/>
    </row>
    <row r="251">
      <c r="C251" s="1"/>
      <c r="K251" s="1"/>
      <c r="Q251" s="1"/>
    </row>
    <row r="252">
      <c r="C252" s="1"/>
      <c r="K252" s="1"/>
      <c r="Q252" s="1"/>
    </row>
    <row r="253">
      <c r="C253" s="1"/>
      <c r="K253" s="1"/>
      <c r="Q253" s="1"/>
    </row>
    <row r="254">
      <c r="C254" s="1"/>
      <c r="K254" s="1"/>
      <c r="Q254" s="1"/>
    </row>
    <row r="255">
      <c r="C255" s="1"/>
      <c r="K255" s="1"/>
      <c r="Q255" s="1"/>
    </row>
    <row r="256">
      <c r="C256" s="1"/>
      <c r="K256" s="1"/>
      <c r="Q256" s="1"/>
    </row>
    <row r="257">
      <c r="C257" s="1"/>
      <c r="K257" s="1"/>
      <c r="Q257" s="1"/>
    </row>
    <row r="258">
      <c r="C258" s="1"/>
      <c r="K258" s="1"/>
      <c r="Q258" s="1"/>
    </row>
    <row r="259">
      <c r="C259" s="1"/>
      <c r="K259" s="1"/>
      <c r="Q259" s="1"/>
    </row>
    <row r="260">
      <c r="C260" s="1"/>
      <c r="K260" s="1"/>
      <c r="Q260" s="1"/>
    </row>
    <row r="261">
      <c r="C261" s="1"/>
      <c r="K261" s="1"/>
      <c r="Q261" s="1"/>
    </row>
    <row r="262">
      <c r="C262" s="1"/>
      <c r="K262" s="1"/>
      <c r="Q262" s="1"/>
    </row>
    <row r="263">
      <c r="C263" s="1"/>
      <c r="K263" s="1"/>
      <c r="Q263" s="1"/>
    </row>
    <row r="264">
      <c r="C264" s="1"/>
      <c r="K264" s="1"/>
      <c r="Q264" s="1"/>
    </row>
    <row r="265">
      <c r="C265" s="1"/>
      <c r="K265" s="1"/>
      <c r="Q265" s="1"/>
    </row>
    <row r="266">
      <c r="C266" s="1"/>
      <c r="K266" s="1"/>
      <c r="Q266" s="1"/>
    </row>
    <row r="267">
      <c r="C267" s="1"/>
      <c r="K267" s="1"/>
      <c r="Q267" s="1"/>
    </row>
    <row r="268">
      <c r="C268" s="1"/>
      <c r="K268" s="1"/>
      <c r="Q268" s="1"/>
    </row>
    <row r="269">
      <c r="C269" s="1"/>
      <c r="K269" s="1"/>
      <c r="Q269" s="1"/>
    </row>
    <row r="270">
      <c r="C270" s="1"/>
      <c r="K270" s="1"/>
      <c r="Q270" s="1"/>
    </row>
    <row r="271">
      <c r="C271" s="1"/>
      <c r="K271" s="1"/>
      <c r="Q271" s="1"/>
    </row>
    <row r="272">
      <c r="C272" s="1"/>
      <c r="K272" s="1"/>
      <c r="Q272" s="1"/>
    </row>
    <row r="273">
      <c r="C273" s="1"/>
      <c r="K273" s="1"/>
      <c r="Q273" s="1"/>
    </row>
    <row r="274">
      <c r="C274" s="1"/>
      <c r="K274" s="1"/>
      <c r="Q274" s="1"/>
    </row>
    <row r="275">
      <c r="C275" s="1"/>
      <c r="K275" s="1"/>
      <c r="Q275" s="1"/>
    </row>
    <row r="276">
      <c r="C276" s="1"/>
      <c r="K276" s="1"/>
      <c r="Q276" s="1"/>
    </row>
    <row r="277">
      <c r="C277" s="1"/>
      <c r="K277" s="1"/>
      <c r="Q277" s="1"/>
    </row>
    <row r="278">
      <c r="C278" s="1"/>
      <c r="K278" s="1"/>
      <c r="Q278" s="1"/>
    </row>
    <row r="279">
      <c r="C279" s="1"/>
      <c r="K279" s="1"/>
      <c r="Q279" s="1"/>
    </row>
    <row r="280">
      <c r="C280" s="1"/>
      <c r="K280" s="1"/>
      <c r="Q280" s="1"/>
    </row>
    <row r="281">
      <c r="C281" s="1"/>
      <c r="K281" s="1"/>
      <c r="Q281" s="1"/>
    </row>
    <row r="282">
      <c r="C282" s="1"/>
      <c r="K282" s="1"/>
      <c r="Q282" s="1"/>
    </row>
    <row r="283">
      <c r="C283" s="1"/>
      <c r="K283" s="1"/>
      <c r="Q283" s="1"/>
    </row>
    <row r="284">
      <c r="C284" s="1"/>
      <c r="K284" s="1"/>
      <c r="Q284" s="1"/>
    </row>
    <row r="285">
      <c r="C285" s="1"/>
      <c r="K285" s="1"/>
      <c r="Q285" s="1"/>
    </row>
    <row r="286">
      <c r="C286" s="1"/>
      <c r="K286" s="1"/>
      <c r="Q286" s="1"/>
    </row>
    <row r="287">
      <c r="C287" s="1"/>
      <c r="K287" s="1"/>
      <c r="Q287" s="1"/>
    </row>
    <row r="288">
      <c r="C288" s="1"/>
      <c r="K288" s="1"/>
      <c r="Q288" s="1"/>
    </row>
    <row r="289">
      <c r="C289" s="1"/>
      <c r="K289" s="1"/>
      <c r="Q289" s="1"/>
    </row>
    <row r="290">
      <c r="C290" s="1"/>
      <c r="K290" s="1"/>
      <c r="Q290" s="1"/>
    </row>
    <row r="291">
      <c r="C291" s="1"/>
      <c r="K291" s="1"/>
      <c r="Q291" s="1"/>
    </row>
    <row r="292">
      <c r="C292" s="1"/>
      <c r="K292" s="1"/>
      <c r="Q292" s="1"/>
    </row>
    <row r="293">
      <c r="C293" s="1"/>
      <c r="K293" s="1"/>
      <c r="Q293" s="1"/>
    </row>
    <row r="294">
      <c r="C294" s="1"/>
      <c r="K294" s="1"/>
      <c r="Q294" s="1"/>
    </row>
    <row r="295">
      <c r="C295" s="1"/>
      <c r="K295" s="1"/>
      <c r="Q295" s="1"/>
    </row>
    <row r="296">
      <c r="C296" s="1"/>
      <c r="K296" s="1"/>
      <c r="Q296" s="1"/>
    </row>
    <row r="297">
      <c r="C297" s="1"/>
      <c r="K297" s="1"/>
      <c r="Q297" s="1"/>
    </row>
    <row r="298">
      <c r="C298" s="1"/>
      <c r="K298" s="1"/>
      <c r="Q298" s="1"/>
    </row>
    <row r="299">
      <c r="C299" s="1"/>
      <c r="K299" s="1"/>
      <c r="Q299" s="1"/>
    </row>
    <row r="300">
      <c r="C300" s="1"/>
      <c r="K300" s="1"/>
      <c r="Q300" s="1"/>
    </row>
    <row r="301">
      <c r="C301" s="1"/>
      <c r="K301" s="1"/>
      <c r="Q301" s="1"/>
    </row>
    <row r="302">
      <c r="C302" s="1"/>
      <c r="K302" s="1"/>
      <c r="Q302" s="1"/>
    </row>
    <row r="303">
      <c r="C303" s="1"/>
      <c r="K303" s="1"/>
      <c r="Q303" s="1"/>
    </row>
    <row r="304">
      <c r="C304" s="1"/>
      <c r="K304" s="1"/>
      <c r="Q304" s="1"/>
    </row>
    <row r="305">
      <c r="C305" s="1"/>
      <c r="K305" s="1"/>
      <c r="Q305" s="1"/>
    </row>
    <row r="306">
      <c r="C306" s="1"/>
      <c r="K306" s="1"/>
      <c r="Q306" s="1"/>
    </row>
    <row r="307">
      <c r="C307" s="1"/>
      <c r="K307" s="1"/>
      <c r="Q307" s="1"/>
    </row>
    <row r="308">
      <c r="C308" s="1"/>
      <c r="K308" s="1"/>
      <c r="Q308" s="1"/>
    </row>
    <row r="309">
      <c r="C309" s="1"/>
      <c r="K309" s="1"/>
      <c r="Q309" s="1"/>
    </row>
    <row r="310">
      <c r="C310" s="1"/>
      <c r="K310" s="1"/>
      <c r="Q310" s="1"/>
    </row>
    <row r="311">
      <c r="C311" s="1"/>
      <c r="K311" s="1"/>
      <c r="Q311" s="1"/>
    </row>
    <row r="312">
      <c r="C312" s="1"/>
      <c r="K312" s="1"/>
      <c r="Q312" s="1"/>
    </row>
    <row r="313">
      <c r="C313" s="1"/>
      <c r="K313" s="1"/>
      <c r="Q313" s="1"/>
    </row>
    <row r="314">
      <c r="C314" s="1"/>
      <c r="K314" s="1"/>
      <c r="Q314" s="1"/>
    </row>
    <row r="315">
      <c r="C315" s="1"/>
      <c r="K315" s="1"/>
      <c r="Q315" s="1"/>
    </row>
    <row r="316">
      <c r="C316" s="1"/>
      <c r="K316" s="1"/>
      <c r="Q316" s="1"/>
    </row>
    <row r="317">
      <c r="C317" s="1"/>
      <c r="K317" s="1"/>
      <c r="Q317" s="1"/>
    </row>
    <row r="318">
      <c r="C318" s="1"/>
      <c r="K318" s="1"/>
      <c r="Q318" s="1"/>
    </row>
    <row r="319">
      <c r="C319" s="1"/>
      <c r="K319" s="1"/>
      <c r="Q319" s="1"/>
    </row>
    <row r="320">
      <c r="C320" s="1"/>
      <c r="K320" s="1"/>
      <c r="Q320" s="1"/>
    </row>
    <row r="321">
      <c r="C321" s="1"/>
      <c r="K321" s="1"/>
      <c r="Q321" s="1"/>
    </row>
    <row r="322">
      <c r="C322" s="1"/>
      <c r="K322" s="1"/>
      <c r="Q322" s="1"/>
    </row>
    <row r="323">
      <c r="C323" s="1"/>
      <c r="K323" s="1"/>
      <c r="Q323" s="1"/>
    </row>
    <row r="324">
      <c r="C324" s="1"/>
      <c r="K324" s="1"/>
      <c r="Q324" s="1"/>
    </row>
    <row r="325">
      <c r="C325" s="1"/>
      <c r="K325" s="1"/>
      <c r="Q325" s="1"/>
    </row>
    <row r="326">
      <c r="C326" s="1"/>
      <c r="K326" s="1"/>
      <c r="Q326" s="1"/>
    </row>
    <row r="327">
      <c r="C327" s="1"/>
      <c r="K327" s="1"/>
      <c r="Q327" s="1"/>
    </row>
    <row r="328">
      <c r="C328" s="1"/>
      <c r="K328" s="1"/>
      <c r="Q328" s="1"/>
    </row>
    <row r="329">
      <c r="C329" s="1"/>
      <c r="K329" s="1"/>
      <c r="Q329" s="1"/>
    </row>
    <row r="330">
      <c r="C330" s="1"/>
      <c r="K330" s="1"/>
      <c r="Q330" s="1"/>
    </row>
    <row r="331">
      <c r="C331" s="1"/>
      <c r="K331" s="1"/>
      <c r="Q331" s="1"/>
    </row>
    <row r="332">
      <c r="C332" s="1"/>
      <c r="K332" s="1"/>
      <c r="Q332" s="1"/>
    </row>
    <row r="333">
      <c r="C333" s="1"/>
      <c r="K333" s="1"/>
      <c r="Q333" s="1"/>
    </row>
    <row r="334">
      <c r="C334" s="1"/>
      <c r="K334" s="1"/>
      <c r="Q334" s="1"/>
    </row>
    <row r="335">
      <c r="C335" s="1"/>
      <c r="K335" s="1"/>
      <c r="Q335" s="1"/>
    </row>
    <row r="336">
      <c r="C336" s="1"/>
      <c r="K336" s="1"/>
      <c r="Q336" s="1"/>
    </row>
    <row r="337">
      <c r="C337" s="1"/>
      <c r="K337" s="1"/>
      <c r="Q337" s="1"/>
    </row>
    <row r="338">
      <c r="C338" s="1"/>
      <c r="K338" s="1"/>
      <c r="Q338" s="1"/>
    </row>
    <row r="339">
      <c r="C339" s="1"/>
      <c r="K339" s="1"/>
      <c r="Q339" s="1"/>
    </row>
    <row r="340">
      <c r="C340" s="1"/>
      <c r="K340" s="1"/>
      <c r="Q340" s="1"/>
    </row>
    <row r="341">
      <c r="C341" s="1"/>
      <c r="K341" s="1"/>
      <c r="Q341" s="1"/>
    </row>
    <row r="342">
      <c r="C342" s="1"/>
      <c r="K342" s="1"/>
      <c r="Q342" s="1"/>
    </row>
    <row r="343">
      <c r="C343" s="1"/>
      <c r="K343" s="1"/>
      <c r="Q343" s="1"/>
    </row>
    <row r="344">
      <c r="C344" s="1"/>
      <c r="K344" s="1"/>
      <c r="Q344" s="1"/>
    </row>
    <row r="345">
      <c r="C345" s="1"/>
      <c r="K345" s="1"/>
      <c r="Q345" s="1"/>
    </row>
    <row r="346">
      <c r="C346" s="1"/>
      <c r="K346" s="1"/>
      <c r="Q346" s="1"/>
    </row>
    <row r="347">
      <c r="C347" s="1"/>
      <c r="K347" s="1"/>
      <c r="Q347" s="1"/>
    </row>
    <row r="348">
      <c r="C348" s="1"/>
      <c r="K348" s="1"/>
      <c r="Q348" s="1"/>
    </row>
    <row r="349">
      <c r="C349" s="1"/>
      <c r="K349" s="1"/>
      <c r="Q349" s="1"/>
    </row>
    <row r="350">
      <c r="C350" s="1"/>
      <c r="K350" s="1"/>
      <c r="Q350" s="1"/>
    </row>
    <row r="351">
      <c r="C351" s="1"/>
      <c r="K351" s="1"/>
      <c r="Q351" s="1"/>
    </row>
    <row r="352">
      <c r="C352" s="1"/>
      <c r="K352" s="1"/>
      <c r="Q352" s="1"/>
    </row>
    <row r="353">
      <c r="C353" s="1"/>
      <c r="K353" s="1"/>
      <c r="Q353" s="1"/>
    </row>
    <row r="354">
      <c r="C354" s="1"/>
      <c r="K354" s="1"/>
      <c r="Q354" s="1"/>
    </row>
    <row r="355">
      <c r="C355" s="1"/>
      <c r="K355" s="1"/>
      <c r="Q355" s="1"/>
    </row>
    <row r="356">
      <c r="C356" s="1"/>
      <c r="K356" s="1"/>
      <c r="Q356" s="1"/>
    </row>
    <row r="357">
      <c r="C357" s="1"/>
      <c r="K357" s="1"/>
      <c r="Q357" s="1"/>
    </row>
    <row r="358">
      <c r="C358" s="1"/>
      <c r="K358" s="1"/>
      <c r="Q358" s="1"/>
    </row>
    <row r="359">
      <c r="C359" s="1"/>
      <c r="K359" s="1"/>
      <c r="Q359" s="1"/>
    </row>
    <row r="360">
      <c r="C360" s="1"/>
      <c r="K360" s="1"/>
      <c r="Q360" s="1"/>
    </row>
    <row r="361">
      <c r="C361" s="1"/>
      <c r="K361" s="1"/>
      <c r="Q361" s="1"/>
    </row>
    <row r="362">
      <c r="C362" s="1"/>
      <c r="K362" s="1"/>
      <c r="Q362" s="1"/>
    </row>
    <row r="363">
      <c r="C363" s="1"/>
      <c r="K363" s="1"/>
      <c r="Q363" s="1"/>
    </row>
    <row r="364">
      <c r="C364" s="1"/>
      <c r="K364" s="1"/>
      <c r="Q364" s="1"/>
    </row>
    <row r="365">
      <c r="C365" s="1"/>
      <c r="K365" s="1"/>
      <c r="Q365" s="1"/>
    </row>
    <row r="366">
      <c r="C366" s="1"/>
      <c r="K366" s="1"/>
      <c r="Q366" s="1"/>
    </row>
    <row r="367">
      <c r="C367" s="1"/>
      <c r="K367" s="1"/>
      <c r="Q367" s="1"/>
    </row>
    <row r="368">
      <c r="C368" s="1"/>
      <c r="K368" s="1"/>
      <c r="Q368" s="1"/>
    </row>
    <row r="369">
      <c r="C369" s="1"/>
      <c r="K369" s="1"/>
      <c r="Q369" s="1"/>
    </row>
    <row r="370">
      <c r="C370" s="1"/>
      <c r="K370" s="1"/>
      <c r="Q370" s="1"/>
    </row>
    <row r="371">
      <c r="C371" s="1"/>
      <c r="K371" s="1"/>
      <c r="Q371" s="1"/>
    </row>
    <row r="372">
      <c r="C372" s="1"/>
      <c r="K372" s="1"/>
      <c r="Q372" s="1"/>
    </row>
    <row r="373">
      <c r="C373" s="1"/>
      <c r="K373" s="1"/>
      <c r="Q373" s="1"/>
    </row>
    <row r="374">
      <c r="C374" s="1"/>
      <c r="K374" s="1"/>
      <c r="Q374" s="1"/>
    </row>
    <row r="375">
      <c r="C375" s="1"/>
      <c r="K375" s="1"/>
      <c r="Q375" s="1"/>
    </row>
    <row r="376">
      <c r="C376" s="1"/>
      <c r="K376" s="1"/>
      <c r="Q376" s="1"/>
    </row>
    <row r="377">
      <c r="C377" s="1"/>
      <c r="K377" s="1"/>
      <c r="Q377" s="1"/>
    </row>
    <row r="378">
      <c r="C378" s="1"/>
      <c r="K378" s="1"/>
      <c r="Q378" s="1"/>
    </row>
    <row r="379">
      <c r="C379" s="1"/>
      <c r="K379" s="1"/>
      <c r="Q379" s="1"/>
    </row>
    <row r="380">
      <c r="C380" s="1"/>
      <c r="K380" s="1"/>
      <c r="Q380" s="1"/>
    </row>
    <row r="381">
      <c r="C381" s="1"/>
      <c r="K381" s="1"/>
      <c r="Q381" s="1"/>
    </row>
    <row r="382">
      <c r="C382" s="1"/>
      <c r="K382" s="1"/>
      <c r="Q382" s="1"/>
    </row>
    <row r="383">
      <c r="C383" s="1"/>
      <c r="K383" s="1"/>
      <c r="Q383" s="1"/>
    </row>
    <row r="384">
      <c r="C384" s="1"/>
      <c r="K384" s="1"/>
      <c r="Q384" s="1"/>
    </row>
    <row r="385">
      <c r="C385" s="1"/>
      <c r="K385" s="1"/>
      <c r="Q385" s="1"/>
    </row>
    <row r="386">
      <c r="C386" s="1"/>
      <c r="K386" s="1"/>
      <c r="Q386" s="1"/>
    </row>
    <row r="387">
      <c r="C387" s="1"/>
      <c r="K387" s="1"/>
      <c r="Q387" s="1"/>
    </row>
    <row r="388">
      <c r="C388" s="1"/>
      <c r="K388" s="1"/>
      <c r="Q388" s="1"/>
    </row>
    <row r="389">
      <c r="C389" s="1"/>
      <c r="K389" s="1"/>
      <c r="Q389" s="1"/>
    </row>
    <row r="390">
      <c r="C390" s="1"/>
      <c r="K390" s="1"/>
      <c r="Q390" s="1"/>
    </row>
    <row r="391">
      <c r="C391" s="1"/>
      <c r="K391" s="1"/>
      <c r="Q391" s="1"/>
    </row>
    <row r="392">
      <c r="C392" s="1"/>
      <c r="K392" s="1"/>
      <c r="Q392" s="1"/>
    </row>
    <row r="393">
      <c r="C393" s="1"/>
      <c r="K393" s="1"/>
      <c r="Q393" s="1"/>
    </row>
    <row r="394">
      <c r="C394" s="1"/>
      <c r="K394" s="1"/>
      <c r="Q394" s="1"/>
    </row>
    <row r="395">
      <c r="C395" s="1"/>
      <c r="K395" s="1"/>
      <c r="Q395" s="1"/>
    </row>
    <row r="396">
      <c r="C396" s="1"/>
      <c r="K396" s="1"/>
      <c r="Q396" s="1"/>
    </row>
    <row r="397">
      <c r="C397" s="1"/>
      <c r="K397" s="1"/>
      <c r="Q397" s="1"/>
    </row>
    <row r="398">
      <c r="C398" s="1"/>
      <c r="K398" s="1"/>
      <c r="Q398" s="1"/>
    </row>
    <row r="399">
      <c r="C399" s="1"/>
      <c r="K399" s="1"/>
      <c r="Q399" s="1"/>
    </row>
    <row r="400">
      <c r="C400" s="1"/>
      <c r="K400" s="1"/>
      <c r="Q400" s="1"/>
    </row>
    <row r="401">
      <c r="C401" s="1"/>
      <c r="K401" s="1"/>
      <c r="Q401" s="1"/>
    </row>
    <row r="402">
      <c r="C402" s="1"/>
      <c r="K402" s="1"/>
      <c r="Q402" s="1"/>
    </row>
    <row r="403">
      <c r="C403" s="1"/>
      <c r="K403" s="1"/>
      <c r="Q403" s="1"/>
    </row>
    <row r="404">
      <c r="C404" s="1"/>
      <c r="K404" s="1"/>
      <c r="Q404" s="1"/>
    </row>
    <row r="405">
      <c r="C405" s="1"/>
      <c r="K405" s="1"/>
      <c r="Q405" s="1"/>
    </row>
    <row r="406">
      <c r="C406" s="1"/>
      <c r="K406" s="1"/>
      <c r="Q406" s="1"/>
    </row>
    <row r="407">
      <c r="C407" s="1"/>
      <c r="K407" s="1"/>
      <c r="Q407" s="1"/>
    </row>
    <row r="408">
      <c r="C408" s="1"/>
      <c r="K408" s="1"/>
      <c r="Q408" s="1"/>
    </row>
    <row r="409">
      <c r="C409" s="1"/>
      <c r="K409" s="1"/>
      <c r="Q409" s="1"/>
    </row>
    <row r="410">
      <c r="C410" s="1"/>
      <c r="K410" s="1"/>
      <c r="Q410" s="1"/>
    </row>
    <row r="411">
      <c r="C411" s="1"/>
      <c r="K411" s="1"/>
      <c r="Q411" s="1"/>
    </row>
    <row r="412">
      <c r="C412" s="1"/>
      <c r="K412" s="1"/>
      <c r="Q412" s="1"/>
    </row>
    <row r="413">
      <c r="C413" s="1"/>
      <c r="K413" s="1"/>
      <c r="Q413" s="1"/>
    </row>
    <row r="414">
      <c r="C414" s="1"/>
      <c r="K414" s="1"/>
      <c r="Q414" s="1"/>
    </row>
    <row r="415">
      <c r="C415" s="1"/>
      <c r="K415" s="1"/>
      <c r="Q415" s="1"/>
    </row>
    <row r="416">
      <c r="C416" s="1"/>
      <c r="K416" s="1"/>
      <c r="Q416" s="1"/>
    </row>
    <row r="417">
      <c r="C417" s="1"/>
      <c r="K417" s="1"/>
      <c r="Q417" s="1"/>
    </row>
    <row r="418">
      <c r="C418" s="1"/>
      <c r="K418" s="1"/>
      <c r="Q418" s="1"/>
    </row>
    <row r="419">
      <c r="C419" s="1"/>
      <c r="K419" s="1"/>
      <c r="Q419" s="1"/>
    </row>
    <row r="420">
      <c r="C420" s="1"/>
      <c r="K420" s="1"/>
      <c r="Q420" s="1"/>
    </row>
    <row r="421">
      <c r="C421" s="1"/>
      <c r="K421" s="1"/>
      <c r="Q421" s="1"/>
    </row>
    <row r="422">
      <c r="C422" s="1"/>
      <c r="K422" s="1"/>
      <c r="Q422" s="1"/>
    </row>
    <row r="423">
      <c r="C423" s="1"/>
      <c r="K423" s="1"/>
      <c r="Q423" s="1"/>
    </row>
    <row r="424">
      <c r="C424" s="1"/>
      <c r="K424" s="1"/>
      <c r="Q424" s="1"/>
    </row>
    <row r="425">
      <c r="C425" s="1"/>
      <c r="K425" s="1"/>
      <c r="Q425" s="1"/>
    </row>
    <row r="426">
      <c r="C426" s="1"/>
      <c r="K426" s="1"/>
      <c r="Q426" s="1"/>
    </row>
    <row r="427">
      <c r="C427" s="1"/>
      <c r="K427" s="1"/>
      <c r="Q427" s="1"/>
    </row>
    <row r="428">
      <c r="C428" s="1"/>
      <c r="K428" s="1"/>
      <c r="Q428" s="1"/>
    </row>
    <row r="429">
      <c r="C429" s="1"/>
      <c r="K429" s="1"/>
      <c r="Q429" s="1"/>
    </row>
    <row r="430">
      <c r="C430" s="1"/>
      <c r="K430" s="1"/>
      <c r="Q430" s="1"/>
    </row>
    <row r="431">
      <c r="C431" s="1"/>
      <c r="K431" s="1"/>
      <c r="Q431" s="1"/>
    </row>
    <row r="432">
      <c r="C432" s="1"/>
      <c r="K432" s="1"/>
      <c r="Q432" s="1"/>
    </row>
    <row r="433">
      <c r="C433" s="1"/>
      <c r="K433" s="1"/>
      <c r="Q433" s="1"/>
    </row>
    <row r="434">
      <c r="C434" s="1"/>
      <c r="K434" s="1"/>
      <c r="Q434" s="1"/>
    </row>
    <row r="435">
      <c r="C435" s="1"/>
      <c r="K435" s="1"/>
      <c r="Q435" s="1"/>
    </row>
    <row r="436">
      <c r="C436" s="1"/>
      <c r="K436" s="1"/>
      <c r="Q436" s="1"/>
    </row>
    <row r="437">
      <c r="C437" s="1"/>
      <c r="K437" s="1"/>
      <c r="Q437" s="1"/>
    </row>
    <row r="438">
      <c r="C438" s="1"/>
      <c r="K438" s="1"/>
      <c r="Q438" s="1"/>
    </row>
    <row r="439">
      <c r="C439" s="1"/>
      <c r="K439" s="1"/>
      <c r="Q439" s="1"/>
    </row>
    <row r="440">
      <c r="C440" s="1"/>
      <c r="K440" s="1"/>
      <c r="Q440" s="1"/>
    </row>
    <row r="441">
      <c r="C441" s="1"/>
      <c r="K441" s="1"/>
      <c r="Q441" s="1"/>
    </row>
    <row r="442">
      <c r="C442" s="1"/>
      <c r="K442" s="1"/>
      <c r="Q442" s="1"/>
    </row>
    <row r="443">
      <c r="C443" s="1"/>
      <c r="K443" s="1"/>
      <c r="Q443" s="1"/>
    </row>
    <row r="444">
      <c r="C444" s="1"/>
      <c r="K444" s="1"/>
      <c r="Q444" s="1"/>
    </row>
    <row r="445">
      <c r="C445" s="1"/>
      <c r="K445" s="1"/>
      <c r="Q445" s="1"/>
    </row>
    <row r="446">
      <c r="C446" s="1"/>
      <c r="K446" s="1"/>
      <c r="Q446" s="1"/>
    </row>
    <row r="447">
      <c r="C447" s="1"/>
      <c r="K447" s="1"/>
      <c r="Q447" s="1"/>
    </row>
    <row r="448">
      <c r="C448" s="1"/>
      <c r="K448" s="1"/>
      <c r="Q448" s="1"/>
    </row>
    <row r="449">
      <c r="C449" s="1"/>
      <c r="K449" s="1"/>
      <c r="Q449" s="1"/>
    </row>
    <row r="450">
      <c r="C450" s="1"/>
      <c r="K450" s="1"/>
      <c r="Q450" s="1"/>
    </row>
    <row r="451">
      <c r="C451" s="1"/>
      <c r="K451" s="1"/>
      <c r="Q451" s="1"/>
    </row>
    <row r="452">
      <c r="C452" s="1"/>
      <c r="K452" s="1"/>
      <c r="Q452" s="1"/>
    </row>
    <row r="453">
      <c r="C453" s="1"/>
      <c r="K453" s="1"/>
      <c r="Q453" s="1"/>
    </row>
    <row r="454">
      <c r="C454" s="1"/>
      <c r="K454" s="1"/>
      <c r="Q454" s="1"/>
    </row>
    <row r="455">
      <c r="C455" s="1"/>
      <c r="K455" s="1"/>
      <c r="Q455" s="1"/>
    </row>
    <row r="456">
      <c r="C456" s="1"/>
      <c r="K456" s="1"/>
      <c r="Q456" s="1"/>
    </row>
    <row r="457">
      <c r="C457" s="1"/>
      <c r="K457" s="1"/>
      <c r="Q457" s="1"/>
    </row>
    <row r="458">
      <c r="C458" s="1"/>
      <c r="K458" s="1"/>
      <c r="Q458" s="1"/>
    </row>
    <row r="459">
      <c r="C459" s="1"/>
      <c r="K459" s="1"/>
      <c r="Q459" s="1"/>
    </row>
    <row r="460">
      <c r="C460" s="1"/>
      <c r="K460" s="1"/>
      <c r="Q460" s="1"/>
    </row>
    <row r="461">
      <c r="C461" s="1"/>
      <c r="K461" s="1"/>
      <c r="Q461" s="1"/>
    </row>
    <row r="462">
      <c r="C462" s="1"/>
      <c r="K462" s="1"/>
      <c r="Q462" s="1"/>
    </row>
    <row r="463">
      <c r="C463" s="1"/>
      <c r="K463" s="1"/>
      <c r="Q463" s="1"/>
    </row>
    <row r="464">
      <c r="C464" s="1"/>
      <c r="K464" s="1"/>
      <c r="Q464" s="1"/>
    </row>
    <row r="465">
      <c r="C465" s="1"/>
      <c r="K465" s="1"/>
      <c r="Q465" s="1"/>
    </row>
    <row r="466">
      <c r="C466" s="1"/>
      <c r="K466" s="1"/>
      <c r="Q466" s="1"/>
    </row>
    <row r="467">
      <c r="C467" s="1"/>
      <c r="K467" s="1"/>
      <c r="Q467" s="1"/>
    </row>
    <row r="468">
      <c r="C468" s="1"/>
      <c r="K468" s="1"/>
      <c r="Q468" s="1"/>
    </row>
    <row r="469">
      <c r="C469" s="1"/>
      <c r="K469" s="1"/>
      <c r="Q469" s="1"/>
    </row>
    <row r="470">
      <c r="C470" s="1"/>
      <c r="K470" s="1"/>
      <c r="Q470" s="1"/>
    </row>
    <row r="471">
      <c r="C471" s="1"/>
      <c r="K471" s="1"/>
      <c r="Q471" s="1"/>
    </row>
    <row r="472">
      <c r="C472" s="1"/>
      <c r="K472" s="1"/>
      <c r="Q472" s="1"/>
    </row>
    <row r="473">
      <c r="C473" s="1"/>
      <c r="K473" s="1"/>
      <c r="Q473" s="1"/>
    </row>
    <row r="474">
      <c r="C474" s="1"/>
      <c r="K474" s="1"/>
      <c r="Q474" s="1"/>
    </row>
    <row r="475">
      <c r="C475" s="1"/>
      <c r="K475" s="1"/>
      <c r="Q475" s="1"/>
    </row>
    <row r="476">
      <c r="C476" s="1"/>
      <c r="K476" s="1"/>
      <c r="Q476" s="1"/>
    </row>
    <row r="477">
      <c r="C477" s="1"/>
      <c r="K477" s="1"/>
      <c r="Q477" s="1"/>
    </row>
    <row r="478">
      <c r="C478" s="1"/>
      <c r="K478" s="1"/>
      <c r="Q478" s="1"/>
    </row>
    <row r="479">
      <c r="C479" s="1"/>
      <c r="K479" s="1"/>
      <c r="Q479" s="1"/>
    </row>
    <row r="480">
      <c r="C480" s="1"/>
      <c r="K480" s="1"/>
      <c r="Q480" s="1"/>
    </row>
    <row r="481">
      <c r="C481" s="1"/>
      <c r="K481" s="1"/>
      <c r="Q481" s="1"/>
    </row>
    <row r="482">
      <c r="C482" s="1"/>
      <c r="K482" s="1"/>
      <c r="Q482" s="1"/>
    </row>
    <row r="483">
      <c r="C483" s="1"/>
      <c r="K483" s="1"/>
      <c r="Q483" s="1"/>
    </row>
    <row r="484">
      <c r="C484" s="1"/>
      <c r="K484" s="1"/>
      <c r="Q484" s="1"/>
    </row>
    <row r="485">
      <c r="C485" s="1"/>
      <c r="K485" s="1"/>
      <c r="Q485" s="1"/>
    </row>
    <row r="486">
      <c r="C486" s="1"/>
      <c r="K486" s="1"/>
      <c r="Q486" s="1"/>
    </row>
    <row r="487">
      <c r="C487" s="1"/>
      <c r="K487" s="1"/>
      <c r="Q487" s="1"/>
    </row>
    <row r="488">
      <c r="C488" s="1"/>
      <c r="K488" s="1"/>
      <c r="Q488" s="1"/>
    </row>
    <row r="489">
      <c r="C489" s="1"/>
      <c r="K489" s="1"/>
      <c r="Q489" s="1"/>
    </row>
    <row r="490">
      <c r="C490" s="1"/>
      <c r="K490" s="1"/>
      <c r="Q490" s="1"/>
    </row>
    <row r="491">
      <c r="C491" s="1"/>
      <c r="K491" s="1"/>
      <c r="Q491" s="1"/>
    </row>
    <row r="492">
      <c r="C492" s="1"/>
      <c r="K492" s="1"/>
      <c r="Q492" s="1"/>
    </row>
    <row r="493">
      <c r="C493" s="1"/>
      <c r="K493" s="1"/>
      <c r="Q493" s="1"/>
    </row>
    <row r="494">
      <c r="C494" s="1"/>
      <c r="K494" s="1"/>
      <c r="Q494" s="1"/>
    </row>
    <row r="495">
      <c r="C495" s="1"/>
      <c r="K495" s="1"/>
      <c r="Q495" s="1"/>
    </row>
    <row r="496">
      <c r="C496" s="1"/>
      <c r="K496" s="1"/>
      <c r="Q496" s="1"/>
    </row>
    <row r="497">
      <c r="C497" s="1"/>
      <c r="K497" s="1"/>
      <c r="Q497" s="1"/>
    </row>
    <row r="498">
      <c r="C498" s="1"/>
      <c r="K498" s="1"/>
      <c r="Q498" s="1"/>
    </row>
    <row r="499">
      <c r="C499" s="1"/>
      <c r="K499" s="1"/>
      <c r="Q499" s="1"/>
    </row>
    <row r="500">
      <c r="C500" s="1"/>
      <c r="K500" s="1"/>
      <c r="Q500" s="1"/>
    </row>
    <row r="501">
      <c r="C501" s="1"/>
      <c r="K501" s="1"/>
      <c r="Q501" s="1"/>
    </row>
    <row r="502">
      <c r="C502" s="1"/>
      <c r="K502" s="1"/>
      <c r="Q502" s="1"/>
    </row>
    <row r="503">
      <c r="C503" s="1"/>
      <c r="K503" s="1"/>
      <c r="Q503" s="1"/>
    </row>
    <row r="504">
      <c r="C504" s="1"/>
      <c r="K504" s="1"/>
      <c r="Q504" s="1"/>
    </row>
    <row r="505">
      <c r="C505" s="1"/>
      <c r="K505" s="1"/>
      <c r="Q505" s="1"/>
    </row>
    <row r="506">
      <c r="C506" s="1"/>
      <c r="K506" s="1"/>
      <c r="Q506" s="1"/>
    </row>
    <row r="507">
      <c r="C507" s="1"/>
      <c r="K507" s="1"/>
      <c r="Q507" s="1"/>
    </row>
    <row r="508">
      <c r="C508" s="1"/>
      <c r="K508" s="1"/>
      <c r="Q508" s="1"/>
    </row>
    <row r="509">
      <c r="C509" s="1"/>
      <c r="K509" s="1"/>
      <c r="Q509" s="1"/>
    </row>
    <row r="510">
      <c r="C510" s="1"/>
      <c r="K510" s="1"/>
      <c r="Q510" s="1"/>
    </row>
    <row r="511">
      <c r="C511" s="1"/>
      <c r="K511" s="1"/>
      <c r="Q511" s="1"/>
    </row>
    <row r="512">
      <c r="C512" s="1"/>
      <c r="K512" s="1"/>
      <c r="Q512" s="1"/>
    </row>
    <row r="513">
      <c r="C513" s="1"/>
      <c r="K513" s="1"/>
      <c r="Q513" s="1"/>
    </row>
    <row r="514">
      <c r="C514" s="1"/>
      <c r="K514" s="1"/>
      <c r="Q514" s="1"/>
    </row>
    <row r="515">
      <c r="C515" s="1"/>
      <c r="K515" s="1"/>
      <c r="Q515" s="1"/>
    </row>
    <row r="516">
      <c r="C516" s="1"/>
      <c r="K516" s="1"/>
      <c r="Q516" s="1"/>
    </row>
    <row r="517">
      <c r="C517" s="1"/>
      <c r="K517" s="1"/>
      <c r="Q517" s="1"/>
    </row>
    <row r="518">
      <c r="C518" s="1"/>
      <c r="K518" s="1"/>
      <c r="Q518" s="1"/>
    </row>
    <row r="519">
      <c r="C519" s="1"/>
      <c r="K519" s="1"/>
      <c r="Q519" s="1"/>
    </row>
    <row r="520">
      <c r="C520" s="1"/>
      <c r="K520" s="1"/>
      <c r="Q520" s="1"/>
    </row>
    <row r="521">
      <c r="C521" s="1"/>
      <c r="K521" s="1"/>
      <c r="Q521" s="1"/>
    </row>
    <row r="522">
      <c r="C522" s="1"/>
      <c r="K522" s="1"/>
      <c r="Q522" s="1"/>
    </row>
    <row r="523">
      <c r="C523" s="1"/>
      <c r="K523" s="1"/>
      <c r="Q523" s="1"/>
    </row>
    <row r="524">
      <c r="C524" s="1"/>
      <c r="K524" s="1"/>
      <c r="Q524" s="1"/>
    </row>
    <row r="525">
      <c r="C525" s="1"/>
      <c r="K525" s="1"/>
      <c r="Q525" s="1"/>
    </row>
    <row r="526">
      <c r="C526" s="1"/>
      <c r="K526" s="1"/>
      <c r="Q526" s="1"/>
    </row>
    <row r="527">
      <c r="C527" s="1"/>
      <c r="K527" s="1"/>
      <c r="Q527" s="1"/>
    </row>
    <row r="528">
      <c r="C528" s="1"/>
      <c r="K528" s="1"/>
      <c r="Q528" s="1"/>
    </row>
    <row r="529">
      <c r="C529" s="1"/>
      <c r="K529" s="1"/>
      <c r="Q529" s="1"/>
    </row>
    <row r="530">
      <c r="C530" s="1"/>
      <c r="K530" s="1"/>
      <c r="Q530" s="1"/>
    </row>
    <row r="531">
      <c r="C531" s="1"/>
      <c r="K531" s="1"/>
      <c r="Q531" s="1"/>
    </row>
    <row r="532">
      <c r="C532" s="1"/>
      <c r="K532" s="1"/>
      <c r="Q532" s="1"/>
    </row>
    <row r="533">
      <c r="C533" s="1"/>
      <c r="K533" s="1"/>
      <c r="Q533" s="1"/>
    </row>
    <row r="534">
      <c r="C534" s="1"/>
      <c r="K534" s="1"/>
      <c r="Q534" s="1"/>
    </row>
    <row r="535">
      <c r="C535" s="1"/>
      <c r="K535" s="1"/>
      <c r="Q535" s="1"/>
    </row>
    <row r="536">
      <c r="C536" s="1"/>
      <c r="K536" s="1"/>
      <c r="Q536" s="1"/>
    </row>
    <row r="537">
      <c r="C537" s="1"/>
      <c r="K537" s="1"/>
      <c r="Q537" s="1"/>
    </row>
    <row r="538">
      <c r="C538" s="1"/>
      <c r="K538" s="1"/>
      <c r="Q538" s="1"/>
    </row>
    <row r="539">
      <c r="C539" s="1"/>
      <c r="K539" s="1"/>
      <c r="Q539" s="1"/>
    </row>
    <row r="540">
      <c r="C540" s="1"/>
      <c r="K540" s="1"/>
      <c r="Q540" s="1"/>
    </row>
    <row r="541">
      <c r="C541" s="1"/>
      <c r="K541" s="1"/>
      <c r="Q541" s="1"/>
    </row>
    <row r="542">
      <c r="C542" s="1"/>
      <c r="K542" s="1"/>
      <c r="Q542" s="1"/>
    </row>
    <row r="543">
      <c r="C543" s="1"/>
      <c r="K543" s="1"/>
      <c r="Q543" s="1"/>
    </row>
    <row r="544">
      <c r="C544" s="1"/>
      <c r="K544" s="1"/>
      <c r="Q544" s="1"/>
    </row>
    <row r="545">
      <c r="C545" s="1"/>
      <c r="K545" s="1"/>
      <c r="Q545" s="1"/>
    </row>
    <row r="546">
      <c r="C546" s="1"/>
      <c r="K546" s="1"/>
      <c r="Q546" s="1"/>
    </row>
    <row r="547">
      <c r="C547" s="1"/>
      <c r="K547" s="1"/>
      <c r="Q547" s="1"/>
    </row>
    <row r="548">
      <c r="C548" s="1"/>
      <c r="K548" s="1"/>
      <c r="Q548" s="1"/>
    </row>
    <row r="549">
      <c r="C549" s="1"/>
      <c r="K549" s="1"/>
      <c r="Q549" s="1"/>
    </row>
    <row r="550">
      <c r="C550" s="1"/>
      <c r="K550" s="1"/>
      <c r="Q550" s="1"/>
    </row>
    <row r="551">
      <c r="C551" s="1"/>
      <c r="K551" s="1"/>
      <c r="Q551" s="1"/>
    </row>
    <row r="552">
      <c r="C552" s="1"/>
      <c r="K552" s="1"/>
      <c r="Q552" s="1"/>
    </row>
    <row r="553">
      <c r="C553" s="1"/>
      <c r="K553" s="1"/>
      <c r="Q553" s="1"/>
    </row>
    <row r="554">
      <c r="C554" s="1"/>
      <c r="K554" s="1"/>
      <c r="Q554" s="1"/>
    </row>
    <row r="555">
      <c r="C555" s="1"/>
      <c r="K555" s="1"/>
      <c r="Q555" s="1"/>
    </row>
    <row r="556">
      <c r="C556" s="1"/>
      <c r="K556" s="1"/>
      <c r="Q556" s="1"/>
    </row>
    <row r="557">
      <c r="C557" s="1"/>
      <c r="K557" s="1"/>
      <c r="Q557" s="1"/>
    </row>
    <row r="558">
      <c r="C558" s="1"/>
      <c r="K558" s="1"/>
      <c r="Q558" s="1"/>
    </row>
    <row r="559">
      <c r="C559" s="1"/>
      <c r="K559" s="1"/>
      <c r="Q559" s="1"/>
    </row>
    <row r="560">
      <c r="C560" s="1"/>
      <c r="K560" s="1"/>
      <c r="Q560" s="1"/>
    </row>
    <row r="561">
      <c r="C561" s="1"/>
      <c r="K561" s="1"/>
      <c r="Q561" s="1"/>
    </row>
    <row r="562">
      <c r="C562" s="1"/>
      <c r="K562" s="1"/>
      <c r="Q562" s="1"/>
    </row>
    <row r="563">
      <c r="C563" s="1"/>
      <c r="K563" s="1"/>
      <c r="Q563" s="1"/>
    </row>
    <row r="564">
      <c r="C564" s="1"/>
      <c r="K564" s="1"/>
      <c r="Q564" s="1"/>
    </row>
    <row r="565">
      <c r="C565" s="1"/>
      <c r="K565" s="1"/>
      <c r="Q565" s="1"/>
    </row>
    <row r="566">
      <c r="C566" s="1"/>
      <c r="K566" s="1"/>
      <c r="Q566" s="1"/>
    </row>
    <row r="567">
      <c r="C567" s="1"/>
      <c r="K567" s="1"/>
      <c r="Q567" s="1"/>
    </row>
    <row r="568">
      <c r="C568" s="1"/>
      <c r="K568" s="1"/>
      <c r="Q568" s="1"/>
    </row>
    <row r="569">
      <c r="C569" s="1"/>
      <c r="K569" s="1"/>
      <c r="Q569" s="1"/>
    </row>
    <row r="570">
      <c r="C570" s="1"/>
      <c r="K570" s="1"/>
      <c r="Q570" s="1"/>
    </row>
    <row r="571">
      <c r="C571" s="1"/>
      <c r="K571" s="1"/>
      <c r="Q571" s="1"/>
    </row>
    <row r="572">
      <c r="C572" s="1"/>
      <c r="K572" s="1"/>
      <c r="Q572" s="1"/>
    </row>
    <row r="573">
      <c r="C573" s="1"/>
      <c r="K573" s="1"/>
      <c r="Q573" s="1"/>
    </row>
    <row r="574">
      <c r="C574" s="1"/>
      <c r="K574" s="1"/>
      <c r="Q574" s="1"/>
    </row>
    <row r="575">
      <c r="C575" s="1"/>
      <c r="K575" s="1"/>
      <c r="Q575" s="1"/>
    </row>
    <row r="576">
      <c r="C576" s="1"/>
      <c r="K576" s="1"/>
      <c r="Q576" s="1"/>
    </row>
    <row r="577">
      <c r="C577" s="1"/>
      <c r="K577" s="1"/>
      <c r="Q577" s="1"/>
    </row>
    <row r="578">
      <c r="C578" s="1"/>
      <c r="K578" s="1"/>
      <c r="Q578" s="1"/>
    </row>
    <row r="579">
      <c r="C579" s="1"/>
      <c r="K579" s="1"/>
      <c r="Q579" s="1"/>
    </row>
    <row r="580">
      <c r="C580" s="1"/>
      <c r="K580" s="1"/>
      <c r="Q580" s="1"/>
    </row>
    <row r="581">
      <c r="C581" s="1"/>
      <c r="K581" s="1"/>
      <c r="Q581" s="1"/>
    </row>
    <row r="582">
      <c r="C582" s="1"/>
      <c r="K582" s="1"/>
      <c r="Q582" s="1"/>
    </row>
    <row r="583">
      <c r="C583" s="1"/>
      <c r="K583" s="1"/>
      <c r="Q583" s="1"/>
    </row>
    <row r="584">
      <c r="C584" s="1"/>
      <c r="K584" s="1"/>
      <c r="Q584" s="1"/>
    </row>
    <row r="585">
      <c r="C585" s="1"/>
      <c r="K585" s="1"/>
      <c r="Q585" s="1"/>
    </row>
    <row r="586">
      <c r="C586" s="1"/>
      <c r="K586" s="1"/>
      <c r="Q586" s="1"/>
    </row>
    <row r="587">
      <c r="C587" s="1"/>
      <c r="K587" s="1"/>
      <c r="Q587" s="1"/>
    </row>
    <row r="588">
      <c r="C588" s="1"/>
      <c r="K588" s="1"/>
      <c r="Q588" s="1"/>
    </row>
    <row r="589">
      <c r="C589" s="1"/>
      <c r="K589" s="1"/>
      <c r="Q589" s="1"/>
    </row>
    <row r="590">
      <c r="C590" s="1"/>
      <c r="K590" s="1"/>
      <c r="Q590" s="1"/>
    </row>
    <row r="591">
      <c r="C591" s="1"/>
      <c r="K591" s="1"/>
      <c r="Q591" s="1"/>
    </row>
    <row r="592">
      <c r="C592" s="1"/>
      <c r="K592" s="1"/>
      <c r="Q592" s="1"/>
    </row>
    <row r="593">
      <c r="C593" s="1"/>
      <c r="K593" s="1"/>
      <c r="Q593" s="1"/>
    </row>
    <row r="594">
      <c r="C594" s="1"/>
      <c r="K594" s="1"/>
      <c r="Q594" s="1"/>
    </row>
    <row r="595">
      <c r="C595" s="1"/>
      <c r="K595" s="1"/>
      <c r="Q595" s="1"/>
    </row>
    <row r="596">
      <c r="C596" s="1"/>
      <c r="K596" s="1"/>
      <c r="Q596" s="1"/>
    </row>
    <row r="597">
      <c r="C597" s="1"/>
      <c r="K597" s="1"/>
      <c r="Q597" s="1"/>
    </row>
    <row r="598">
      <c r="C598" s="1"/>
      <c r="K598" s="1"/>
      <c r="Q598" s="1"/>
    </row>
    <row r="599">
      <c r="C599" s="1"/>
      <c r="K599" s="1"/>
      <c r="Q599" s="1"/>
    </row>
    <row r="600">
      <c r="C600" s="1"/>
      <c r="K600" s="1"/>
      <c r="Q600" s="1"/>
    </row>
    <row r="601">
      <c r="C601" s="1"/>
      <c r="K601" s="1"/>
      <c r="Q601" s="1"/>
    </row>
    <row r="602">
      <c r="C602" s="1"/>
      <c r="K602" s="1"/>
      <c r="Q602" s="1"/>
    </row>
    <row r="603">
      <c r="C603" s="1"/>
      <c r="K603" s="1"/>
      <c r="Q603" s="1"/>
    </row>
    <row r="604">
      <c r="C604" s="1"/>
      <c r="K604" s="1"/>
      <c r="Q604" s="1"/>
    </row>
    <row r="605">
      <c r="C605" s="1"/>
      <c r="K605" s="1"/>
      <c r="Q605" s="1"/>
    </row>
    <row r="606">
      <c r="C606" s="1"/>
      <c r="K606" s="1"/>
      <c r="Q606" s="1"/>
    </row>
    <row r="607">
      <c r="C607" s="1"/>
      <c r="K607" s="1"/>
      <c r="Q607" s="1"/>
    </row>
    <row r="608">
      <c r="C608" s="1"/>
      <c r="K608" s="1"/>
      <c r="Q608" s="1"/>
    </row>
    <row r="609">
      <c r="C609" s="1"/>
      <c r="K609" s="1"/>
      <c r="Q609" s="1"/>
    </row>
    <row r="610">
      <c r="C610" s="1"/>
      <c r="K610" s="1"/>
      <c r="Q610" s="1"/>
    </row>
    <row r="611">
      <c r="C611" s="1"/>
      <c r="K611" s="1"/>
      <c r="Q611" s="1"/>
    </row>
    <row r="612">
      <c r="C612" s="1"/>
      <c r="K612" s="1"/>
      <c r="Q612" s="1"/>
    </row>
    <row r="613">
      <c r="C613" s="1"/>
      <c r="K613" s="1"/>
      <c r="Q613" s="1"/>
    </row>
    <row r="614">
      <c r="C614" s="1"/>
      <c r="K614" s="1"/>
      <c r="Q614" s="1"/>
    </row>
    <row r="615">
      <c r="C615" s="1"/>
      <c r="K615" s="1"/>
      <c r="Q615" s="1"/>
    </row>
    <row r="616">
      <c r="C616" s="1"/>
      <c r="K616" s="1"/>
      <c r="Q616" s="1"/>
    </row>
    <row r="617">
      <c r="C617" s="1"/>
      <c r="K617" s="1"/>
      <c r="Q617" s="1"/>
    </row>
    <row r="618">
      <c r="C618" s="1"/>
      <c r="K618" s="1"/>
      <c r="Q618" s="1"/>
    </row>
    <row r="619">
      <c r="C619" s="1"/>
      <c r="K619" s="1"/>
      <c r="Q619" s="1"/>
    </row>
    <row r="620">
      <c r="C620" s="1"/>
      <c r="K620" s="1"/>
      <c r="Q620" s="1"/>
    </row>
    <row r="621">
      <c r="C621" s="1"/>
      <c r="K621" s="1"/>
      <c r="Q621" s="1"/>
    </row>
    <row r="622">
      <c r="C622" s="1"/>
      <c r="K622" s="1"/>
      <c r="Q622" s="1"/>
    </row>
    <row r="623">
      <c r="C623" s="1"/>
      <c r="K623" s="1"/>
      <c r="Q623" s="1"/>
    </row>
    <row r="624">
      <c r="C624" s="1"/>
      <c r="K624" s="1"/>
      <c r="Q624" s="1"/>
    </row>
    <row r="625">
      <c r="C625" s="1"/>
      <c r="K625" s="1"/>
      <c r="Q625" s="1"/>
    </row>
    <row r="626">
      <c r="C626" s="1"/>
      <c r="K626" s="1"/>
      <c r="Q626" s="1"/>
    </row>
    <row r="627">
      <c r="C627" s="1"/>
      <c r="K627" s="1"/>
      <c r="Q627" s="1"/>
    </row>
    <row r="628">
      <c r="C628" s="1"/>
      <c r="K628" s="1"/>
      <c r="Q628" s="1"/>
    </row>
    <row r="629">
      <c r="C629" s="1"/>
      <c r="K629" s="1"/>
      <c r="Q629" s="1"/>
    </row>
    <row r="630">
      <c r="C630" s="1"/>
      <c r="K630" s="1"/>
      <c r="Q630" s="1"/>
    </row>
    <row r="631">
      <c r="C631" s="1"/>
      <c r="K631" s="1"/>
      <c r="Q631" s="1"/>
    </row>
    <row r="632">
      <c r="C632" s="1"/>
      <c r="K632" s="1"/>
      <c r="Q632" s="1"/>
    </row>
    <row r="633">
      <c r="C633" s="1"/>
      <c r="K633" s="1"/>
      <c r="Q633" s="1"/>
    </row>
    <row r="634">
      <c r="C634" s="1"/>
      <c r="K634" s="1"/>
      <c r="Q634" s="1"/>
    </row>
    <row r="635">
      <c r="C635" s="1"/>
      <c r="K635" s="1"/>
      <c r="Q635" s="1"/>
    </row>
    <row r="636">
      <c r="C636" s="1"/>
      <c r="K636" s="1"/>
      <c r="Q636" s="1"/>
    </row>
    <row r="637">
      <c r="C637" s="1"/>
      <c r="K637" s="1"/>
      <c r="Q637" s="1"/>
    </row>
    <row r="638">
      <c r="C638" s="1"/>
      <c r="K638" s="1"/>
      <c r="Q638" s="1"/>
    </row>
    <row r="639">
      <c r="C639" s="1"/>
      <c r="K639" s="1"/>
      <c r="Q639" s="1"/>
    </row>
    <row r="640">
      <c r="C640" s="1"/>
      <c r="K640" s="1"/>
      <c r="Q640" s="1"/>
    </row>
    <row r="641">
      <c r="C641" s="1"/>
      <c r="K641" s="1"/>
      <c r="Q641" s="1"/>
    </row>
    <row r="642">
      <c r="C642" s="1"/>
      <c r="K642" s="1"/>
      <c r="Q642" s="1"/>
    </row>
    <row r="643">
      <c r="C643" s="1"/>
      <c r="K643" s="1"/>
      <c r="Q643" s="1"/>
    </row>
    <row r="644">
      <c r="C644" s="1"/>
      <c r="K644" s="1"/>
      <c r="Q644" s="1"/>
    </row>
    <row r="645">
      <c r="C645" s="1"/>
      <c r="K645" s="1"/>
      <c r="Q645" s="1"/>
    </row>
    <row r="646">
      <c r="C646" s="1"/>
      <c r="K646" s="1"/>
      <c r="Q646" s="1"/>
    </row>
    <row r="647">
      <c r="C647" s="1"/>
      <c r="K647" s="1"/>
      <c r="Q647" s="1"/>
    </row>
    <row r="648">
      <c r="C648" s="1"/>
      <c r="K648" s="1"/>
      <c r="Q648" s="1"/>
    </row>
    <row r="649">
      <c r="C649" s="1"/>
      <c r="K649" s="1"/>
      <c r="Q649" s="1"/>
    </row>
    <row r="650">
      <c r="C650" s="1"/>
      <c r="K650" s="1"/>
      <c r="Q650" s="1"/>
    </row>
    <row r="651">
      <c r="C651" s="1"/>
      <c r="K651" s="1"/>
      <c r="Q651" s="1"/>
    </row>
    <row r="652">
      <c r="C652" s="1"/>
      <c r="K652" s="1"/>
      <c r="Q652" s="1"/>
    </row>
    <row r="653">
      <c r="C653" s="1"/>
      <c r="K653" s="1"/>
      <c r="Q653" s="1"/>
    </row>
    <row r="654">
      <c r="C654" s="1"/>
      <c r="K654" s="1"/>
      <c r="Q654" s="1"/>
    </row>
    <row r="655">
      <c r="C655" s="1"/>
      <c r="K655" s="1"/>
      <c r="Q655" s="1"/>
    </row>
    <row r="656">
      <c r="C656" s="1"/>
      <c r="K656" s="1"/>
      <c r="Q656" s="1"/>
    </row>
    <row r="657">
      <c r="C657" s="1"/>
      <c r="K657" s="1"/>
      <c r="Q657" s="1"/>
    </row>
    <row r="658">
      <c r="C658" s="1"/>
      <c r="K658" s="1"/>
      <c r="Q658" s="1"/>
    </row>
    <row r="659">
      <c r="C659" s="1"/>
      <c r="K659" s="1"/>
      <c r="Q659" s="1"/>
    </row>
    <row r="660">
      <c r="C660" s="1"/>
      <c r="K660" s="1"/>
      <c r="Q660" s="1"/>
    </row>
    <row r="661">
      <c r="C661" s="1"/>
      <c r="K661" s="1"/>
      <c r="Q661" s="1"/>
    </row>
    <row r="662">
      <c r="C662" s="1"/>
      <c r="K662" s="1"/>
      <c r="Q662" s="1"/>
    </row>
    <row r="663">
      <c r="C663" s="1"/>
      <c r="K663" s="1"/>
      <c r="Q663" s="1"/>
    </row>
    <row r="664">
      <c r="C664" s="1"/>
      <c r="K664" s="1"/>
      <c r="Q664" s="1"/>
    </row>
    <row r="665">
      <c r="C665" s="1"/>
      <c r="K665" s="1"/>
      <c r="Q665" s="1"/>
    </row>
    <row r="666">
      <c r="C666" s="1"/>
      <c r="K666" s="1"/>
      <c r="Q666" s="1"/>
    </row>
    <row r="667">
      <c r="C667" s="1"/>
      <c r="K667" s="1"/>
      <c r="Q667" s="1"/>
    </row>
    <row r="668">
      <c r="C668" s="1"/>
      <c r="K668" s="1"/>
      <c r="Q668" s="1"/>
    </row>
    <row r="669">
      <c r="C669" s="1"/>
      <c r="K669" s="1"/>
      <c r="Q669" s="1"/>
    </row>
    <row r="670">
      <c r="C670" s="1"/>
      <c r="K670" s="1"/>
      <c r="Q670" s="1"/>
    </row>
    <row r="671">
      <c r="C671" s="1"/>
      <c r="K671" s="1"/>
      <c r="Q671" s="1"/>
    </row>
    <row r="672">
      <c r="C672" s="1"/>
      <c r="K672" s="1"/>
      <c r="Q672" s="1"/>
    </row>
    <row r="673">
      <c r="C673" s="1"/>
      <c r="K673" s="1"/>
      <c r="Q673" s="1"/>
    </row>
    <row r="674">
      <c r="C674" s="1"/>
      <c r="K674" s="1"/>
      <c r="Q674" s="1"/>
    </row>
    <row r="675">
      <c r="C675" s="1"/>
      <c r="K675" s="1"/>
      <c r="Q675" s="1"/>
    </row>
    <row r="676">
      <c r="C676" s="1"/>
      <c r="K676" s="1"/>
      <c r="Q676" s="1"/>
    </row>
    <row r="677">
      <c r="C677" s="1"/>
      <c r="K677" s="1"/>
      <c r="Q677" s="1"/>
    </row>
    <row r="678">
      <c r="C678" s="1"/>
      <c r="K678" s="1"/>
      <c r="Q678" s="1"/>
    </row>
    <row r="679">
      <c r="C679" s="1"/>
      <c r="K679" s="1"/>
      <c r="Q679" s="1"/>
    </row>
    <row r="680">
      <c r="C680" s="1"/>
      <c r="K680" s="1"/>
      <c r="Q680" s="1"/>
    </row>
    <row r="681">
      <c r="C681" s="1"/>
      <c r="K681" s="1"/>
      <c r="Q681" s="1"/>
    </row>
    <row r="682">
      <c r="C682" s="1"/>
      <c r="K682" s="1"/>
      <c r="Q682" s="1"/>
    </row>
    <row r="683">
      <c r="C683" s="1"/>
      <c r="K683" s="1"/>
      <c r="Q683" s="1"/>
    </row>
    <row r="684">
      <c r="C684" s="1"/>
      <c r="K684" s="1"/>
      <c r="Q684" s="1"/>
    </row>
    <row r="685">
      <c r="C685" s="1"/>
      <c r="K685" s="1"/>
      <c r="Q685" s="1"/>
    </row>
    <row r="686">
      <c r="C686" s="1"/>
      <c r="K686" s="1"/>
      <c r="Q686" s="1"/>
    </row>
    <row r="687">
      <c r="C687" s="1"/>
      <c r="K687" s="1"/>
      <c r="Q687" s="1"/>
    </row>
    <row r="688">
      <c r="C688" s="1"/>
      <c r="K688" s="1"/>
      <c r="Q688" s="1"/>
    </row>
    <row r="689">
      <c r="C689" s="1"/>
      <c r="K689" s="1"/>
      <c r="Q689" s="1"/>
    </row>
    <row r="690">
      <c r="C690" s="1"/>
      <c r="K690" s="1"/>
      <c r="Q690" s="1"/>
    </row>
    <row r="691">
      <c r="C691" s="1"/>
      <c r="K691" s="1"/>
      <c r="Q691" s="1"/>
    </row>
    <row r="692">
      <c r="C692" s="1"/>
      <c r="K692" s="1"/>
      <c r="Q692" s="1"/>
    </row>
    <row r="693">
      <c r="C693" s="1"/>
      <c r="K693" s="1"/>
      <c r="Q693" s="1"/>
    </row>
    <row r="694">
      <c r="C694" s="1"/>
      <c r="K694" s="1"/>
      <c r="Q694" s="1"/>
    </row>
    <row r="695">
      <c r="C695" s="1"/>
      <c r="K695" s="1"/>
      <c r="Q695" s="1"/>
    </row>
    <row r="696">
      <c r="C696" s="1"/>
      <c r="K696" s="1"/>
      <c r="Q696" s="1"/>
    </row>
    <row r="697">
      <c r="C697" s="1"/>
      <c r="K697" s="1"/>
      <c r="Q697" s="1"/>
    </row>
    <row r="698">
      <c r="C698" s="1"/>
      <c r="K698" s="1"/>
      <c r="Q698" s="1"/>
    </row>
    <row r="699">
      <c r="C699" s="1"/>
      <c r="K699" s="1"/>
      <c r="Q699" s="1"/>
    </row>
    <row r="700">
      <c r="C700" s="1"/>
      <c r="K700" s="1"/>
      <c r="Q700" s="1"/>
    </row>
    <row r="701">
      <c r="C701" s="1"/>
      <c r="K701" s="1"/>
      <c r="Q701" s="1"/>
    </row>
    <row r="702">
      <c r="C702" s="1"/>
      <c r="K702" s="1"/>
      <c r="Q702" s="1"/>
    </row>
    <row r="703">
      <c r="C703" s="1"/>
      <c r="K703" s="1"/>
      <c r="Q703" s="1"/>
    </row>
    <row r="704">
      <c r="C704" s="1"/>
      <c r="K704" s="1"/>
      <c r="Q704" s="1"/>
    </row>
    <row r="705">
      <c r="C705" s="1"/>
      <c r="K705" s="1"/>
      <c r="Q705" s="1"/>
    </row>
    <row r="706">
      <c r="C706" s="1"/>
      <c r="K706" s="1"/>
      <c r="Q706" s="1"/>
    </row>
    <row r="707">
      <c r="C707" s="1"/>
      <c r="K707" s="1"/>
      <c r="Q707" s="1"/>
    </row>
    <row r="708">
      <c r="C708" s="1"/>
      <c r="K708" s="1"/>
      <c r="Q708" s="1"/>
    </row>
    <row r="709">
      <c r="C709" s="1"/>
      <c r="K709" s="1"/>
      <c r="Q709" s="1"/>
    </row>
    <row r="710">
      <c r="C710" s="1"/>
      <c r="K710" s="1"/>
      <c r="Q710" s="1"/>
    </row>
    <row r="711">
      <c r="C711" s="1"/>
      <c r="K711" s="1"/>
      <c r="Q711" s="1"/>
    </row>
    <row r="712">
      <c r="C712" s="1"/>
      <c r="K712" s="1"/>
      <c r="Q712" s="1"/>
    </row>
    <row r="713">
      <c r="C713" s="1"/>
      <c r="K713" s="1"/>
      <c r="Q713" s="1"/>
    </row>
    <row r="714">
      <c r="C714" s="1"/>
      <c r="K714" s="1"/>
      <c r="Q714" s="1"/>
    </row>
    <row r="715">
      <c r="C715" s="1"/>
      <c r="K715" s="1"/>
      <c r="Q715" s="1"/>
    </row>
    <row r="716">
      <c r="C716" s="1"/>
      <c r="K716" s="1"/>
      <c r="Q716" s="1"/>
    </row>
    <row r="717">
      <c r="C717" s="1"/>
      <c r="K717" s="1"/>
      <c r="Q717" s="1"/>
    </row>
    <row r="718">
      <c r="C718" s="1"/>
      <c r="K718" s="1"/>
      <c r="Q718" s="1"/>
    </row>
    <row r="719">
      <c r="C719" s="1"/>
      <c r="K719" s="1"/>
      <c r="Q719" s="1"/>
    </row>
    <row r="720">
      <c r="C720" s="1"/>
      <c r="K720" s="1"/>
      <c r="Q720" s="1"/>
    </row>
    <row r="721">
      <c r="C721" s="1"/>
      <c r="K721" s="1"/>
      <c r="Q721" s="1"/>
    </row>
    <row r="722">
      <c r="C722" s="1"/>
      <c r="K722" s="1"/>
      <c r="Q722" s="1"/>
    </row>
    <row r="723">
      <c r="C723" s="1"/>
      <c r="K723" s="1"/>
      <c r="Q723" s="1"/>
    </row>
    <row r="724">
      <c r="C724" s="1"/>
      <c r="K724" s="1"/>
      <c r="Q724" s="1"/>
    </row>
    <row r="725">
      <c r="C725" s="1"/>
      <c r="K725" s="1"/>
      <c r="Q725" s="1"/>
    </row>
    <row r="726">
      <c r="C726" s="1"/>
      <c r="K726" s="1"/>
      <c r="Q726" s="1"/>
    </row>
    <row r="727">
      <c r="C727" s="1"/>
      <c r="K727" s="1"/>
      <c r="Q727" s="1"/>
    </row>
    <row r="728">
      <c r="C728" s="1"/>
      <c r="K728" s="1"/>
      <c r="Q728" s="1"/>
    </row>
    <row r="729">
      <c r="C729" s="1"/>
      <c r="K729" s="1"/>
      <c r="Q729" s="1"/>
    </row>
    <row r="730">
      <c r="C730" s="1"/>
      <c r="K730" s="1"/>
      <c r="Q730" s="1"/>
    </row>
    <row r="731">
      <c r="C731" s="1"/>
      <c r="K731" s="1"/>
      <c r="Q731" s="1"/>
    </row>
    <row r="732">
      <c r="C732" s="1"/>
      <c r="K732" s="1"/>
      <c r="Q732" s="1"/>
    </row>
    <row r="733">
      <c r="C733" s="1"/>
      <c r="K733" s="1"/>
      <c r="Q733" s="1"/>
    </row>
    <row r="734">
      <c r="C734" s="1"/>
      <c r="K734" s="1"/>
      <c r="Q734" s="1"/>
    </row>
    <row r="735">
      <c r="C735" s="1"/>
      <c r="K735" s="1"/>
      <c r="Q735" s="1"/>
    </row>
    <row r="736">
      <c r="C736" s="1"/>
      <c r="K736" s="1"/>
      <c r="Q736" s="1"/>
    </row>
    <row r="737">
      <c r="C737" s="1"/>
      <c r="K737" s="1"/>
      <c r="Q737" s="1"/>
    </row>
    <row r="738">
      <c r="C738" s="1"/>
      <c r="K738" s="1"/>
      <c r="Q738" s="1"/>
    </row>
    <row r="739">
      <c r="C739" s="1"/>
      <c r="K739" s="1"/>
      <c r="Q739" s="1"/>
    </row>
    <row r="740">
      <c r="C740" s="1"/>
      <c r="K740" s="1"/>
      <c r="Q740" s="1"/>
    </row>
    <row r="741">
      <c r="C741" s="1"/>
      <c r="K741" s="1"/>
      <c r="Q741" s="1"/>
    </row>
    <row r="742">
      <c r="C742" s="1"/>
      <c r="K742" s="1"/>
      <c r="Q742" s="1"/>
    </row>
    <row r="743">
      <c r="C743" s="1"/>
      <c r="K743" s="1"/>
      <c r="Q743" s="1"/>
    </row>
    <row r="744">
      <c r="C744" s="1"/>
      <c r="K744" s="1"/>
      <c r="Q744" s="1"/>
    </row>
    <row r="745">
      <c r="C745" s="1"/>
      <c r="K745" s="1"/>
      <c r="Q745" s="1"/>
    </row>
    <row r="746">
      <c r="C746" s="1"/>
      <c r="K746" s="1"/>
      <c r="Q746" s="1"/>
    </row>
    <row r="747">
      <c r="C747" s="1"/>
      <c r="K747" s="1"/>
      <c r="Q747" s="1"/>
    </row>
    <row r="748">
      <c r="C748" s="1"/>
      <c r="K748" s="1"/>
      <c r="Q748" s="1"/>
    </row>
    <row r="749">
      <c r="C749" s="1"/>
      <c r="K749" s="1"/>
      <c r="Q749" s="1"/>
    </row>
    <row r="750">
      <c r="C750" s="1"/>
      <c r="K750" s="1"/>
      <c r="Q750" s="1"/>
    </row>
    <row r="751">
      <c r="C751" s="1"/>
      <c r="K751" s="1"/>
      <c r="Q751" s="1"/>
    </row>
    <row r="752">
      <c r="C752" s="1"/>
      <c r="K752" s="1"/>
      <c r="Q752" s="1"/>
    </row>
    <row r="753">
      <c r="C753" s="1"/>
      <c r="K753" s="1"/>
      <c r="Q753" s="1"/>
    </row>
    <row r="754">
      <c r="C754" s="1"/>
      <c r="K754" s="1"/>
      <c r="Q754" s="1"/>
    </row>
    <row r="755">
      <c r="C755" s="1"/>
      <c r="K755" s="1"/>
      <c r="Q755" s="1"/>
    </row>
    <row r="756">
      <c r="C756" s="1"/>
      <c r="K756" s="1"/>
      <c r="Q756" s="1"/>
    </row>
    <row r="757">
      <c r="C757" s="1"/>
      <c r="K757" s="1"/>
      <c r="Q757" s="1"/>
    </row>
    <row r="758">
      <c r="C758" s="1"/>
      <c r="K758" s="1"/>
      <c r="Q758" s="1"/>
    </row>
    <row r="759">
      <c r="C759" s="1"/>
      <c r="K759" s="1"/>
      <c r="Q759" s="1"/>
    </row>
    <row r="760">
      <c r="C760" s="1"/>
      <c r="K760" s="1"/>
      <c r="Q760" s="1"/>
    </row>
    <row r="761">
      <c r="C761" s="1"/>
      <c r="K761" s="1"/>
      <c r="Q761" s="1"/>
    </row>
    <row r="762">
      <c r="C762" s="1"/>
      <c r="K762" s="1"/>
      <c r="Q762" s="1"/>
    </row>
    <row r="763">
      <c r="C763" s="1"/>
      <c r="K763" s="1"/>
      <c r="Q763" s="1"/>
    </row>
    <row r="764">
      <c r="C764" s="1"/>
      <c r="K764" s="1"/>
      <c r="Q764" s="1"/>
    </row>
    <row r="765">
      <c r="C765" s="1"/>
      <c r="K765" s="1"/>
      <c r="Q765" s="1"/>
    </row>
    <row r="766">
      <c r="C766" s="1"/>
      <c r="K766" s="1"/>
      <c r="Q766" s="1"/>
    </row>
    <row r="767">
      <c r="C767" s="1"/>
      <c r="K767" s="1"/>
      <c r="Q767" s="1"/>
    </row>
    <row r="768">
      <c r="C768" s="1"/>
      <c r="K768" s="1"/>
      <c r="Q768" s="1"/>
    </row>
    <row r="769">
      <c r="C769" s="1"/>
      <c r="K769" s="1"/>
      <c r="Q769" s="1"/>
    </row>
    <row r="770">
      <c r="C770" s="1"/>
      <c r="K770" s="1"/>
      <c r="Q770" s="1"/>
    </row>
    <row r="771">
      <c r="C771" s="1"/>
      <c r="K771" s="1"/>
      <c r="Q771" s="1"/>
    </row>
    <row r="772">
      <c r="C772" s="1"/>
      <c r="K772" s="1"/>
      <c r="Q772" s="1"/>
    </row>
    <row r="773">
      <c r="C773" s="1"/>
      <c r="K773" s="1"/>
      <c r="Q773" s="1"/>
    </row>
    <row r="774">
      <c r="C774" s="1"/>
      <c r="K774" s="1"/>
      <c r="Q774" s="1"/>
    </row>
    <row r="775">
      <c r="C775" s="1"/>
      <c r="K775" s="1"/>
      <c r="Q775" s="1"/>
    </row>
    <row r="776">
      <c r="C776" s="1"/>
      <c r="K776" s="1"/>
      <c r="Q776" s="1"/>
    </row>
    <row r="777">
      <c r="C777" s="1"/>
      <c r="K777" s="1"/>
      <c r="Q777" s="1"/>
    </row>
    <row r="778">
      <c r="C778" s="1"/>
      <c r="K778" s="1"/>
      <c r="Q778" s="1"/>
    </row>
    <row r="779">
      <c r="C779" s="1"/>
      <c r="K779" s="1"/>
      <c r="Q779" s="1"/>
    </row>
    <row r="780">
      <c r="C780" s="1"/>
      <c r="K780" s="1"/>
      <c r="Q780" s="1"/>
    </row>
    <row r="781">
      <c r="C781" s="1"/>
      <c r="K781" s="1"/>
      <c r="Q781" s="1"/>
    </row>
    <row r="782">
      <c r="C782" s="1"/>
      <c r="K782" s="1"/>
      <c r="Q782" s="1"/>
    </row>
    <row r="783">
      <c r="C783" s="1"/>
      <c r="K783" s="1"/>
      <c r="Q783" s="1"/>
    </row>
    <row r="784">
      <c r="C784" s="1"/>
      <c r="K784" s="1"/>
      <c r="Q784" s="1"/>
    </row>
    <row r="785">
      <c r="C785" s="1"/>
      <c r="K785" s="1"/>
      <c r="Q785" s="1"/>
    </row>
    <row r="786">
      <c r="C786" s="1"/>
      <c r="K786" s="1"/>
      <c r="Q786" s="1"/>
    </row>
    <row r="787">
      <c r="C787" s="1"/>
      <c r="K787" s="1"/>
      <c r="Q787" s="1"/>
    </row>
    <row r="788">
      <c r="C788" s="1"/>
      <c r="K788" s="1"/>
      <c r="Q788" s="1"/>
    </row>
    <row r="789">
      <c r="C789" s="1"/>
      <c r="K789" s="1"/>
      <c r="Q789" s="1"/>
    </row>
    <row r="790">
      <c r="C790" s="1"/>
      <c r="K790" s="1"/>
      <c r="Q790" s="1"/>
    </row>
    <row r="791">
      <c r="C791" s="1"/>
      <c r="K791" s="1"/>
      <c r="Q791" s="1"/>
    </row>
    <row r="792">
      <c r="C792" s="1"/>
      <c r="K792" s="1"/>
      <c r="Q792" s="1"/>
    </row>
    <row r="793">
      <c r="C793" s="1"/>
      <c r="K793" s="1"/>
      <c r="Q793" s="1"/>
    </row>
    <row r="794">
      <c r="C794" s="1"/>
      <c r="K794" s="1"/>
      <c r="Q794" s="1"/>
    </row>
    <row r="795">
      <c r="C795" s="1"/>
      <c r="K795" s="1"/>
      <c r="Q795" s="1"/>
    </row>
    <row r="796">
      <c r="C796" s="1"/>
      <c r="K796" s="1"/>
      <c r="Q796" s="1"/>
    </row>
    <row r="797">
      <c r="C797" s="1"/>
      <c r="K797" s="1"/>
      <c r="Q797" s="1"/>
    </row>
    <row r="798">
      <c r="C798" s="1"/>
      <c r="K798" s="1"/>
      <c r="Q798" s="1"/>
    </row>
    <row r="799">
      <c r="C799" s="1"/>
      <c r="K799" s="1"/>
      <c r="Q799" s="1"/>
    </row>
    <row r="800">
      <c r="C800" s="1"/>
      <c r="K800" s="1"/>
      <c r="Q800" s="1"/>
    </row>
    <row r="801">
      <c r="C801" s="1"/>
      <c r="K801" s="1"/>
      <c r="Q801" s="1"/>
    </row>
    <row r="802">
      <c r="C802" s="1"/>
      <c r="K802" s="1"/>
      <c r="Q802" s="1"/>
    </row>
    <row r="803">
      <c r="C803" s="1"/>
      <c r="K803" s="1"/>
      <c r="Q803" s="1"/>
    </row>
    <row r="804">
      <c r="C804" s="1"/>
      <c r="K804" s="1"/>
      <c r="Q804" s="1"/>
    </row>
    <row r="805">
      <c r="C805" s="1"/>
      <c r="K805" s="1"/>
      <c r="Q805" s="1"/>
    </row>
    <row r="806">
      <c r="C806" s="1"/>
      <c r="K806" s="1"/>
      <c r="Q806" s="1"/>
    </row>
    <row r="807">
      <c r="C807" s="1"/>
      <c r="K807" s="1"/>
      <c r="Q807" s="1"/>
    </row>
    <row r="808">
      <c r="C808" s="1"/>
      <c r="K808" s="1"/>
      <c r="Q808" s="1"/>
    </row>
    <row r="809">
      <c r="C809" s="1"/>
      <c r="K809" s="1"/>
      <c r="Q809" s="1"/>
    </row>
    <row r="810">
      <c r="C810" s="1"/>
      <c r="K810" s="1"/>
      <c r="Q810" s="1"/>
    </row>
    <row r="811">
      <c r="C811" s="1"/>
      <c r="K811" s="1"/>
      <c r="Q811" s="1"/>
    </row>
    <row r="812">
      <c r="C812" s="1"/>
      <c r="K812" s="1"/>
      <c r="Q812" s="1"/>
    </row>
    <row r="813">
      <c r="C813" s="1"/>
      <c r="K813" s="1"/>
      <c r="Q813" s="1"/>
    </row>
    <row r="814">
      <c r="C814" s="1"/>
      <c r="K814" s="1"/>
      <c r="Q814" s="1"/>
    </row>
    <row r="815">
      <c r="C815" s="1"/>
      <c r="K815" s="1"/>
      <c r="Q815" s="1"/>
    </row>
    <row r="816">
      <c r="C816" s="1"/>
      <c r="K816" s="1"/>
      <c r="Q816" s="1"/>
    </row>
    <row r="817">
      <c r="C817" s="1"/>
      <c r="K817" s="1"/>
      <c r="Q817" s="1"/>
    </row>
    <row r="818">
      <c r="C818" s="1"/>
      <c r="K818" s="1"/>
      <c r="Q818" s="1"/>
    </row>
    <row r="819">
      <c r="C819" s="1"/>
      <c r="K819" s="1"/>
      <c r="Q819" s="1"/>
    </row>
    <row r="820">
      <c r="C820" s="1"/>
      <c r="K820" s="1"/>
      <c r="Q820" s="1"/>
    </row>
    <row r="821">
      <c r="C821" s="1"/>
      <c r="K821" s="1"/>
      <c r="Q821" s="1"/>
    </row>
    <row r="822">
      <c r="C822" s="1"/>
      <c r="K822" s="1"/>
      <c r="Q822" s="1"/>
    </row>
    <row r="823">
      <c r="C823" s="1"/>
      <c r="K823" s="1"/>
      <c r="Q823" s="1"/>
    </row>
    <row r="824">
      <c r="C824" s="1"/>
      <c r="K824" s="1"/>
      <c r="Q824" s="1"/>
    </row>
    <row r="825">
      <c r="C825" s="1"/>
      <c r="K825" s="1"/>
      <c r="Q825" s="1"/>
    </row>
    <row r="826">
      <c r="C826" s="1"/>
      <c r="K826" s="1"/>
      <c r="Q826" s="1"/>
    </row>
    <row r="827">
      <c r="C827" s="1"/>
      <c r="K827" s="1"/>
      <c r="Q827" s="1"/>
    </row>
    <row r="828">
      <c r="C828" s="1"/>
      <c r="K828" s="1"/>
      <c r="Q828" s="1"/>
    </row>
    <row r="829">
      <c r="C829" s="1"/>
      <c r="K829" s="1"/>
      <c r="Q829" s="1"/>
    </row>
    <row r="830">
      <c r="C830" s="1"/>
      <c r="K830" s="1"/>
      <c r="Q830" s="1"/>
    </row>
    <row r="831">
      <c r="C831" s="1"/>
      <c r="K831" s="1"/>
      <c r="Q831" s="1"/>
    </row>
    <row r="832">
      <c r="C832" s="1"/>
      <c r="K832" s="1"/>
      <c r="Q832" s="1"/>
    </row>
    <row r="833">
      <c r="C833" s="1"/>
      <c r="K833" s="1"/>
      <c r="Q833" s="1"/>
    </row>
    <row r="834">
      <c r="C834" s="1"/>
      <c r="K834" s="1"/>
      <c r="Q834" s="1"/>
    </row>
    <row r="835">
      <c r="C835" s="1"/>
      <c r="K835" s="1"/>
      <c r="Q835" s="1"/>
    </row>
    <row r="836">
      <c r="C836" s="1"/>
      <c r="K836" s="1"/>
      <c r="Q836" s="1"/>
    </row>
    <row r="837">
      <c r="C837" s="1"/>
      <c r="K837" s="1"/>
      <c r="Q837" s="1"/>
    </row>
    <row r="838">
      <c r="C838" s="1"/>
      <c r="K838" s="1"/>
      <c r="Q838" s="1"/>
    </row>
    <row r="839">
      <c r="C839" s="1"/>
      <c r="K839" s="1"/>
      <c r="Q839" s="1"/>
    </row>
    <row r="840">
      <c r="C840" s="1"/>
      <c r="K840" s="1"/>
      <c r="Q840" s="1"/>
    </row>
    <row r="841">
      <c r="C841" s="1"/>
      <c r="K841" s="1"/>
      <c r="Q841" s="1"/>
    </row>
    <row r="842">
      <c r="C842" s="1"/>
      <c r="K842" s="1"/>
      <c r="Q842" s="1"/>
    </row>
    <row r="843">
      <c r="C843" s="1"/>
      <c r="K843" s="1"/>
      <c r="Q843" s="1"/>
    </row>
    <row r="844">
      <c r="C844" s="1"/>
      <c r="K844" s="1"/>
      <c r="Q844" s="1"/>
    </row>
    <row r="845">
      <c r="C845" s="1"/>
      <c r="K845" s="1"/>
      <c r="Q845" s="1"/>
    </row>
    <row r="846">
      <c r="C846" s="1"/>
      <c r="K846" s="1"/>
      <c r="Q846" s="1"/>
    </row>
    <row r="847">
      <c r="C847" s="1"/>
      <c r="K847" s="1"/>
      <c r="Q847" s="1"/>
    </row>
    <row r="848">
      <c r="C848" s="1"/>
      <c r="K848" s="1"/>
      <c r="Q848" s="1"/>
    </row>
    <row r="849">
      <c r="C849" s="1"/>
      <c r="K849" s="1"/>
      <c r="Q849" s="1"/>
    </row>
    <row r="850">
      <c r="C850" s="1"/>
      <c r="K850" s="1"/>
      <c r="Q850" s="1"/>
    </row>
    <row r="851">
      <c r="C851" s="1"/>
      <c r="K851" s="1"/>
      <c r="Q851" s="1"/>
    </row>
    <row r="852">
      <c r="C852" s="1"/>
      <c r="K852" s="1"/>
      <c r="Q852" s="1"/>
    </row>
    <row r="853">
      <c r="C853" s="1"/>
      <c r="K853" s="1"/>
      <c r="Q853" s="1"/>
    </row>
    <row r="854">
      <c r="C854" s="1"/>
      <c r="K854" s="1"/>
      <c r="Q854" s="1"/>
    </row>
    <row r="855">
      <c r="C855" s="1"/>
      <c r="K855" s="1"/>
      <c r="Q855" s="1"/>
    </row>
    <row r="856">
      <c r="C856" s="1"/>
      <c r="K856" s="1"/>
      <c r="Q856" s="1"/>
    </row>
    <row r="857">
      <c r="C857" s="1"/>
      <c r="K857" s="1"/>
      <c r="Q857" s="1"/>
    </row>
    <row r="858">
      <c r="C858" s="1"/>
      <c r="K858" s="1"/>
      <c r="Q858" s="1"/>
    </row>
    <row r="859">
      <c r="C859" s="1"/>
      <c r="K859" s="1"/>
      <c r="Q859" s="1"/>
    </row>
    <row r="860">
      <c r="C860" s="1"/>
      <c r="K860" s="1"/>
      <c r="Q860" s="1"/>
    </row>
    <row r="861">
      <c r="C861" s="1"/>
      <c r="K861" s="1"/>
      <c r="Q861" s="1"/>
    </row>
    <row r="862">
      <c r="C862" s="1"/>
      <c r="K862" s="1"/>
      <c r="Q862" s="1"/>
    </row>
    <row r="863">
      <c r="C863" s="1"/>
      <c r="K863" s="1"/>
      <c r="Q863" s="1"/>
    </row>
    <row r="864">
      <c r="C864" s="1"/>
      <c r="K864" s="1"/>
      <c r="Q864" s="1"/>
    </row>
    <row r="865">
      <c r="C865" s="1"/>
      <c r="K865" s="1"/>
      <c r="Q865" s="1"/>
    </row>
    <row r="866">
      <c r="C866" s="1"/>
      <c r="K866" s="1"/>
      <c r="Q866" s="1"/>
    </row>
    <row r="867">
      <c r="C867" s="1"/>
      <c r="K867" s="1"/>
      <c r="Q867" s="1"/>
    </row>
    <row r="868">
      <c r="C868" s="1"/>
      <c r="K868" s="1"/>
      <c r="Q868" s="1"/>
    </row>
    <row r="869">
      <c r="C869" s="1"/>
      <c r="K869" s="1"/>
      <c r="Q869" s="1"/>
    </row>
    <row r="870">
      <c r="C870" s="1"/>
      <c r="K870" s="1"/>
      <c r="Q870" s="1"/>
    </row>
    <row r="871">
      <c r="C871" s="1"/>
      <c r="K871" s="1"/>
      <c r="Q871" s="1"/>
    </row>
    <row r="872">
      <c r="C872" s="1"/>
      <c r="K872" s="1"/>
      <c r="Q872" s="1"/>
    </row>
    <row r="873">
      <c r="C873" s="1"/>
      <c r="K873" s="1"/>
      <c r="Q873" s="1"/>
    </row>
    <row r="874">
      <c r="C874" s="1"/>
      <c r="K874" s="1"/>
      <c r="Q874" s="1"/>
    </row>
    <row r="875">
      <c r="C875" s="1"/>
      <c r="K875" s="1"/>
      <c r="Q875" s="1"/>
    </row>
    <row r="876">
      <c r="C876" s="1"/>
      <c r="K876" s="1"/>
      <c r="Q876" s="1"/>
    </row>
    <row r="877">
      <c r="C877" s="1"/>
      <c r="K877" s="1"/>
      <c r="Q877" s="1"/>
    </row>
    <row r="878">
      <c r="C878" s="1"/>
      <c r="K878" s="1"/>
      <c r="Q878" s="1"/>
    </row>
    <row r="879">
      <c r="C879" s="1"/>
      <c r="K879" s="1"/>
      <c r="Q879" s="1"/>
    </row>
    <row r="880">
      <c r="C880" s="1"/>
      <c r="K880" s="1"/>
      <c r="Q880" s="1"/>
    </row>
    <row r="881">
      <c r="C881" s="1"/>
      <c r="K881" s="1"/>
      <c r="Q881" s="1"/>
    </row>
    <row r="882">
      <c r="C882" s="1"/>
      <c r="K882" s="1"/>
      <c r="Q882" s="1"/>
    </row>
    <row r="883">
      <c r="C883" s="1"/>
      <c r="K883" s="1"/>
      <c r="Q883" s="1"/>
    </row>
    <row r="884">
      <c r="C884" s="1"/>
      <c r="K884" s="1"/>
      <c r="Q884" s="1"/>
    </row>
    <row r="885">
      <c r="C885" s="1"/>
      <c r="K885" s="1"/>
      <c r="Q885" s="1"/>
    </row>
    <row r="886">
      <c r="C886" s="1"/>
      <c r="K886" s="1"/>
      <c r="Q886" s="1"/>
    </row>
    <row r="887">
      <c r="C887" s="1"/>
      <c r="K887" s="1"/>
      <c r="Q887" s="1"/>
    </row>
    <row r="888">
      <c r="C888" s="1"/>
      <c r="K888" s="1"/>
      <c r="Q888" s="1"/>
    </row>
    <row r="889">
      <c r="C889" s="1"/>
      <c r="K889" s="1"/>
      <c r="Q889" s="1"/>
    </row>
    <row r="890">
      <c r="C890" s="1"/>
      <c r="K890" s="1"/>
      <c r="Q890" s="1"/>
    </row>
    <row r="891">
      <c r="C891" s="1"/>
      <c r="K891" s="1"/>
      <c r="Q891" s="1"/>
    </row>
    <row r="892">
      <c r="C892" s="1"/>
      <c r="K892" s="1"/>
      <c r="Q892" s="1"/>
    </row>
    <row r="893">
      <c r="C893" s="1"/>
      <c r="K893" s="1"/>
      <c r="Q893" s="1"/>
    </row>
    <row r="894">
      <c r="C894" s="1"/>
      <c r="K894" s="1"/>
      <c r="Q894" s="1"/>
    </row>
    <row r="895">
      <c r="C895" s="1"/>
      <c r="K895" s="1"/>
      <c r="Q895" s="1"/>
    </row>
    <row r="896">
      <c r="C896" s="1"/>
      <c r="K896" s="1"/>
      <c r="Q896" s="1"/>
    </row>
    <row r="897">
      <c r="C897" s="1"/>
      <c r="K897" s="1"/>
      <c r="Q897" s="1"/>
    </row>
    <row r="898">
      <c r="C898" s="1"/>
      <c r="K898" s="1"/>
      <c r="Q898" s="1"/>
    </row>
    <row r="899">
      <c r="C899" s="1"/>
      <c r="K899" s="1"/>
      <c r="Q899" s="1"/>
    </row>
    <row r="900">
      <c r="C900" s="1"/>
      <c r="K900" s="1"/>
      <c r="Q900" s="1"/>
    </row>
    <row r="901">
      <c r="C901" s="1"/>
      <c r="K901" s="1"/>
      <c r="Q901" s="1"/>
    </row>
    <row r="902">
      <c r="C902" s="1"/>
      <c r="K902" s="1"/>
      <c r="Q902" s="1"/>
    </row>
    <row r="903">
      <c r="C903" s="1"/>
      <c r="K903" s="1"/>
      <c r="Q903" s="1"/>
    </row>
    <row r="904">
      <c r="C904" s="1"/>
      <c r="K904" s="1"/>
      <c r="Q904" s="1"/>
    </row>
    <row r="905">
      <c r="C905" s="1"/>
      <c r="K905" s="1"/>
      <c r="Q905" s="1"/>
    </row>
    <row r="906">
      <c r="C906" s="1"/>
      <c r="K906" s="1"/>
      <c r="Q906" s="1"/>
    </row>
    <row r="907">
      <c r="C907" s="1"/>
      <c r="K907" s="1"/>
      <c r="Q907" s="1"/>
    </row>
    <row r="908">
      <c r="C908" s="1"/>
      <c r="K908" s="1"/>
      <c r="Q908" s="1"/>
    </row>
    <row r="909">
      <c r="C909" s="1"/>
      <c r="K909" s="1"/>
      <c r="Q909" s="1"/>
    </row>
    <row r="910">
      <c r="C910" s="1"/>
      <c r="K910" s="1"/>
      <c r="Q910" s="1"/>
    </row>
    <row r="911">
      <c r="C911" s="1"/>
      <c r="K911" s="1"/>
      <c r="Q911" s="1"/>
    </row>
    <row r="912">
      <c r="C912" s="1"/>
      <c r="K912" s="1"/>
      <c r="Q912" s="1"/>
    </row>
    <row r="913">
      <c r="C913" s="1"/>
      <c r="K913" s="1"/>
      <c r="Q913" s="1"/>
    </row>
    <row r="914">
      <c r="C914" s="1"/>
      <c r="K914" s="1"/>
      <c r="Q914" s="1"/>
    </row>
    <row r="915">
      <c r="C915" s="1"/>
      <c r="K915" s="1"/>
      <c r="Q915" s="1"/>
    </row>
    <row r="916">
      <c r="C916" s="1"/>
      <c r="K916" s="1"/>
      <c r="Q916" s="1"/>
    </row>
    <row r="917">
      <c r="C917" s="1"/>
      <c r="K917" s="1"/>
      <c r="Q917" s="1"/>
    </row>
    <row r="918">
      <c r="C918" s="1"/>
      <c r="K918" s="1"/>
      <c r="Q918" s="1"/>
    </row>
    <row r="919">
      <c r="C919" s="1"/>
      <c r="K919" s="1"/>
      <c r="Q919" s="1"/>
    </row>
    <row r="920">
      <c r="C920" s="1"/>
      <c r="K920" s="1"/>
      <c r="Q920" s="1"/>
    </row>
    <row r="921">
      <c r="C921" s="1"/>
      <c r="K921" s="1"/>
      <c r="Q921" s="1"/>
    </row>
    <row r="922">
      <c r="C922" s="1"/>
      <c r="K922" s="1"/>
      <c r="Q922" s="1"/>
    </row>
    <row r="923">
      <c r="C923" s="1"/>
      <c r="K923" s="1"/>
      <c r="Q923" s="1"/>
    </row>
    <row r="924">
      <c r="C924" s="1"/>
      <c r="K924" s="1"/>
      <c r="Q924" s="1"/>
    </row>
    <row r="925">
      <c r="C925" s="1"/>
      <c r="K925" s="1"/>
      <c r="Q925" s="1"/>
    </row>
    <row r="926">
      <c r="C926" s="1"/>
      <c r="K926" s="1"/>
      <c r="Q926" s="1"/>
    </row>
    <row r="927">
      <c r="C927" s="1"/>
      <c r="K927" s="1"/>
      <c r="Q927" s="1"/>
    </row>
    <row r="928">
      <c r="C928" s="1"/>
      <c r="K928" s="1"/>
      <c r="Q928" s="1"/>
    </row>
    <row r="929">
      <c r="C929" s="1"/>
      <c r="K929" s="1"/>
      <c r="Q929" s="1"/>
    </row>
    <row r="930">
      <c r="C930" s="1"/>
      <c r="K930" s="1"/>
      <c r="Q930" s="1"/>
    </row>
    <row r="931">
      <c r="C931" s="1"/>
      <c r="K931" s="1"/>
      <c r="Q931" s="1"/>
    </row>
    <row r="932">
      <c r="C932" s="1"/>
      <c r="K932" s="1"/>
      <c r="Q932" s="1"/>
    </row>
    <row r="933">
      <c r="C933" s="1"/>
      <c r="K933" s="1"/>
      <c r="Q933" s="1"/>
    </row>
    <row r="934">
      <c r="C934" s="1"/>
      <c r="K934" s="1"/>
      <c r="Q934" s="1"/>
    </row>
    <row r="935">
      <c r="C935" s="1"/>
      <c r="K935" s="1"/>
      <c r="Q935" s="1"/>
    </row>
    <row r="936">
      <c r="C936" s="1"/>
      <c r="K936" s="1"/>
      <c r="Q936" s="1"/>
    </row>
    <row r="937">
      <c r="C937" s="1"/>
      <c r="K937" s="1"/>
      <c r="Q937" s="1"/>
    </row>
    <row r="938">
      <c r="C938" s="1"/>
      <c r="K938" s="1"/>
      <c r="Q938" s="1"/>
    </row>
    <row r="939">
      <c r="C939" s="1"/>
      <c r="K939" s="1"/>
      <c r="Q939" s="1"/>
    </row>
    <row r="940">
      <c r="C940" s="1"/>
      <c r="K940" s="1"/>
      <c r="Q940" s="1"/>
    </row>
    <row r="941">
      <c r="C941" s="1"/>
      <c r="K941" s="1"/>
      <c r="Q941" s="1"/>
    </row>
    <row r="942">
      <c r="C942" s="1"/>
      <c r="K942" s="1"/>
      <c r="Q942" s="1"/>
    </row>
    <row r="943">
      <c r="C943" s="1"/>
      <c r="K943" s="1"/>
      <c r="Q943" s="1"/>
    </row>
    <row r="944">
      <c r="C944" s="1"/>
      <c r="K944" s="1"/>
      <c r="Q944" s="1"/>
    </row>
    <row r="945">
      <c r="C945" s="1"/>
      <c r="K945" s="1"/>
      <c r="Q945" s="1"/>
    </row>
    <row r="946">
      <c r="C946" s="1"/>
      <c r="K946" s="1"/>
      <c r="Q946" s="1"/>
    </row>
    <row r="947">
      <c r="C947" s="1"/>
      <c r="K947" s="1"/>
      <c r="Q947" s="1"/>
    </row>
    <row r="948">
      <c r="C948" s="1"/>
      <c r="K948" s="1"/>
      <c r="Q948" s="1"/>
    </row>
    <row r="949">
      <c r="C949" s="1"/>
      <c r="K949" s="1"/>
      <c r="Q949" s="1"/>
    </row>
    <row r="950">
      <c r="C950" s="1"/>
      <c r="K950" s="1"/>
      <c r="Q950" s="1"/>
    </row>
    <row r="951">
      <c r="C951" s="1"/>
      <c r="K951" s="1"/>
      <c r="Q951" s="1"/>
    </row>
    <row r="952">
      <c r="C952" s="1"/>
      <c r="K952" s="1"/>
      <c r="Q952" s="1"/>
    </row>
    <row r="953">
      <c r="C953" s="1"/>
      <c r="K953" s="1"/>
      <c r="Q953" s="1"/>
    </row>
    <row r="954">
      <c r="C954" s="1"/>
      <c r="K954" s="1"/>
      <c r="Q954" s="1"/>
    </row>
    <row r="955">
      <c r="C955" s="1"/>
      <c r="K955" s="1"/>
      <c r="Q955" s="1"/>
    </row>
    <row r="956">
      <c r="C956" s="1"/>
      <c r="K956" s="1"/>
      <c r="Q956" s="1"/>
    </row>
    <row r="957">
      <c r="C957" s="1"/>
      <c r="K957" s="1"/>
      <c r="Q957" s="1"/>
    </row>
    <row r="958">
      <c r="C958" s="1"/>
      <c r="K958" s="1"/>
      <c r="Q958" s="1"/>
    </row>
    <row r="959">
      <c r="C959" s="1"/>
      <c r="K959" s="1"/>
      <c r="Q959" s="1"/>
    </row>
    <row r="960">
      <c r="C960" s="1"/>
      <c r="K960" s="1"/>
      <c r="Q960" s="1"/>
    </row>
    <row r="961">
      <c r="C961" s="1"/>
      <c r="K961" s="1"/>
      <c r="Q961" s="1"/>
    </row>
    <row r="962">
      <c r="C962" s="1"/>
      <c r="K962" s="1"/>
      <c r="Q962" s="1"/>
    </row>
    <row r="963">
      <c r="C963" s="1"/>
      <c r="K963" s="1"/>
      <c r="Q963" s="1"/>
    </row>
    <row r="964">
      <c r="C964" s="1"/>
      <c r="K964" s="1"/>
      <c r="Q964" s="1"/>
    </row>
    <row r="965">
      <c r="C965" s="1"/>
      <c r="K965" s="1"/>
      <c r="Q965" s="1"/>
    </row>
    <row r="966">
      <c r="C966" s="1"/>
      <c r="K966" s="1"/>
      <c r="Q966" s="1"/>
    </row>
    <row r="967">
      <c r="C967" s="1"/>
      <c r="K967" s="1"/>
      <c r="Q967" s="1"/>
    </row>
    <row r="968">
      <c r="C968" s="1"/>
      <c r="K968" s="1"/>
      <c r="Q968" s="1"/>
    </row>
    <row r="969">
      <c r="C969" s="1"/>
      <c r="K969" s="1"/>
      <c r="Q969" s="1"/>
    </row>
    <row r="970">
      <c r="C970" s="1"/>
      <c r="K970" s="1"/>
      <c r="Q970" s="1"/>
    </row>
    <row r="971">
      <c r="C971" s="1"/>
      <c r="K971" s="1"/>
      <c r="Q971" s="1"/>
    </row>
    <row r="972">
      <c r="C972" s="1"/>
      <c r="K972" s="1"/>
      <c r="Q972" s="1"/>
    </row>
    <row r="973">
      <c r="C973" s="1"/>
      <c r="K973" s="1"/>
      <c r="Q973" s="1"/>
    </row>
    <row r="974">
      <c r="C974" s="1"/>
      <c r="K974" s="1"/>
      <c r="Q974" s="1"/>
    </row>
    <row r="975">
      <c r="C975" s="1"/>
      <c r="K975" s="1"/>
      <c r="Q975" s="1"/>
    </row>
    <row r="976">
      <c r="C976" s="1"/>
      <c r="K976" s="1"/>
      <c r="Q976" s="1"/>
    </row>
    <row r="977">
      <c r="C977" s="1"/>
      <c r="K977" s="1"/>
      <c r="Q977" s="1"/>
    </row>
    <row r="978">
      <c r="C978" s="1"/>
      <c r="K978" s="1"/>
      <c r="Q978" s="1"/>
    </row>
    <row r="979">
      <c r="C979" s="1"/>
      <c r="K979" s="1"/>
      <c r="Q979" s="1"/>
    </row>
    <row r="980">
      <c r="C980" s="1"/>
      <c r="K980" s="1"/>
      <c r="Q980" s="1"/>
    </row>
    <row r="981">
      <c r="C981" s="1"/>
      <c r="K981" s="1"/>
      <c r="Q981" s="1"/>
    </row>
    <row r="982">
      <c r="C982" s="1"/>
      <c r="K982" s="1"/>
      <c r="Q982" s="1"/>
    </row>
    <row r="983">
      <c r="C983" s="1"/>
      <c r="K983" s="1"/>
      <c r="Q983" s="1"/>
    </row>
    <row r="984">
      <c r="C984" s="1"/>
      <c r="K984" s="1"/>
      <c r="Q984" s="1"/>
    </row>
    <row r="985">
      <c r="C985" s="1"/>
      <c r="K985" s="1"/>
      <c r="Q985" s="1"/>
    </row>
    <row r="986">
      <c r="C986" s="1"/>
      <c r="K986" s="1"/>
      <c r="Q986" s="1"/>
    </row>
    <row r="987">
      <c r="C987" s="1"/>
      <c r="K987" s="1"/>
      <c r="Q987" s="1"/>
    </row>
    <row r="988">
      <c r="C988" s="1"/>
      <c r="K988" s="1"/>
      <c r="Q988" s="1"/>
    </row>
    <row r="989">
      <c r="C989" s="1"/>
      <c r="K989" s="1"/>
      <c r="Q989" s="1"/>
    </row>
    <row r="990">
      <c r="C990" s="1"/>
      <c r="K990" s="1"/>
      <c r="Q990" s="1"/>
    </row>
    <row r="991">
      <c r="C991" s="1"/>
      <c r="K991" s="1"/>
      <c r="Q991" s="1"/>
    </row>
    <row r="992">
      <c r="C992" s="1"/>
      <c r="K992" s="1"/>
      <c r="Q992" s="1"/>
    </row>
    <row r="993">
      <c r="C993" s="1"/>
      <c r="K993" s="1"/>
      <c r="Q993" s="1"/>
    </row>
    <row r="994">
      <c r="C994" s="1"/>
      <c r="K994" s="1"/>
      <c r="Q994" s="1"/>
    </row>
    <row r="995">
      <c r="C995" s="1"/>
      <c r="K995" s="1"/>
      <c r="Q995" s="1"/>
    </row>
    <row r="996">
      <c r="C996" s="1"/>
      <c r="K996" s="1"/>
      <c r="Q996" s="1"/>
    </row>
    <row r="997">
      <c r="C997" s="1"/>
      <c r="K997" s="1"/>
      <c r="Q997" s="1"/>
    </row>
    <row r="998">
      <c r="C998" s="1"/>
      <c r="K998" s="1"/>
      <c r="Q998" s="1"/>
    </row>
    <row r="999">
      <c r="C999" s="1"/>
      <c r="K999" s="1"/>
      <c r="Q99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16.13"/>
    <col customWidth="1" min="3" max="3" width="5.38"/>
    <col customWidth="1" min="4" max="4" width="4.5"/>
    <col customWidth="1" min="5" max="5" width="6.75"/>
    <col customWidth="1" min="7" max="7" width="22.88"/>
    <col customWidth="1" min="8" max="8" width="6.63"/>
    <col customWidth="1" min="9" max="9" width="4.25"/>
    <col customWidth="1" min="10" max="10" width="4.38"/>
    <col customWidth="1" min="11" max="11" width="4.63"/>
    <col customWidth="1" min="13" max="13" width="4.38"/>
    <col customWidth="1" min="14" max="14" width="4.0"/>
  </cols>
  <sheetData>
    <row r="2">
      <c r="B2" s="3" t="s">
        <v>1</v>
      </c>
      <c r="C2" s="5" t="s">
        <v>3</v>
      </c>
      <c r="D2" s="8">
        <v>6.0</v>
      </c>
      <c r="F2" s="6" t="s">
        <v>4</v>
      </c>
      <c r="G2" s="4" t="s">
        <v>5</v>
      </c>
      <c r="H2" s="4">
        <v>60.0</v>
      </c>
      <c r="I2" s="4" t="s">
        <v>6</v>
      </c>
      <c r="K2" s="14">
        <f>(C16-C17) * H2/100</f>
        <v>30</v>
      </c>
      <c r="L2" s="4" t="s">
        <v>16</v>
      </c>
      <c r="N2" s="18">
        <f>K2/N12</f>
        <v>12</v>
      </c>
      <c r="O2" s="4" t="s">
        <v>23</v>
      </c>
    </row>
    <row r="3">
      <c r="B3" s="5" t="s">
        <v>24</v>
      </c>
      <c r="C3" s="20"/>
      <c r="D3" s="20"/>
      <c r="G3" s="4" t="s">
        <v>28</v>
      </c>
      <c r="H3" s="4">
        <v>10.0</v>
      </c>
      <c r="I3" s="4" t="s">
        <v>6</v>
      </c>
      <c r="K3" s="18">
        <f>(C16-C17) * H3/100</f>
        <v>5</v>
      </c>
      <c r="L3" s="4" t="s">
        <v>16</v>
      </c>
      <c r="N3" s="18">
        <f>K3/N9</f>
        <v>25</v>
      </c>
      <c r="O3" s="4" t="s">
        <v>36</v>
      </c>
    </row>
    <row r="4">
      <c r="N4" s="18">
        <f>K3/N11</f>
        <v>1.5625</v>
      </c>
      <c r="O4" s="4" t="s">
        <v>38</v>
      </c>
    </row>
    <row r="5">
      <c r="B5" s="24" t="s">
        <v>27</v>
      </c>
      <c r="C5" s="8">
        <v>5.0</v>
      </c>
      <c r="D5" s="26" t="s">
        <v>39</v>
      </c>
      <c r="F5" s="6" t="s">
        <v>27</v>
      </c>
      <c r="H5" s="4">
        <f>switch(C5, 5,1, 6,5, 7,20, 0)</f>
        <v>1</v>
      </c>
      <c r="I5" s="4" t="s">
        <v>6</v>
      </c>
      <c r="K5" s="14">
        <f t="shared" ref="K5:K7" si="1">$C$17*H5/100</f>
        <v>1</v>
      </c>
      <c r="L5" s="4" t="s">
        <v>16</v>
      </c>
    </row>
    <row r="6">
      <c r="B6" s="24" t="s">
        <v>34</v>
      </c>
      <c r="C6" s="28">
        <v>5.0</v>
      </c>
      <c r="D6" s="20"/>
      <c r="F6" s="6" t="s">
        <v>34</v>
      </c>
      <c r="H6" s="4">
        <f>switch(C6, 4,1, 5,5, 6,10, 7,20, 0)</f>
        <v>5</v>
      </c>
      <c r="I6" s="4" t="s">
        <v>6</v>
      </c>
      <c r="K6" s="14">
        <f t="shared" si="1"/>
        <v>5</v>
      </c>
      <c r="L6" s="4" t="s">
        <v>16</v>
      </c>
    </row>
    <row r="7">
      <c r="B7" s="24" t="s">
        <v>62</v>
      </c>
      <c r="C7" s="8">
        <v>3.0</v>
      </c>
      <c r="D7" s="20"/>
      <c r="F7" s="6" t="s">
        <v>64</v>
      </c>
      <c r="G7" s="4" t="s">
        <v>65</v>
      </c>
      <c r="H7" s="4">
        <f>switch(C7, 3,1, 4,5, 5,10, 6,20, 7,40, 1)</f>
        <v>1</v>
      </c>
      <c r="I7" s="4" t="s">
        <v>6</v>
      </c>
      <c r="K7" s="14">
        <f t="shared" si="1"/>
        <v>1</v>
      </c>
      <c r="L7" s="4" t="s">
        <v>16</v>
      </c>
      <c r="X7" s="4"/>
    </row>
    <row r="8">
      <c r="B8" s="24" t="s">
        <v>67</v>
      </c>
      <c r="C8" s="32">
        <f>H9</f>
        <v>5.001033547</v>
      </c>
      <c r="D8" s="35">
        <f>C8*4</f>
        <v>20.00413419</v>
      </c>
      <c r="F8" s="6" t="s">
        <v>33</v>
      </c>
      <c r="G8" s="4" t="s">
        <v>69</v>
      </c>
      <c r="H8" s="4">
        <v>1.5</v>
      </c>
      <c r="I8" s="4" t="s">
        <v>70</v>
      </c>
      <c r="J8" s="4"/>
      <c r="K8" s="4">
        <f>H8*10</f>
        <v>15</v>
      </c>
      <c r="L8" s="4" t="s">
        <v>16</v>
      </c>
      <c r="M8" s="6" t="s">
        <v>4</v>
      </c>
    </row>
    <row r="9">
      <c r="B9" s="24" t="s">
        <v>73</v>
      </c>
      <c r="C9" s="35">
        <f>H15/2</f>
        <v>5</v>
      </c>
      <c r="D9" s="37">
        <f>M16/10</f>
        <v>5.001033547</v>
      </c>
      <c r="G9" s="4" t="s">
        <v>76</v>
      </c>
      <c r="H9" s="39">
        <f>H8/C14*500</f>
        <v>5.001033547</v>
      </c>
      <c r="I9" s="4" t="s">
        <v>78</v>
      </c>
      <c r="J9" s="18">
        <f t="shared" ref="J9:J11" si="2">N9/$K$3*100</f>
        <v>4</v>
      </c>
      <c r="K9" s="4" t="s">
        <v>80</v>
      </c>
      <c r="M9" s="4" t="s">
        <v>28</v>
      </c>
      <c r="N9" s="41">
        <v>0.2</v>
      </c>
      <c r="O9" s="4" t="s">
        <v>82</v>
      </c>
    </row>
    <row r="10">
      <c r="G10" s="4" t="s">
        <v>84</v>
      </c>
      <c r="H10" s="18">
        <f t="shared" ref="H10:H11" si="3">H9*2</f>
        <v>10.00206709</v>
      </c>
      <c r="I10" s="4" t="s">
        <v>78</v>
      </c>
      <c r="J10" s="18">
        <f t="shared" si="2"/>
        <v>16</v>
      </c>
      <c r="K10" s="4" t="s">
        <v>80</v>
      </c>
      <c r="M10" s="4" t="s">
        <v>28</v>
      </c>
      <c r="N10" s="39">
        <f t="shared" ref="N10:N11" si="4">N9*4</f>
        <v>0.8</v>
      </c>
      <c r="O10" s="4" t="s">
        <v>82</v>
      </c>
    </row>
    <row r="11">
      <c r="B11" s="24" t="s">
        <v>83</v>
      </c>
      <c r="C11" s="38">
        <v>4.0</v>
      </c>
      <c r="G11" s="4" t="s">
        <v>99</v>
      </c>
      <c r="H11" s="18">
        <f t="shared" si="3"/>
        <v>20.00413419</v>
      </c>
      <c r="I11" s="4" t="s">
        <v>78</v>
      </c>
      <c r="J11" s="18">
        <f t="shared" si="2"/>
        <v>64</v>
      </c>
      <c r="K11" s="4" t="s">
        <v>80</v>
      </c>
      <c r="M11" s="4" t="s">
        <v>28</v>
      </c>
      <c r="N11" s="39">
        <f t="shared" si="4"/>
        <v>3.2</v>
      </c>
      <c r="O11" s="4" t="s">
        <v>82</v>
      </c>
    </row>
    <row r="12">
      <c r="G12" s="4" t="s">
        <v>87</v>
      </c>
      <c r="H12" s="41">
        <f>H8/C14*20</f>
        <v>0.2000413419</v>
      </c>
      <c r="I12" s="4" t="s">
        <v>78</v>
      </c>
      <c r="J12" s="18">
        <f>N12/K2*100</f>
        <v>8.333333333</v>
      </c>
      <c r="K12" s="4" t="s">
        <v>108</v>
      </c>
      <c r="M12" s="4" t="s">
        <v>89</v>
      </c>
      <c r="N12" s="4">
        <v>2.5</v>
      </c>
      <c r="O12" s="4" t="s">
        <v>111</v>
      </c>
    </row>
    <row r="13">
      <c r="G13" s="4" t="s">
        <v>92</v>
      </c>
      <c r="H13" s="39">
        <f>H8/1.5*10</f>
        <v>10</v>
      </c>
      <c r="I13" s="4" t="s">
        <v>72</v>
      </c>
    </row>
    <row r="14">
      <c r="A14" s="6" t="s">
        <v>93</v>
      </c>
      <c r="B14" s="4" t="s">
        <v>94</v>
      </c>
      <c r="C14" s="18">
        <f>sum(K:K)</f>
        <v>149.969</v>
      </c>
      <c r="D14" s="4" t="s">
        <v>16</v>
      </c>
      <c r="F14" s="6"/>
      <c r="G14" s="4"/>
      <c r="H14" s="4"/>
      <c r="I14" s="4"/>
      <c r="J14" s="4"/>
      <c r="K14" s="4"/>
      <c r="L14" s="4"/>
      <c r="M14" s="4" t="s">
        <v>100</v>
      </c>
    </row>
    <row r="15">
      <c r="F15" s="6" t="s">
        <v>102</v>
      </c>
      <c r="G15" s="4" t="s">
        <v>103</v>
      </c>
      <c r="H15" s="4">
        <v>10.0</v>
      </c>
      <c r="I15" s="4" t="s">
        <v>72</v>
      </c>
      <c r="J15" s="4"/>
      <c r="K15" s="4">
        <f>H15*5</f>
        <v>50</v>
      </c>
      <c r="L15" s="4" t="s">
        <v>16</v>
      </c>
      <c r="M15" s="39">
        <f>H16/H13</f>
        <v>10</v>
      </c>
      <c r="N15" s="4" t="s">
        <v>112</v>
      </c>
    </row>
    <row r="16">
      <c r="B16" s="4" t="s">
        <v>101</v>
      </c>
      <c r="C16" s="4">
        <v>150.0</v>
      </c>
      <c r="D16" s="4" t="s">
        <v>16</v>
      </c>
      <c r="F16" s="6" t="s">
        <v>31</v>
      </c>
      <c r="G16" s="4" t="s">
        <v>107</v>
      </c>
      <c r="H16" s="4">
        <v>100.0</v>
      </c>
      <c r="I16" s="4" t="s">
        <v>110</v>
      </c>
      <c r="J16" s="4"/>
      <c r="K16" s="4">
        <f>H16*50/1000</f>
        <v>5</v>
      </c>
      <c r="L16" s="4" t="s">
        <v>16</v>
      </c>
      <c r="M16" s="18">
        <f>M15*H9</f>
        <v>50.01033547</v>
      </c>
      <c r="N16" s="4" t="s">
        <v>117</v>
      </c>
    </row>
    <row r="17">
      <c r="B17" s="4" t="s">
        <v>105</v>
      </c>
      <c r="C17" s="4">
        <v>100.0</v>
      </c>
      <c r="D17" s="4" t="s">
        <v>16</v>
      </c>
    </row>
    <row r="18">
      <c r="B18" s="43"/>
      <c r="C18" s="18"/>
      <c r="F18" s="6" t="s">
        <v>120</v>
      </c>
      <c r="H18" s="4">
        <v>0.0</v>
      </c>
      <c r="I18" s="4" t="s">
        <v>6</v>
      </c>
      <c r="K18" s="14">
        <f>$C$17*H18/100</f>
        <v>0</v>
      </c>
      <c r="L18" s="4" t="s">
        <v>16</v>
      </c>
      <c r="M18" s="18">
        <f>K18*1000/C25*100*4</f>
        <v>0</v>
      </c>
      <c r="N18" s="4" t="s">
        <v>129</v>
      </c>
    </row>
    <row r="19">
      <c r="C19" s="39"/>
      <c r="F19" s="6" t="s">
        <v>21</v>
      </c>
      <c r="G19" s="4" t="s">
        <v>132</v>
      </c>
      <c r="K19" s="4">
        <v>10.0</v>
      </c>
      <c r="L19" s="4" t="s">
        <v>16</v>
      </c>
      <c r="N19" s="44" t="s">
        <v>135</v>
      </c>
    </row>
    <row r="20">
      <c r="C20" s="39"/>
      <c r="G20" s="4" t="s">
        <v>141</v>
      </c>
      <c r="K20" s="4">
        <v>1.0</v>
      </c>
      <c r="L20" s="4" t="s">
        <v>16</v>
      </c>
    </row>
    <row r="21">
      <c r="G21" s="4" t="s">
        <v>144</v>
      </c>
      <c r="K21" s="4">
        <v>0.01</v>
      </c>
      <c r="L21" s="4" t="s">
        <v>16</v>
      </c>
    </row>
    <row r="22">
      <c r="A22" s="6" t="s">
        <v>146</v>
      </c>
      <c r="B22" s="4" t="s">
        <v>147</v>
      </c>
      <c r="C22" s="4">
        <v>400.0</v>
      </c>
      <c r="D22" s="4" t="s">
        <v>148</v>
      </c>
      <c r="F22" s="6"/>
      <c r="G22" s="4" t="s">
        <v>149</v>
      </c>
      <c r="K22" s="4">
        <v>0.1</v>
      </c>
      <c r="L22" s="4" t="s">
        <v>16</v>
      </c>
    </row>
    <row r="23">
      <c r="B23" s="4" t="s">
        <v>150</v>
      </c>
      <c r="C23" s="4">
        <v>100.0</v>
      </c>
      <c r="D23" s="4" t="s">
        <v>148</v>
      </c>
      <c r="G23" s="43" t="s">
        <v>152</v>
      </c>
      <c r="H23" s="4">
        <v>1000.0</v>
      </c>
      <c r="I23" s="4" t="s">
        <v>155</v>
      </c>
      <c r="K23" s="14">
        <f>H23/10000</f>
        <v>0.1</v>
      </c>
      <c r="L23" s="4" t="s">
        <v>16</v>
      </c>
    </row>
    <row r="24">
      <c r="B24" s="4" t="s">
        <v>160</v>
      </c>
      <c r="C24" s="45">
        <f>PI()*(C23/2)^2*C22</f>
        <v>3141592.654</v>
      </c>
      <c r="D24" s="4" t="s">
        <v>167</v>
      </c>
    </row>
    <row r="25">
      <c r="B25" s="4" t="s">
        <v>168</v>
      </c>
      <c r="C25" s="45">
        <f>2*PI()*(C23/2)*C22</f>
        <v>125663.7061</v>
      </c>
      <c r="D25" s="4" t="s">
        <v>175</v>
      </c>
      <c r="F25" s="6" t="s">
        <v>176</v>
      </c>
      <c r="G25" s="4" t="s">
        <v>177</v>
      </c>
      <c r="H25" s="4">
        <v>6.0</v>
      </c>
      <c r="I25" s="4" t="s">
        <v>178</v>
      </c>
      <c r="K25" s="4">
        <f>0.1*H25</f>
        <v>0.6</v>
      </c>
      <c r="L25" s="4" t="s">
        <v>16</v>
      </c>
    </row>
    <row r="26">
      <c r="B26" s="4" t="s">
        <v>182</v>
      </c>
      <c r="C26" s="47">
        <f>150000/C24</f>
        <v>0.04774648293</v>
      </c>
      <c r="D26" s="4" t="s">
        <v>186</v>
      </c>
      <c r="G26" s="4" t="s">
        <v>188</v>
      </c>
      <c r="H26" s="4">
        <v>40.0</v>
      </c>
      <c r="I26" s="4" t="s">
        <v>178</v>
      </c>
      <c r="K26" s="14">
        <f>0.01*H26</f>
        <v>0.4</v>
      </c>
      <c r="L26" s="4" t="s">
        <v>16</v>
      </c>
    </row>
    <row r="27">
      <c r="A27" s="12"/>
      <c r="B27" s="12"/>
      <c r="C27" s="12"/>
      <c r="D27" s="12"/>
      <c r="E27" s="12"/>
      <c r="G27" s="4" t="s">
        <v>190</v>
      </c>
      <c r="H27" s="4">
        <v>1000.0</v>
      </c>
      <c r="I27" s="4" t="s">
        <v>178</v>
      </c>
      <c r="K27" s="4">
        <v>0.1</v>
      </c>
      <c r="L27" s="4" t="s">
        <v>16</v>
      </c>
    </row>
    <row r="28">
      <c r="A28" s="12"/>
      <c r="B28" s="12"/>
      <c r="C28" s="12"/>
      <c r="D28" s="12"/>
      <c r="E28" s="12"/>
    </row>
    <row r="29">
      <c r="F29" s="6" t="s">
        <v>154</v>
      </c>
      <c r="H29" s="4">
        <v>15.0</v>
      </c>
      <c r="I29" s="4" t="s">
        <v>6</v>
      </c>
      <c r="K29" s="14">
        <f t="shared" ref="K29:K31" si="5">$C$17*H29/100</f>
        <v>15</v>
      </c>
      <c r="L29" s="4" t="s">
        <v>16</v>
      </c>
    </row>
    <row r="30">
      <c r="F30" s="6" t="s">
        <v>159</v>
      </c>
      <c r="H30" s="4">
        <v>5.0</v>
      </c>
      <c r="I30" s="4" t="s">
        <v>6</v>
      </c>
      <c r="K30" s="14">
        <f t="shared" si="5"/>
        <v>5</v>
      </c>
      <c r="L30" s="4" t="s">
        <v>16</v>
      </c>
    </row>
    <row r="31">
      <c r="F31" s="6" t="s">
        <v>162</v>
      </c>
      <c r="H31" s="4">
        <v>5.0</v>
      </c>
      <c r="I31" s="4" t="s">
        <v>6</v>
      </c>
      <c r="K31" s="14">
        <f t="shared" si="5"/>
        <v>5</v>
      </c>
      <c r="L31" s="4" t="s">
        <v>16</v>
      </c>
    </row>
    <row r="33">
      <c r="A33" s="11"/>
      <c r="B33" s="11"/>
      <c r="C33" s="11"/>
      <c r="D33" s="11"/>
      <c r="F33" s="6" t="s">
        <v>30</v>
      </c>
      <c r="G33" s="4" t="s">
        <v>200</v>
      </c>
      <c r="K33" s="48">
        <f>'Lego Requin'!C18/1000</f>
        <v>0.659</v>
      </c>
      <c r="L33" s="4" t="s">
        <v>16</v>
      </c>
      <c r="Q33" s="1"/>
      <c r="R33" s="1"/>
      <c r="S33" s="1"/>
      <c r="T33" s="1"/>
      <c r="U33" s="1"/>
    </row>
    <row r="34">
      <c r="K34" s="4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16.13"/>
    <col customWidth="1" min="3" max="3" width="5.38"/>
    <col customWidth="1" min="4" max="4" width="4.5"/>
    <col customWidth="1" min="5" max="5" width="6.75"/>
    <col customWidth="1" min="7" max="7" width="22.88"/>
    <col customWidth="1" min="8" max="8" width="6.63"/>
    <col customWidth="1" min="9" max="9" width="4.25"/>
    <col customWidth="1" min="10" max="10" width="4.38"/>
    <col customWidth="1" min="11" max="11" width="4.63"/>
    <col customWidth="1" min="12" max="12" width="5.63"/>
    <col customWidth="1" min="13" max="13" width="4.38"/>
    <col customWidth="1" min="14" max="14" width="4.0"/>
  </cols>
  <sheetData>
    <row r="2">
      <c r="B2" s="2" t="s">
        <v>0</v>
      </c>
      <c r="C2" s="4" t="s">
        <v>2</v>
      </c>
      <c r="F2" s="6" t="s">
        <v>4</v>
      </c>
      <c r="G2" s="4" t="s">
        <v>5</v>
      </c>
      <c r="H2" s="4">
        <v>50.0</v>
      </c>
      <c r="I2" s="4" t="s">
        <v>6</v>
      </c>
      <c r="K2" s="14">
        <f>(C15-C16) * H2/100</f>
        <v>25</v>
      </c>
      <c r="L2" s="4" t="s">
        <v>15</v>
      </c>
      <c r="N2" s="18">
        <f>K2/N10</f>
        <v>9.433962264</v>
      </c>
      <c r="O2" s="4" t="s">
        <v>23</v>
      </c>
    </row>
    <row r="3">
      <c r="B3" s="4" t="s">
        <v>26</v>
      </c>
      <c r="G3" s="4" t="s">
        <v>28</v>
      </c>
      <c r="H3" s="4">
        <v>50.0</v>
      </c>
      <c r="I3" s="4" t="s">
        <v>6</v>
      </c>
      <c r="K3" s="18">
        <f>(C15-C16) * H3/100</f>
        <v>25</v>
      </c>
      <c r="L3" s="4" t="s">
        <v>15</v>
      </c>
      <c r="N3" s="18">
        <f>K3/N9*H9</f>
        <v>625</v>
      </c>
      <c r="O3" s="4" t="s">
        <v>37</v>
      </c>
    </row>
    <row r="4">
      <c r="D4" s="6"/>
    </row>
    <row r="5">
      <c r="B5" s="24" t="s">
        <v>27</v>
      </c>
      <c r="C5" s="8">
        <v>5.0</v>
      </c>
      <c r="D5" s="26" t="s">
        <v>40</v>
      </c>
      <c r="F5" s="6" t="s">
        <v>27</v>
      </c>
      <c r="H5" s="4">
        <f>switch(C5, 5,1, 6,5, 7,20, 0)</f>
        <v>1</v>
      </c>
      <c r="I5" s="4" t="s">
        <v>6</v>
      </c>
      <c r="K5" s="14">
        <f t="shared" ref="K5:K7" si="1">$C$16*H5/100</f>
        <v>1</v>
      </c>
      <c r="L5" s="4" t="s">
        <v>15</v>
      </c>
    </row>
    <row r="6">
      <c r="B6" s="24" t="s">
        <v>34</v>
      </c>
      <c r="C6" s="28">
        <v>5.0</v>
      </c>
      <c r="D6" s="20"/>
      <c r="F6" s="6" t="s">
        <v>34</v>
      </c>
      <c r="H6" s="4">
        <f>switch(C6, 4,1, 5,5, 6,10, 7,20, 0)</f>
        <v>5</v>
      </c>
      <c r="I6" s="4" t="s">
        <v>6</v>
      </c>
      <c r="K6" s="14">
        <f t="shared" si="1"/>
        <v>5</v>
      </c>
      <c r="L6" s="4" t="s">
        <v>15</v>
      </c>
    </row>
    <row r="7">
      <c r="B7" s="24" t="s">
        <v>62</v>
      </c>
      <c r="C7" s="8">
        <v>5.0</v>
      </c>
      <c r="D7" s="20"/>
      <c r="F7" s="6" t="s">
        <v>64</v>
      </c>
      <c r="G7" s="4" t="s">
        <v>65</v>
      </c>
      <c r="H7" s="4">
        <f>switch(C7, 3,1, 4,5, 5,10, 6,20, 7,40, 1)</f>
        <v>10</v>
      </c>
      <c r="I7" s="4" t="s">
        <v>6</v>
      </c>
      <c r="K7" s="14">
        <f t="shared" si="1"/>
        <v>10</v>
      </c>
      <c r="L7" s="4" t="s">
        <v>15</v>
      </c>
      <c r="X7" s="4"/>
    </row>
    <row r="8">
      <c r="B8" s="24" t="s">
        <v>67</v>
      </c>
      <c r="C8" s="32">
        <f>H9</f>
        <v>5</v>
      </c>
      <c r="D8" s="35">
        <f>C8*4</f>
        <v>20</v>
      </c>
      <c r="F8" s="6" t="s">
        <v>33</v>
      </c>
      <c r="G8" s="4" t="s">
        <v>71</v>
      </c>
      <c r="H8" s="4">
        <v>1.5</v>
      </c>
      <c r="I8" s="4" t="s">
        <v>72</v>
      </c>
      <c r="J8" s="4"/>
      <c r="K8" s="4">
        <v>15.0</v>
      </c>
      <c r="L8" s="4" t="s">
        <v>15</v>
      </c>
      <c r="M8" s="6" t="s">
        <v>4</v>
      </c>
    </row>
    <row r="9">
      <c r="B9" s="24" t="s">
        <v>73</v>
      </c>
      <c r="C9" s="35">
        <f>H13/2</f>
        <v>2</v>
      </c>
      <c r="D9" s="37">
        <f>M14/10</f>
        <v>13.33333333</v>
      </c>
      <c r="G9" s="4" t="s">
        <v>77</v>
      </c>
      <c r="H9" s="39">
        <f>H8/C13*1000/2</f>
        <v>5</v>
      </c>
      <c r="I9" s="4" t="s">
        <v>78</v>
      </c>
      <c r="M9" s="4" t="s">
        <v>28</v>
      </c>
      <c r="N9" s="41">
        <v>0.2</v>
      </c>
      <c r="O9" s="4" t="s">
        <v>81</v>
      </c>
    </row>
    <row r="10">
      <c r="B10" s="6" t="s">
        <v>83</v>
      </c>
      <c r="C10" s="12">
        <v>0.0</v>
      </c>
      <c r="G10" s="4" t="s">
        <v>87</v>
      </c>
      <c r="H10" s="41">
        <f>H8/C13*20</f>
        <v>0.2</v>
      </c>
      <c r="I10" s="4" t="s">
        <v>78</v>
      </c>
      <c r="M10" s="4" t="s">
        <v>89</v>
      </c>
      <c r="N10" s="4">
        <v>2.65</v>
      </c>
      <c r="O10" s="4" t="s">
        <v>90</v>
      </c>
    </row>
    <row r="11">
      <c r="B11" s="6" t="s">
        <v>91</v>
      </c>
      <c r="C11" s="36">
        <v>0.25</v>
      </c>
      <c r="G11" s="4" t="s">
        <v>92</v>
      </c>
      <c r="H11" s="39">
        <f>5*H8</f>
        <v>7.5</v>
      </c>
      <c r="I11" s="4" t="s">
        <v>96</v>
      </c>
    </row>
    <row r="12">
      <c r="F12" s="6"/>
      <c r="G12" s="4"/>
      <c r="H12" s="4"/>
      <c r="I12" s="4"/>
      <c r="J12" s="4"/>
      <c r="K12" s="4"/>
      <c r="L12" s="4"/>
      <c r="M12" s="4" t="s">
        <v>100</v>
      </c>
    </row>
    <row r="13">
      <c r="A13" s="6" t="s">
        <v>93</v>
      </c>
      <c r="B13" s="4" t="s">
        <v>94</v>
      </c>
      <c r="C13" s="18">
        <f>sum(K:K)</f>
        <v>150</v>
      </c>
      <c r="D13" s="4" t="s">
        <v>15</v>
      </c>
      <c r="F13" s="6" t="s">
        <v>102</v>
      </c>
      <c r="G13" s="4" t="s">
        <v>103</v>
      </c>
      <c r="H13" s="4">
        <v>4.0</v>
      </c>
      <c r="I13" s="4" t="s">
        <v>96</v>
      </c>
      <c r="J13" s="4"/>
      <c r="K13" s="4">
        <f>H13*5</f>
        <v>20</v>
      </c>
      <c r="L13" s="4" t="s">
        <v>15</v>
      </c>
      <c r="M13" s="39">
        <f>H14/H11</f>
        <v>26.66666667</v>
      </c>
      <c r="N13" s="4" t="s">
        <v>112</v>
      </c>
    </row>
    <row r="14">
      <c r="F14" s="6" t="s">
        <v>31</v>
      </c>
      <c r="G14" s="4" t="s">
        <v>107</v>
      </c>
      <c r="H14" s="4">
        <v>200.0</v>
      </c>
      <c r="I14" s="4" t="s">
        <v>114</v>
      </c>
      <c r="J14" s="4"/>
      <c r="K14" s="4">
        <f>H14*50/1000</f>
        <v>10</v>
      </c>
      <c r="L14" s="4" t="s">
        <v>15</v>
      </c>
      <c r="M14" s="18">
        <f>M13*H9</f>
        <v>133.3333333</v>
      </c>
      <c r="N14" s="4" t="s">
        <v>117</v>
      </c>
    </row>
    <row r="15">
      <c r="B15" s="4" t="s">
        <v>101</v>
      </c>
      <c r="C15" s="39">
        <v>150.0</v>
      </c>
      <c r="D15" s="4" t="s">
        <v>15</v>
      </c>
    </row>
    <row r="16">
      <c r="B16" s="4" t="s">
        <v>105</v>
      </c>
      <c r="C16" s="4">
        <v>100.0</v>
      </c>
      <c r="D16" s="4" t="s">
        <v>15</v>
      </c>
      <c r="F16" s="6" t="s">
        <v>21</v>
      </c>
      <c r="G16" s="4" t="s">
        <v>122</v>
      </c>
      <c r="K16" s="4">
        <v>10.0</v>
      </c>
      <c r="L16" s="4" t="s">
        <v>15</v>
      </c>
      <c r="M16" s="18">
        <f>K21*1000/C24*100*4</f>
        <v>0</v>
      </c>
      <c r="N16" s="4" t="s">
        <v>129</v>
      </c>
    </row>
    <row r="17">
      <c r="B17" s="43" t="s">
        <v>113</v>
      </c>
      <c r="C17" s="18">
        <f>C16- sum(K4:K98)</f>
        <v>0</v>
      </c>
      <c r="D17" s="4" t="s">
        <v>15</v>
      </c>
      <c r="G17" s="4" t="s">
        <v>138</v>
      </c>
      <c r="K17" s="4">
        <v>1.0</v>
      </c>
      <c r="L17" s="4" t="s">
        <v>15</v>
      </c>
      <c r="N17" s="44" t="s">
        <v>135</v>
      </c>
    </row>
    <row r="18">
      <c r="B18" s="4" t="s">
        <v>118</v>
      </c>
      <c r="C18" s="39">
        <f>C15/10+C17</f>
        <v>15</v>
      </c>
      <c r="D18" s="4" t="s">
        <v>15</v>
      </c>
      <c r="G18" s="4" t="s">
        <v>151</v>
      </c>
      <c r="K18" s="4">
        <v>1.0</v>
      </c>
      <c r="L18" s="4" t="s">
        <v>15</v>
      </c>
    </row>
    <row r="19">
      <c r="B19" s="4" t="s">
        <v>124</v>
      </c>
      <c r="C19" s="39">
        <f>C15+C17</f>
        <v>150</v>
      </c>
      <c r="D19" s="4" t="s">
        <v>15</v>
      </c>
      <c r="F19" s="6"/>
      <c r="G19" s="4" t="s">
        <v>158</v>
      </c>
      <c r="K19" s="4">
        <v>1.0</v>
      </c>
      <c r="L19" s="4" t="s">
        <v>15</v>
      </c>
    </row>
    <row r="20">
      <c r="G20" s="43" t="s">
        <v>152</v>
      </c>
      <c r="H20" s="4">
        <v>100.0</v>
      </c>
      <c r="I20" s="4" t="s">
        <v>161</v>
      </c>
      <c r="K20" s="14">
        <f>H20/100</f>
        <v>1</v>
      </c>
      <c r="L20" s="4" t="s">
        <v>15</v>
      </c>
    </row>
    <row r="21">
      <c r="A21" s="6" t="s">
        <v>146</v>
      </c>
      <c r="B21" s="4" t="s">
        <v>147</v>
      </c>
      <c r="C21" s="4">
        <v>50.0</v>
      </c>
      <c r="D21" s="4" t="s">
        <v>148</v>
      </c>
      <c r="F21" s="6" t="s">
        <v>120</v>
      </c>
      <c r="H21" s="4">
        <v>0.0</v>
      </c>
      <c r="I21" s="4" t="s">
        <v>6</v>
      </c>
      <c r="K21" s="14">
        <f>$C$16*H21/100</f>
        <v>0</v>
      </c>
      <c r="L21" s="4" t="s">
        <v>15</v>
      </c>
    </row>
    <row r="22">
      <c r="B22" s="4" t="s">
        <v>150</v>
      </c>
      <c r="C22" s="4">
        <v>10.0</v>
      </c>
      <c r="D22" s="4" t="s">
        <v>148</v>
      </c>
    </row>
    <row r="23">
      <c r="B23" s="4" t="s">
        <v>160</v>
      </c>
      <c r="C23" s="45">
        <f>PI()*(C22/2)^2*C21</f>
        <v>3926.990817</v>
      </c>
      <c r="D23" s="4" t="s">
        <v>167</v>
      </c>
      <c r="F23" s="6" t="s">
        <v>154</v>
      </c>
      <c r="H23" s="4">
        <v>15.0</v>
      </c>
      <c r="I23" s="4" t="s">
        <v>6</v>
      </c>
      <c r="K23" s="14">
        <f t="shared" ref="K23:K25" si="2">$C$16*H23/100</f>
        <v>15</v>
      </c>
      <c r="L23" s="4" t="s">
        <v>15</v>
      </c>
    </row>
    <row r="24">
      <c r="B24" s="4" t="s">
        <v>168</v>
      </c>
      <c r="C24" s="45">
        <f>2*PI()*(C22/2)*C21</f>
        <v>1570.796327</v>
      </c>
      <c r="D24" s="4" t="s">
        <v>175</v>
      </c>
      <c r="F24" s="6" t="s">
        <v>159</v>
      </c>
      <c r="H24" s="4">
        <v>5.0</v>
      </c>
      <c r="I24" s="4" t="s">
        <v>6</v>
      </c>
      <c r="K24" s="14">
        <f t="shared" si="2"/>
        <v>5</v>
      </c>
      <c r="L24" s="4" t="s">
        <v>15</v>
      </c>
    </row>
    <row r="25">
      <c r="B25" s="4" t="s">
        <v>182</v>
      </c>
      <c r="C25" s="47">
        <f>150/C23</f>
        <v>0.03819718634</v>
      </c>
      <c r="D25" s="4" t="s">
        <v>186</v>
      </c>
      <c r="F25" s="6" t="s">
        <v>162</v>
      </c>
      <c r="G25" s="4" t="s">
        <v>192</v>
      </c>
      <c r="H25" s="4">
        <v>5.0</v>
      </c>
      <c r="I25" s="4" t="s">
        <v>6</v>
      </c>
      <c r="K25" s="14">
        <f t="shared" si="2"/>
        <v>5</v>
      </c>
      <c r="L25" s="4" t="s">
        <v>15</v>
      </c>
    </row>
    <row r="27">
      <c r="A27" s="12"/>
      <c r="B27" s="12"/>
      <c r="C27" s="12"/>
      <c r="D27" s="12"/>
      <c r="E27" s="12"/>
      <c r="F27" s="6" t="s">
        <v>176</v>
      </c>
    </row>
    <row r="28">
      <c r="A28" s="12"/>
      <c r="B28" s="12"/>
      <c r="C28" s="12"/>
      <c r="D28" s="12"/>
      <c r="E28" s="12"/>
      <c r="F28" s="6" t="s">
        <v>30</v>
      </c>
      <c r="K28" s="41">
        <v>0.0</v>
      </c>
      <c r="L28" s="4" t="s">
        <v>15</v>
      </c>
    </row>
    <row r="33">
      <c r="A33" s="11"/>
      <c r="B33" s="11"/>
      <c r="C33" s="11"/>
      <c r="D33" s="11"/>
      <c r="Q33" s="1"/>
      <c r="R33" s="1"/>
      <c r="S33" s="1"/>
      <c r="T33" s="1"/>
      <c r="U33" s="1"/>
    </row>
    <row r="34">
      <c r="K34" s="4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16.13"/>
    <col customWidth="1" min="3" max="4" width="4.5"/>
    <col customWidth="1" min="5" max="5" width="6.75"/>
    <col customWidth="1" min="7" max="7" width="17.25"/>
    <col customWidth="1" min="8" max="8" width="6.63"/>
    <col customWidth="1" min="9" max="9" width="6.75"/>
    <col customWidth="1" min="11" max="11" width="4.63"/>
    <col customWidth="1" min="13" max="13" width="4.38"/>
    <col customWidth="1" min="14" max="14" width="4.0"/>
  </cols>
  <sheetData>
    <row r="2">
      <c r="B2" s="11"/>
      <c r="E2" s="4"/>
      <c r="F2" s="12"/>
      <c r="G2" s="11"/>
      <c r="H2" s="11"/>
      <c r="I2" s="11"/>
      <c r="J2" s="11"/>
      <c r="K2" s="11"/>
      <c r="L2" s="11"/>
      <c r="M2" s="11"/>
      <c r="N2" s="11"/>
      <c r="O2" s="11"/>
      <c r="P2" s="11"/>
      <c r="Q2" s="4"/>
    </row>
    <row r="3">
      <c r="B3" s="11"/>
      <c r="E3" s="4"/>
      <c r="F3" s="12"/>
      <c r="G3" s="11"/>
      <c r="H3" s="11"/>
      <c r="I3" s="11"/>
      <c r="J3" s="11"/>
      <c r="K3" s="11"/>
      <c r="L3" s="11"/>
      <c r="M3" s="11"/>
      <c r="N3" s="11"/>
      <c r="O3" s="11"/>
      <c r="P3" s="11"/>
      <c r="Q3" s="4"/>
    </row>
    <row r="4">
      <c r="B4" s="11" t="s">
        <v>13</v>
      </c>
      <c r="E4" s="4" t="s">
        <v>14</v>
      </c>
      <c r="F4" s="15" t="s">
        <v>17</v>
      </c>
      <c r="G4" s="17" t="s">
        <v>18</v>
      </c>
      <c r="H4" s="17" t="s">
        <v>21</v>
      </c>
      <c r="J4" s="17" t="s">
        <v>25</v>
      </c>
      <c r="K4" s="17" t="s">
        <v>27</v>
      </c>
      <c r="L4" s="17" t="s">
        <v>30</v>
      </c>
      <c r="M4" s="17" t="s">
        <v>4</v>
      </c>
      <c r="O4" s="17" t="s">
        <v>31</v>
      </c>
      <c r="P4" s="17" t="s">
        <v>33</v>
      </c>
      <c r="Q4" s="4" t="s">
        <v>14</v>
      </c>
    </row>
    <row r="5">
      <c r="G5" s="23" t="s">
        <v>34</v>
      </c>
      <c r="J5" s="15" t="s">
        <v>35</v>
      </c>
      <c r="L5" s="23" t="s">
        <v>35</v>
      </c>
      <c r="M5" s="15" t="s">
        <v>35</v>
      </c>
      <c r="O5" s="15" t="s">
        <v>35</v>
      </c>
    </row>
    <row r="6">
      <c r="B6" s="4"/>
      <c r="L6" s="4"/>
    </row>
    <row r="8">
      <c r="F8" s="6" t="s">
        <v>4</v>
      </c>
      <c r="G8" s="4" t="s">
        <v>5</v>
      </c>
      <c r="H8" s="4">
        <v>100.0</v>
      </c>
      <c r="I8" s="4" t="s">
        <v>6</v>
      </c>
      <c r="K8" s="14">
        <f>(C20-C21) * H8/100</f>
        <v>150</v>
      </c>
      <c r="L8" s="4" t="s">
        <v>15</v>
      </c>
      <c r="N8" s="18">
        <f>K8/N17</f>
        <v>10.71428571</v>
      </c>
      <c r="O8" s="4" t="s">
        <v>23</v>
      </c>
    </row>
    <row r="9">
      <c r="G9" s="4" t="s">
        <v>28</v>
      </c>
      <c r="H9" s="4">
        <v>100.0</v>
      </c>
      <c r="I9" s="4" t="s">
        <v>6</v>
      </c>
      <c r="K9" s="14">
        <f>H9/10</f>
        <v>10</v>
      </c>
      <c r="L9" s="4" t="s">
        <v>15</v>
      </c>
      <c r="N9" s="18">
        <f>K9/N16*H16</f>
        <v>36.36363636</v>
      </c>
      <c r="O9" s="4" t="s">
        <v>37</v>
      </c>
    </row>
    <row r="10">
      <c r="D10" s="6" t="s">
        <v>57</v>
      </c>
    </row>
    <row r="11">
      <c r="B11" s="6" t="s">
        <v>27</v>
      </c>
      <c r="C11" s="12">
        <v>6.0</v>
      </c>
      <c r="D11" s="31" t="s">
        <v>61</v>
      </c>
      <c r="F11" s="6" t="s">
        <v>27</v>
      </c>
      <c r="G11" s="4" t="s">
        <v>63</v>
      </c>
      <c r="H11" s="4">
        <v>10.0</v>
      </c>
      <c r="I11" s="4" t="s">
        <v>6</v>
      </c>
      <c r="K11" s="14">
        <f t="shared" ref="K11:K12" si="1">$C$21*H11/100</f>
        <v>40</v>
      </c>
      <c r="L11" s="4" t="s">
        <v>15</v>
      </c>
    </row>
    <row r="12">
      <c r="B12" s="6" t="s">
        <v>34</v>
      </c>
      <c r="C12" s="12">
        <v>6.0</v>
      </c>
      <c r="F12" s="6" t="s">
        <v>34</v>
      </c>
      <c r="G12" s="4" t="s">
        <v>66</v>
      </c>
      <c r="H12" s="4">
        <v>10.0</v>
      </c>
      <c r="I12" s="4" t="s">
        <v>6</v>
      </c>
      <c r="K12" s="14">
        <f t="shared" si="1"/>
        <v>40</v>
      </c>
      <c r="L12" s="4" t="s">
        <v>15</v>
      </c>
    </row>
    <row r="14">
      <c r="B14" s="6" t="s">
        <v>62</v>
      </c>
      <c r="C14" s="34">
        <f>K14/C18*100</f>
        <v>0.6069802731</v>
      </c>
      <c r="F14" s="6" t="s">
        <v>64</v>
      </c>
      <c r="G14" s="4" t="s">
        <v>65</v>
      </c>
      <c r="H14" s="4">
        <v>1.0</v>
      </c>
      <c r="I14" s="4" t="s">
        <v>6</v>
      </c>
      <c r="K14" s="14">
        <f>$C$21*H14/100</f>
        <v>4</v>
      </c>
      <c r="L14" s="4" t="s">
        <v>15</v>
      </c>
      <c r="X14" s="4"/>
    </row>
    <row r="15">
      <c r="B15" s="6" t="s">
        <v>67</v>
      </c>
      <c r="C15" s="34">
        <f>H16</f>
        <v>3.636363636</v>
      </c>
      <c r="D15" s="12"/>
      <c r="F15" s="6" t="s">
        <v>33</v>
      </c>
      <c r="G15" s="4" t="s">
        <v>75</v>
      </c>
      <c r="H15" s="4">
        <v>4.0</v>
      </c>
      <c r="I15" s="4" t="s">
        <v>72</v>
      </c>
      <c r="J15" s="4"/>
      <c r="K15" s="4">
        <f>10*H15</f>
        <v>40</v>
      </c>
      <c r="L15" s="4" t="s">
        <v>15</v>
      </c>
      <c r="M15" s="6" t="s">
        <v>4</v>
      </c>
    </row>
    <row r="16">
      <c r="G16" s="4" t="s">
        <v>77</v>
      </c>
      <c r="H16" s="39">
        <f>H15/C20*1000/2</f>
        <v>3.636363636</v>
      </c>
      <c r="I16" s="4" t="s">
        <v>78</v>
      </c>
      <c r="M16" s="4" t="s">
        <v>28</v>
      </c>
      <c r="N16" s="4">
        <f>H15/4</f>
        <v>1</v>
      </c>
      <c r="O16" s="4" t="s">
        <v>81</v>
      </c>
    </row>
    <row r="17">
      <c r="G17" s="4" t="s">
        <v>87</v>
      </c>
      <c r="H17" s="41">
        <f>H15/C20*20</f>
        <v>0.1454545455</v>
      </c>
      <c r="I17" s="4" t="s">
        <v>78</v>
      </c>
      <c r="M17" s="4" t="s">
        <v>89</v>
      </c>
      <c r="N17" s="4">
        <f>H15*3.5</f>
        <v>14</v>
      </c>
      <c r="O17" s="4" t="s">
        <v>90</v>
      </c>
    </row>
    <row r="18">
      <c r="A18" s="6" t="s">
        <v>93</v>
      </c>
      <c r="B18" s="4" t="s">
        <v>94</v>
      </c>
      <c r="C18" s="14">
        <f>C21+K8-C22</f>
        <v>659</v>
      </c>
      <c r="D18" s="4" t="s">
        <v>15</v>
      </c>
      <c r="G18" s="4" t="s">
        <v>92</v>
      </c>
      <c r="H18" s="4">
        <f>5*H15</f>
        <v>20</v>
      </c>
      <c r="I18" s="4" t="s">
        <v>96</v>
      </c>
    </row>
    <row r="19">
      <c r="F19" s="6"/>
      <c r="G19" s="4"/>
      <c r="H19" s="4"/>
      <c r="I19" s="4"/>
      <c r="J19" s="4"/>
      <c r="K19" s="4"/>
      <c r="L19" s="4"/>
    </row>
    <row r="20">
      <c r="B20" s="4" t="s">
        <v>101</v>
      </c>
      <c r="C20" s="4">
        <v>550.0</v>
      </c>
      <c r="D20" s="4" t="s">
        <v>15</v>
      </c>
      <c r="F20" s="6" t="s">
        <v>102</v>
      </c>
      <c r="G20" s="4" t="s">
        <v>103</v>
      </c>
      <c r="H20" s="4">
        <v>20.0</v>
      </c>
      <c r="I20" s="4" t="s">
        <v>96</v>
      </c>
      <c r="J20" s="4"/>
      <c r="K20" s="4">
        <f>H20*5</f>
        <v>100</v>
      </c>
      <c r="L20" s="4" t="s">
        <v>15</v>
      </c>
    </row>
    <row r="21">
      <c r="B21" s="4" t="s">
        <v>105</v>
      </c>
      <c r="C21" s="4">
        <v>400.0</v>
      </c>
      <c r="D21" s="4" t="s">
        <v>15</v>
      </c>
      <c r="F21" s="6" t="s">
        <v>31</v>
      </c>
      <c r="G21" s="4" t="s">
        <v>107</v>
      </c>
      <c r="H21" s="4">
        <v>1.0</v>
      </c>
      <c r="I21" s="4" t="s">
        <v>110</v>
      </c>
      <c r="J21" s="4"/>
      <c r="K21" s="4">
        <f>H21*50</f>
        <v>50</v>
      </c>
      <c r="L21" s="4" t="s">
        <v>15</v>
      </c>
      <c r="M21" s="4" t="s">
        <v>100</v>
      </c>
    </row>
    <row r="22">
      <c r="B22" s="43" t="s">
        <v>113</v>
      </c>
      <c r="C22" s="14">
        <f>C21- sum(K10:K104)</f>
        <v>-109</v>
      </c>
      <c r="D22" s="4" t="s">
        <v>15</v>
      </c>
      <c r="M22" s="4">
        <f>H21*1000/H18</f>
        <v>50</v>
      </c>
      <c r="N22" s="4" t="s">
        <v>112</v>
      </c>
    </row>
    <row r="23">
      <c r="B23" s="4" t="s">
        <v>118</v>
      </c>
      <c r="C23" s="4">
        <f>C20/10+C22</f>
        <v>-54</v>
      </c>
      <c r="D23" s="4" t="s">
        <v>15</v>
      </c>
      <c r="F23" s="6" t="s">
        <v>120</v>
      </c>
      <c r="M23" s="14">
        <f>M22*H16</f>
        <v>181.8181818</v>
      </c>
      <c r="N23" s="4" t="s">
        <v>117</v>
      </c>
    </row>
    <row r="24">
      <c r="B24" s="4" t="s">
        <v>124</v>
      </c>
      <c r="C24" s="4">
        <f>C20+C22</f>
        <v>441</v>
      </c>
      <c r="D24" s="4" t="s">
        <v>15</v>
      </c>
      <c r="F24" s="6" t="s">
        <v>21</v>
      </c>
      <c r="G24" s="4" t="s">
        <v>127</v>
      </c>
      <c r="H24" s="4" t="s">
        <v>128</v>
      </c>
      <c r="K24" s="4">
        <v>8.0</v>
      </c>
      <c r="L24" s="4" t="s">
        <v>15</v>
      </c>
    </row>
    <row r="25">
      <c r="G25" s="4" t="s">
        <v>130</v>
      </c>
      <c r="H25" s="4">
        <v>20.0</v>
      </c>
      <c r="K25" s="4">
        <f>H25*0.5</f>
        <v>10</v>
      </c>
      <c r="L25" s="4" t="s">
        <v>15</v>
      </c>
    </row>
    <row r="26">
      <c r="G26" s="4" t="s">
        <v>133</v>
      </c>
      <c r="K26" s="4">
        <v>2.0</v>
      </c>
      <c r="L26" s="4" t="s">
        <v>15</v>
      </c>
    </row>
    <row r="27">
      <c r="F27" s="6"/>
      <c r="G27" s="4" t="s">
        <v>136</v>
      </c>
      <c r="K27" s="4">
        <v>10.0</v>
      </c>
      <c r="L27" s="4" t="s">
        <v>15</v>
      </c>
    </row>
    <row r="29">
      <c r="F29" s="6" t="s">
        <v>140</v>
      </c>
      <c r="G29" s="4" t="s">
        <v>142</v>
      </c>
      <c r="K29" s="4">
        <v>50.0</v>
      </c>
      <c r="L29" s="4" t="s">
        <v>15</v>
      </c>
    </row>
    <row r="30">
      <c r="G30" s="4" t="s">
        <v>143</v>
      </c>
      <c r="H30" s="4">
        <f>sum(K36:K49)</f>
        <v>25</v>
      </c>
      <c r="I30" s="4" t="s">
        <v>15</v>
      </c>
      <c r="K30" s="4">
        <f>H30+5</f>
        <v>30</v>
      </c>
      <c r="L30" s="4" t="s">
        <v>15</v>
      </c>
    </row>
    <row r="32">
      <c r="F32" s="6" t="s">
        <v>154</v>
      </c>
      <c r="H32" s="4">
        <v>15.0</v>
      </c>
      <c r="I32" s="4" t="s">
        <v>6</v>
      </c>
      <c r="K32" s="14">
        <f t="shared" ref="K32:K34" si="2">$C$21*H32/100</f>
        <v>60</v>
      </c>
      <c r="L32" s="4" t="s">
        <v>15</v>
      </c>
    </row>
    <row r="33">
      <c r="A33" s="12"/>
      <c r="B33" s="12"/>
      <c r="C33" s="12"/>
      <c r="D33" s="12"/>
      <c r="E33" s="12"/>
      <c r="F33" s="6" t="s">
        <v>159</v>
      </c>
      <c r="H33" s="4">
        <v>5.0</v>
      </c>
      <c r="I33" s="4" t="s">
        <v>6</v>
      </c>
      <c r="K33" s="14">
        <f t="shared" si="2"/>
        <v>20</v>
      </c>
      <c r="L33" s="4" t="s">
        <v>15</v>
      </c>
    </row>
    <row r="34">
      <c r="A34" s="12"/>
      <c r="B34" s="12"/>
      <c r="C34" s="12"/>
      <c r="D34" s="12"/>
      <c r="E34" s="12"/>
      <c r="F34" s="6" t="s">
        <v>162</v>
      </c>
      <c r="H34" s="4">
        <v>5.0</v>
      </c>
      <c r="I34" s="4" t="s">
        <v>6</v>
      </c>
      <c r="K34" s="14">
        <f t="shared" si="2"/>
        <v>20</v>
      </c>
      <c r="L34" s="4" t="s">
        <v>15</v>
      </c>
    </row>
    <row r="36">
      <c r="F36" s="6" t="s">
        <v>163</v>
      </c>
      <c r="G36" s="4" t="s">
        <v>164</v>
      </c>
      <c r="K36" s="4">
        <v>20.0</v>
      </c>
      <c r="L36" s="4" t="s">
        <v>15</v>
      </c>
    </row>
    <row r="37">
      <c r="G37" s="4" t="s">
        <v>165</v>
      </c>
      <c r="K37" s="4">
        <v>0.0</v>
      </c>
      <c r="L37" s="4" t="s">
        <v>15</v>
      </c>
    </row>
    <row r="38">
      <c r="G38" s="4" t="s">
        <v>28</v>
      </c>
      <c r="K38" s="4">
        <v>1.0</v>
      </c>
      <c r="L38" s="4" t="s">
        <v>15</v>
      </c>
    </row>
    <row r="39">
      <c r="A39" s="11"/>
      <c r="B39" s="11"/>
      <c r="C39" s="11"/>
      <c r="D39" s="11"/>
      <c r="G39" s="4" t="s">
        <v>166</v>
      </c>
      <c r="K39" s="4">
        <v>1.0</v>
      </c>
      <c r="L39" s="4" t="s">
        <v>15</v>
      </c>
      <c r="Q39" s="1"/>
      <c r="R39" s="1"/>
      <c r="S39" s="1"/>
      <c r="T39" s="1"/>
      <c r="U39" s="1"/>
    </row>
    <row r="40">
      <c r="G40" s="4" t="s">
        <v>169</v>
      </c>
      <c r="K40" s="46">
        <v>0.0</v>
      </c>
      <c r="L40" s="4" t="s">
        <v>170</v>
      </c>
    </row>
    <row r="41">
      <c r="G41" s="4" t="s">
        <v>171</v>
      </c>
      <c r="K41" s="4">
        <v>1.0</v>
      </c>
      <c r="L41" s="4" t="s">
        <v>15</v>
      </c>
    </row>
    <row r="42">
      <c r="G42" s="4" t="s">
        <v>172</v>
      </c>
      <c r="K42" s="4">
        <v>1.0</v>
      </c>
      <c r="L42" s="4" t="s">
        <v>15</v>
      </c>
    </row>
    <row r="43">
      <c r="G43" s="4" t="s">
        <v>173</v>
      </c>
      <c r="K43" s="4">
        <v>1.0</v>
      </c>
      <c r="L43" s="4" t="s">
        <v>15</v>
      </c>
    </row>
    <row r="44">
      <c r="G44" s="4" t="s">
        <v>174</v>
      </c>
      <c r="K44" s="4">
        <v>0.0</v>
      </c>
      <c r="L44" s="4" t="s">
        <v>15</v>
      </c>
    </row>
  </sheetData>
  <mergeCells count="3">
    <mergeCell ref="H4:I4"/>
    <mergeCell ref="M4:N4"/>
    <mergeCell ref="M5:N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3" max="3" width="6.0"/>
    <col customWidth="1" min="4" max="4" width="5.13"/>
    <col customWidth="1" min="5" max="5" width="3.5"/>
    <col customWidth="1" min="7" max="7" width="3.75"/>
    <col customWidth="1" min="10" max="10" width="5.38"/>
    <col customWidth="1" min="14" max="16" width="6.38"/>
    <col customWidth="1" min="17" max="17" width="8.0"/>
    <col customWidth="1" min="18" max="18" width="4.13"/>
    <col customWidth="1" min="19" max="22" width="6.38"/>
  </cols>
  <sheetData>
    <row r="3">
      <c r="B3" s="6" t="s">
        <v>210</v>
      </c>
      <c r="D3" s="6" t="s">
        <v>57</v>
      </c>
      <c r="E3" s="11"/>
      <c r="F3" s="2" t="s">
        <v>211</v>
      </c>
      <c r="G3" s="6"/>
      <c r="H3" s="6" t="s">
        <v>212</v>
      </c>
      <c r="K3" s="6" t="s">
        <v>213</v>
      </c>
      <c r="M3" s="6" t="s">
        <v>21</v>
      </c>
      <c r="N3" s="11" t="s">
        <v>214</v>
      </c>
      <c r="O3" s="11" t="s">
        <v>215</v>
      </c>
      <c r="P3" s="11" t="s">
        <v>216</v>
      </c>
      <c r="S3" s="11"/>
      <c r="T3" s="11" t="s">
        <v>217</v>
      </c>
      <c r="U3" s="11" t="s">
        <v>218</v>
      </c>
      <c r="V3" s="11" t="s">
        <v>219</v>
      </c>
    </row>
    <row r="4">
      <c r="B4" s="4" t="s">
        <v>220</v>
      </c>
      <c r="C4" s="12">
        <v>6.0</v>
      </c>
      <c r="D4" s="31" t="s">
        <v>221</v>
      </c>
      <c r="E4" s="4"/>
      <c r="F4" s="4" t="s">
        <v>222</v>
      </c>
      <c r="G4" s="4"/>
      <c r="H4" s="4" t="s">
        <v>223</v>
      </c>
      <c r="I4" s="4" t="s">
        <v>224</v>
      </c>
      <c r="K4" s="4" t="s">
        <v>225</v>
      </c>
      <c r="M4" s="4" t="s">
        <v>226</v>
      </c>
      <c r="N4" s="12" t="s">
        <v>227</v>
      </c>
      <c r="O4" s="12">
        <v>3.0</v>
      </c>
      <c r="P4" s="12" t="s">
        <v>228</v>
      </c>
      <c r="Q4" s="4" t="s">
        <v>229</v>
      </c>
      <c r="S4" s="1"/>
      <c r="T4" s="12">
        <v>3.0</v>
      </c>
      <c r="U4" s="12">
        <v>2.0</v>
      </c>
      <c r="V4" s="12">
        <v>3.0</v>
      </c>
    </row>
    <row r="5">
      <c r="A5" s="11" t="s">
        <v>230</v>
      </c>
      <c r="B5" s="4" t="s">
        <v>231</v>
      </c>
      <c r="C5" s="12">
        <v>4.0</v>
      </c>
      <c r="D5" s="1"/>
      <c r="F5" s="4" t="s">
        <v>232</v>
      </c>
      <c r="G5" s="4"/>
      <c r="K5" s="4" t="s">
        <v>233</v>
      </c>
      <c r="M5" s="4" t="s">
        <v>235</v>
      </c>
      <c r="N5" s="12" t="s">
        <v>236</v>
      </c>
      <c r="O5" s="12">
        <v>5.0</v>
      </c>
      <c r="P5" s="12" t="s">
        <v>240</v>
      </c>
    </row>
    <row r="6">
      <c r="A6" s="12" t="s">
        <v>241</v>
      </c>
      <c r="B6" s="4" t="s">
        <v>242</v>
      </c>
      <c r="C6" s="12">
        <v>6.0</v>
      </c>
      <c r="D6" s="1"/>
      <c r="K6" s="4" t="s">
        <v>243</v>
      </c>
      <c r="N6" s="1"/>
      <c r="O6" s="1"/>
      <c r="P6" s="1"/>
    </row>
    <row r="7">
      <c r="B7" s="4" t="s">
        <v>245</v>
      </c>
      <c r="C7" s="12">
        <v>3.0</v>
      </c>
      <c r="D7" s="1"/>
      <c r="K7" s="4" t="s">
        <v>248</v>
      </c>
      <c r="N7" s="1"/>
      <c r="O7" s="1"/>
      <c r="P7" s="1"/>
    </row>
    <row r="8">
      <c r="K8" s="4" t="s">
        <v>256</v>
      </c>
      <c r="N8" s="1"/>
      <c r="O8" s="1"/>
      <c r="P8" s="1"/>
    </row>
    <row r="9">
      <c r="B9" s="4" t="s">
        <v>258</v>
      </c>
      <c r="C9" s="12">
        <v>6.0</v>
      </c>
      <c r="N9" s="1"/>
      <c r="O9" s="1"/>
      <c r="P9" s="1"/>
    </row>
    <row r="10">
      <c r="B10" s="4" t="s">
        <v>85</v>
      </c>
      <c r="C10" s="12">
        <v>4.0</v>
      </c>
      <c r="N10" s="1"/>
      <c r="O10" s="1"/>
      <c r="P10" s="1"/>
    </row>
    <row r="11">
      <c r="N11" s="1"/>
      <c r="O11" s="1"/>
      <c r="P11" s="1"/>
    </row>
    <row r="1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/>
      <c r="O12" s="55"/>
      <c r="P12" s="55"/>
      <c r="Q12" s="54"/>
      <c r="R12" s="54"/>
      <c r="S12" s="54"/>
      <c r="T12" s="54"/>
      <c r="U12" s="54"/>
      <c r="V12" s="54"/>
    </row>
    <row r="13">
      <c r="B13" s="6" t="s">
        <v>210</v>
      </c>
      <c r="D13" s="6" t="s">
        <v>57</v>
      </c>
      <c r="F13" s="2" t="s">
        <v>211</v>
      </c>
      <c r="G13" s="6"/>
      <c r="H13" s="6" t="s">
        <v>212</v>
      </c>
      <c r="K13" s="6" t="s">
        <v>213</v>
      </c>
      <c r="M13" s="6" t="s">
        <v>21</v>
      </c>
      <c r="N13" s="11" t="s">
        <v>214</v>
      </c>
      <c r="O13" s="11" t="s">
        <v>215</v>
      </c>
      <c r="P13" s="11" t="s">
        <v>216</v>
      </c>
      <c r="S13" s="11"/>
      <c r="T13" s="11" t="s">
        <v>217</v>
      </c>
      <c r="U13" s="11" t="s">
        <v>218</v>
      </c>
      <c r="V13" s="11" t="s">
        <v>219</v>
      </c>
    </row>
    <row r="14">
      <c r="B14" s="4" t="s">
        <v>220</v>
      </c>
      <c r="C14" s="12">
        <v>6.0</v>
      </c>
      <c r="D14" s="31" t="s">
        <v>264</v>
      </c>
      <c r="F14" s="4" t="s">
        <v>272</v>
      </c>
      <c r="G14" s="4"/>
      <c r="H14" s="4" t="s">
        <v>273</v>
      </c>
      <c r="I14" s="4" t="s">
        <v>274</v>
      </c>
      <c r="K14" s="4" t="s">
        <v>275</v>
      </c>
      <c r="M14" s="4" t="s">
        <v>276</v>
      </c>
      <c r="N14" s="12" t="s">
        <v>236</v>
      </c>
      <c r="O14" s="12">
        <v>4.0</v>
      </c>
      <c r="P14" s="12" t="s">
        <v>268</v>
      </c>
      <c r="Q14" s="4" t="s">
        <v>277</v>
      </c>
      <c r="S14" s="1"/>
      <c r="T14" s="12"/>
      <c r="U14" s="12">
        <v>2.0</v>
      </c>
      <c r="V14" s="12">
        <v>3.0</v>
      </c>
    </row>
    <row r="15">
      <c r="A15" s="11" t="s">
        <v>278</v>
      </c>
      <c r="B15" s="4" t="s">
        <v>231</v>
      </c>
      <c r="C15" s="12">
        <v>6.0</v>
      </c>
      <c r="D15" s="31" t="s">
        <v>264</v>
      </c>
      <c r="F15" s="4" t="s">
        <v>282</v>
      </c>
      <c r="G15" s="4"/>
      <c r="H15" s="4" t="s">
        <v>283</v>
      </c>
      <c r="I15" s="4" t="s">
        <v>224</v>
      </c>
      <c r="K15" s="4" t="s">
        <v>285</v>
      </c>
      <c r="M15" s="4" t="s">
        <v>287</v>
      </c>
      <c r="N15" s="12" t="s">
        <v>236</v>
      </c>
      <c r="O15" s="12">
        <v>5.0</v>
      </c>
      <c r="P15" s="12" t="s">
        <v>268</v>
      </c>
    </row>
    <row r="16">
      <c r="A16" s="4" t="s">
        <v>293</v>
      </c>
      <c r="B16" s="4" t="s">
        <v>242</v>
      </c>
      <c r="C16" s="12">
        <v>6.0</v>
      </c>
      <c r="D16" s="1"/>
      <c r="H16" s="4" t="s">
        <v>295</v>
      </c>
      <c r="I16" s="4" t="s">
        <v>297</v>
      </c>
      <c r="K16" s="4" t="s">
        <v>299</v>
      </c>
    </row>
    <row r="17">
      <c r="B17" s="4" t="s">
        <v>245</v>
      </c>
      <c r="C17" s="12">
        <v>3.0</v>
      </c>
      <c r="D17" s="1"/>
      <c r="K17" s="4" t="s">
        <v>302</v>
      </c>
      <c r="N17" s="1"/>
      <c r="O17" s="1"/>
      <c r="P17" s="1"/>
    </row>
    <row r="18">
      <c r="K18" s="4" t="s">
        <v>304</v>
      </c>
      <c r="N18" s="1"/>
      <c r="O18" s="1"/>
      <c r="P18" s="1"/>
    </row>
    <row r="19">
      <c r="B19" s="4" t="s">
        <v>258</v>
      </c>
      <c r="C19" s="12">
        <v>5.0</v>
      </c>
      <c r="K19" s="4" t="s">
        <v>306</v>
      </c>
      <c r="N19" s="1"/>
      <c r="O19" s="1"/>
      <c r="P19" s="1"/>
    </row>
    <row r="20">
      <c r="B20" s="4" t="s">
        <v>85</v>
      </c>
      <c r="C20" s="12">
        <v>5.0</v>
      </c>
      <c r="K20" s="4" t="s">
        <v>309</v>
      </c>
      <c r="N20" s="1"/>
      <c r="O20" s="1"/>
      <c r="P20" s="1"/>
    </row>
    <row r="21">
      <c r="B21" s="4" t="s">
        <v>310</v>
      </c>
      <c r="C21" s="12">
        <v>4.0</v>
      </c>
      <c r="N21" s="1"/>
      <c r="O21" s="1"/>
      <c r="P21" s="1"/>
    </row>
    <row r="22">
      <c r="C22" s="1"/>
      <c r="N22" s="1"/>
      <c r="O22" s="1"/>
      <c r="P22" s="1"/>
    </row>
    <row r="23">
      <c r="C23" s="1"/>
      <c r="N23" s="1"/>
      <c r="O23" s="1"/>
      <c r="P23" s="1"/>
    </row>
    <row r="24">
      <c r="C24" s="1"/>
      <c r="N24" s="1"/>
      <c r="O24" s="1"/>
      <c r="P24" s="1"/>
    </row>
    <row r="25">
      <c r="C25" s="1"/>
      <c r="N25" s="1"/>
      <c r="O25" s="1"/>
      <c r="P25" s="1"/>
    </row>
    <row r="26">
      <c r="C26" s="1"/>
      <c r="N26" s="1"/>
      <c r="O26" s="1"/>
      <c r="P26" s="1"/>
    </row>
    <row r="27">
      <c r="C27" s="1"/>
      <c r="N27" s="1"/>
      <c r="O27" s="1"/>
      <c r="P27" s="1"/>
    </row>
    <row r="28">
      <c r="C28" s="1"/>
      <c r="N28" s="1"/>
      <c r="O28" s="1"/>
      <c r="P28" s="1"/>
    </row>
    <row r="29">
      <c r="C29" s="1"/>
      <c r="N29" s="1"/>
      <c r="O29" s="1"/>
      <c r="P29" s="1"/>
    </row>
    <row r="30">
      <c r="C30" s="1"/>
      <c r="N30" s="1"/>
      <c r="O30" s="1"/>
      <c r="P30" s="1"/>
    </row>
    <row r="31">
      <c r="N31" s="1"/>
      <c r="O31" s="1"/>
      <c r="P31" s="1"/>
    </row>
    <row r="32">
      <c r="N32" s="1"/>
      <c r="O32" s="1"/>
      <c r="P32" s="1"/>
    </row>
    <row r="33">
      <c r="N33" s="1"/>
      <c r="O33" s="1"/>
      <c r="P33" s="1"/>
    </row>
    <row r="34">
      <c r="N34" s="1"/>
      <c r="O34" s="1"/>
      <c r="P34" s="1"/>
    </row>
    <row r="35">
      <c r="N35" s="1"/>
      <c r="O35" s="1"/>
      <c r="P35" s="1"/>
    </row>
    <row r="36">
      <c r="N36" s="1"/>
      <c r="O36" s="1"/>
      <c r="P36" s="1"/>
    </row>
    <row r="37">
      <c r="N37" s="1"/>
      <c r="O37" s="1"/>
      <c r="P37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.0"/>
    <col customWidth="1" min="4" max="4" width="5.13"/>
    <col customWidth="1" min="5" max="5" width="3.5"/>
    <col customWidth="1" min="7" max="7" width="3.75"/>
    <col customWidth="1" min="10" max="10" width="5.38"/>
    <col customWidth="1" min="14" max="16" width="6.38"/>
    <col customWidth="1" min="17" max="17" width="8.0"/>
    <col customWidth="1" min="18" max="18" width="7.63"/>
    <col customWidth="1" min="19" max="22" width="6.38"/>
  </cols>
  <sheetData>
    <row r="3">
      <c r="B3" s="6" t="s">
        <v>210</v>
      </c>
      <c r="D3" s="6" t="s">
        <v>57</v>
      </c>
      <c r="E3" s="11"/>
      <c r="F3" s="2" t="s">
        <v>211</v>
      </c>
      <c r="G3" s="6"/>
      <c r="H3" s="6" t="s">
        <v>212</v>
      </c>
      <c r="K3" s="6" t="s">
        <v>213</v>
      </c>
      <c r="M3" s="6" t="s">
        <v>21</v>
      </c>
      <c r="N3" s="11" t="s">
        <v>234</v>
      </c>
      <c r="O3" s="11" t="s">
        <v>216</v>
      </c>
      <c r="P3" s="11" t="s">
        <v>237</v>
      </c>
      <c r="Q3" s="11" t="s">
        <v>238</v>
      </c>
      <c r="R3" s="11" t="s">
        <v>239</v>
      </c>
      <c r="S3" s="11"/>
      <c r="T3" s="11" t="s">
        <v>217</v>
      </c>
      <c r="U3" s="11" t="s">
        <v>218</v>
      </c>
      <c r="V3" s="11" t="s">
        <v>219</v>
      </c>
    </row>
    <row r="4">
      <c r="B4" s="4" t="s">
        <v>220</v>
      </c>
      <c r="C4" s="12">
        <v>6.0</v>
      </c>
      <c r="D4" s="31" t="s">
        <v>244</v>
      </c>
      <c r="E4" s="4"/>
      <c r="F4" s="4" t="s">
        <v>246</v>
      </c>
      <c r="H4" s="4" t="s">
        <v>247</v>
      </c>
      <c r="I4" s="4" t="s">
        <v>224</v>
      </c>
      <c r="K4" s="4" t="s">
        <v>249</v>
      </c>
      <c r="M4" s="4" t="s">
        <v>250</v>
      </c>
      <c r="N4" s="12" t="s">
        <v>251</v>
      </c>
      <c r="O4" s="12" t="s">
        <v>252</v>
      </c>
      <c r="P4" s="12" t="s">
        <v>253</v>
      </c>
      <c r="Q4" s="12" t="s">
        <v>254</v>
      </c>
      <c r="R4" s="12" t="s">
        <v>255</v>
      </c>
      <c r="S4" s="1"/>
      <c r="T4" s="12"/>
      <c r="U4" s="12">
        <v>2.0</v>
      </c>
      <c r="V4" s="12">
        <v>3.0</v>
      </c>
    </row>
    <row r="5">
      <c r="A5" s="11" t="s">
        <v>257</v>
      </c>
      <c r="B5" s="4" t="s">
        <v>231</v>
      </c>
      <c r="C5" s="12">
        <v>4.0</v>
      </c>
      <c r="D5" s="12"/>
      <c r="H5" s="4" t="s">
        <v>259</v>
      </c>
      <c r="I5" s="4" t="s">
        <v>260</v>
      </c>
      <c r="K5" s="4" t="s">
        <v>233</v>
      </c>
      <c r="N5" s="1"/>
      <c r="O5" s="1"/>
      <c r="P5" s="1"/>
    </row>
    <row r="6">
      <c r="B6" s="4" t="s">
        <v>242</v>
      </c>
      <c r="C6" s="12">
        <v>3.0</v>
      </c>
      <c r="D6" s="1"/>
      <c r="K6" s="4" t="s">
        <v>261</v>
      </c>
      <c r="N6" s="4"/>
      <c r="O6" s="1"/>
      <c r="P6" s="1"/>
    </row>
    <row r="7">
      <c r="B7" s="4" t="s">
        <v>245</v>
      </c>
      <c r="C7" s="12">
        <v>3.0</v>
      </c>
      <c r="D7" s="1"/>
      <c r="K7" s="4" t="s">
        <v>262</v>
      </c>
      <c r="O7" s="53"/>
      <c r="P7" s="1"/>
    </row>
    <row r="8">
      <c r="N8" s="1"/>
      <c r="O8" s="1"/>
      <c r="P8" s="1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5"/>
      <c r="O9" s="55"/>
      <c r="P9" s="55"/>
      <c r="Q9" s="54"/>
      <c r="R9" s="54"/>
      <c r="S9" s="54"/>
      <c r="T9" s="54"/>
      <c r="U9" s="54"/>
      <c r="V9" s="54"/>
    </row>
    <row r="10">
      <c r="B10" s="6" t="s">
        <v>210</v>
      </c>
      <c r="D10" s="6" t="s">
        <v>57</v>
      </c>
      <c r="F10" s="2" t="s">
        <v>211</v>
      </c>
      <c r="G10" s="6"/>
      <c r="H10" s="6" t="s">
        <v>212</v>
      </c>
      <c r="K10" s="6" t="s">
        <v>213</v>
      </c>
      <c r="M10" s="6" t="s">
        <v>21</v>
      </c>
      <c r="N10" s="11" t="s">
        <v>234</v>
      </c>
      <c r="O10" s="11" t="s">
        <v>216</v>
      </c>
      <c r="P10" s="11"/>
      <c r="Q10" s="11"/>
      <c r="R10" s="11"/>
      <c r="S10" s="11" t="s">
        <v>263</v>
      </c>
      <c r="T10" s="11" t="s">
        <v>217</v>
      </c>
      <c r="U10" s="11" t="s">
        <v>218</v>
      </c>
      <c r="V10" s="11" t="s">
        <v>219</v>
      </c>
    </row>
    <row r="11">
      <c r="B11" s="4" t="s">
        <v>220</v>
      </c>
      <c r="C11" s="12">
        <v>6.0</v>
      </c>
      <c r="D11" s="31" t="s">
        <v>264</v>
      </c>
      <c r="F11" s="4" t="s">
        <v>265</v>
      </c>
      <c r="H11" s="4" t="s">
        <v>247</v>
      </c>
      <c r="I11" s="4" t="s">
        <v>224</v>
      </c>
      <c r="K11" s="4" t="s">
        <v>266</v>
      </c>
      <c r="M11" s="4" t="s">
        <v>267</v>
      </c>
      <c r="N11" s="12">
        <v>3.0</v>
      </c>
      <c r="O11" s="12" t="s">
        <v>268</v>
      </c>
      <c r="P11" s="12"/>
      <c r="Q11" s="12"/>
      <c r="R11" s="12"/>
      <c r="S11" s="12">
        <v>3.0</v>
      </c>
      <c r="T11" s="12"/>
      <c r="U11" s="12">
        <v>3.0</v>
      </c>
      <c r="V11" s="12">
        <v>3.0</v>
      </c>
    </row>
    <row r="12">
      <c r="A12" s="11" t="s">
        <v>269</v>
      </c>
      <c r="B12" s="4" t="s">
        <v>231</v>
      </c>
      <c r="C12" s="12">
        <v>4.0</v>
      </c>
      <c r="D12" s="31" t="s">
        <v>270</v>
      </c>
      <c r="N12" s="12"/>
      <c r="P12" s="12"/>
      <c r="S12" s="12" t="s">
        <v>271</v>
      </c>
    </row>
    <row r="13">
      <c r="B13" s="4" t="s">
        <v>242</v>
      </c>
      <c r="C13" s="12">
        <v>3.0</v>
      </c>
      <c r="D13" s="1"/>
      <c r="N13" s="12"/>
      <c r="O13" s="12"/>
    </row>
    <row r="14">
      <c r="B14" s="4" t="s">
        <v>245</v>
      </c>
      <c r="C14" s="12">
        <v>3.0</v>
      </c>
      <c r="D14" s="1"/>
      <c r="N14" s="1"/>
      <c r="O14" s="1"/>
    </row>
    <row r="15">
      <c r="N15" s="1"/>
      <c r="O15" s="1"/>
      <c r="P15" s="1"/>
    </row>
    <row r="16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/>
      <c r="O16" s="55"/>
      <c r="P16" s="55"/>
      <c r="Q16" s="54"/>
      <c r="R16" s="54"/>
      <c r="S16" s="54"/>
      <c r="T16" s="54"/>
      <c r="U16" s="54"/>
      <c r="V16" s="54"/>
    </row>
    <row r="17">
      <c r="B17" s="6" t="s">
        <v>210</v>
      </c>
      <c r="D17" s="6" t="s">
        <v>57</v>
      </c>
      <c r="F17" s="2" t="s">
        <v>211</v>
      </c>
      <c r="G17" s="6"/>
      <c r="H17" s="6" t="s">
        <v>212</v>
      </c>
      <c r="K17" s="6" t="s">
        <v>213</v>
      </c>
      <c r="M17" s="6" t="s">
        <v>21</v>
      </c>
      <c r="N17" s="11" t="s">
        <v>234</v>
      </c>
      <c r="O17" s="11" t="s">
        <v>216</v>
      </c>
      <c r="P17" s="11" t="s">
        <v>279</v>
      </c>
      <c r="Q17" s="11" t="s">
        <v>280</v>
      </c>
      <c r="R17" s="11" t="s">
        <v>281</v>
      </c>
      <c r="S17" s="11"/>
      <c r="T17" s="11" t="s">
        <v>217</v>
      </c>
      <c r="U17" s="11" t="s">
        <v>218</v>
      </c>
      <c r="V17" s="11" t="s">
        <v>219</v>
      </c>
    </row>
    <row r="18">
      <c r="B18" s="4" t="s">
        <v>220</v>
      </c>
      <c r="C18" s="12">
        <v>6.0</v>
      </c>
      <c r="D18" s="31" t="s">
        <v>264</v>
      </c>
      <c r="F18" s="4" t="s">
        <v>284</v>
      </c>
      <c r="H18" s="4" t="s">
        <v>247</v>
      </c>
      <c r="I18" s="4" t="s">
        <v>224</v>
      </c>
      <c r="K18" s="4" t="s">
        <v>286</v>
      </c>
      <c r="M18" s="4" t="s">
        <v>289</v>
      </c>
      <c r="N18" s="12" t="s">
        <v>227</v>
      </c>
      <c r="O18" s="12" t="s">
        <v>291</v>
      </c>
      <c r="P18" s="12">
        <v>5.0</v>
      </c>
      <c r="Q18" s="12">
        <v>4.0</v>
      </c>
      <c r="R18" s="12">
        <v>3.0</v>
      </c>
      <c r="S18" s="12"/>
      <c r="T18" s="12"/>
      <c r="U18" s="12">
        <v>4.0</v>
      </c>
      <c r="V18" s="12">
        <v>4.0</v>
      </c>
    </row>
    <row r="19">
      <c r="A19" s="11" t="s">
        <v>294</v>
      </c>
      <c r="B19" s="4" t="s">
        <v>231</v>
      </c>
      <c r="C19" s="12">
        <v>4.0</v>
      </c>
      <c r="D19" s="31" t="s">
        <v>270</v>
      </c>
      <c r="K19" s="4" t="s">
        <v>296</v>
      </c>
      <c r="N19" s="12" t="s">
        <v>227</v>
      </c>
      <c r="O19" s="12" t="s">
        <v>298</v>
      </c>
      <c r="P19" s="12">
        <v>4.0</v>
      </c>
      <c r="Q19" s="12">
        <v>3.0</v>
      </c>
      <c r="R19" s="12">
        <v>2.0</v>
      </c>
      <c r="S19" s="12"/>
    </row>
    <row r="20">
      <c r="B20" s="4" t="s">
        <v>242</v>
      </c>
      <c r="C20" s="12">
        <v>3.0</v>
      </c>
      <c r="D20" s="1"/>
      <c r="K20" s="4" t="s">
        <v>233</v>
      </c>
      <c r="N20" s="12" t="s">
        <v>227</v>
      </c>
      <c r="O20" s="12" t="s">
        <v>300</v>
      </c>
      <c r="P20" s="12">
        <v>3.0</v>
      </c>
      <c r="Q20" s="12">
        <v>2.0</v>
      </c>
      <c r="R20" s="12">
        <v>1.0</v>
      </c>
    </row>
    <row r="21">
      <c r="B21" s="4" t="s">
        <v>245</v>
      </c>
      <c r="C21" s="12">
        <v>3.0</v>
      </c>
      <c r="D21" s="1"/>
      <c r="N21" s="1"/>
      <c r="O21" s="1"/>
    </row>
    <row r="22">
      <c r="N22" s="1"/>
      <c r="O22" s="1"/>
      <c r="P22" s="1"/>
    </row>
    <row r="23">
      <c r="N23" s="1"/>
      <c r="O23" s="1"/>
      <c r="P23" s="1"/>
    </row>
    <row r="24">
      <c r="N24" s="1"/>
      <c r="O24" s="1"/>
      <c r="P24" s="1"/>
    </row>
    <row r="25">
      <c r="N25" s="1"/>
      <c r="O25" s="1"/>
      <c r="P25" s="1"/>
    </row>
    <row r="26">
      <c r="N26" s="1"/>
      <c r="O26" s="1"/>
      <c r="P26" s="1"/>
    </row>
    <row r="27">
      <c r="N27" s="1"/>
      <c r="O27" s="1"/>
      <c r="P27" s="1"/>
    </row>
    <row r="28">
      <c r="N28" s="1"/>
      <c r="O28" s="1"/>
      <c r="P28" s="1"/>
    </row>
    <row r="29">
      <c r="N29" s="1"/>
      <c r="O29" s="1"/>
      <c r="P29" s="1"/>
    </row>
    <row r="30">
      <c r="N30" s="1"/>
      <c r="O30" s="1"/>
      <c r="P30" s="1"/>
    </row>
    <row r="31">
      <c r="N31" s="1"/>
      <c r="O31" s="1"/>
      <c r="P31" s="1"/>
    </row>
    <row r="32">
      <c r="N32" s="1"/>
      <c r="O32" s="1"/>
      <c r="P32" s="1"/>
    </row>
    <row r="33">
      <c r="N33" s="1"/>
      <c r="O33" s="1"/>
      <c r="P33" s="1"/>
    </row>
    <row r="34">
      <c r="N34" s="1"/>
      <c r="O34" s="1"/>
      <c r="P34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.0"/>
    <col customWidth="1" min="4" max="4" width="5.13"/>
    <col customWidth="1" min="5" max="5" width="3.5"/>
    <col customWidth="1" min="7" max="7" width="3.75"/>
    <col customWidth="1" min="10" max="10" width="5.38"/>
    <col customWidth="1" min="13" max="13" width="13.88"/>
    <col customWidth="1" min="14" max="16" width="6.38"/>
    <col customWidth="1" min="17" max="17" width="8.0"/>
    <col customWidth="1" min="18" max="18" width="7.63"/>
    <col customWidth="1" min="19" max="22" width="6.38"/>
  </cols>
  <sheetData>
    <row r="3">
      <c r="B3" s="6" t="s">
        <v>210</v>
      </c>
      <c r="D3" s="6" t="s">
        <v>57</v>
      </c>
      <c r="E3" s="11"/>
      <c r="F3" s="2" t="s">
        <v>211</v>
      </c>
      <c r="G3" s="6"/>
      <c r="H3" s="6" t="s">
        <v>212</v>
      </c>
      <c r="K3" s="6" t="s">
        <v>213</v>
      </c>
      <c r="M3" s="6" t="s">
        <v>21</v>
      </c>
      <c r="N3" s="11" t="s">
        <v>234</v>
      </c>
      <c r="O3" s="11" t="s">
        <v>216</v>
      </c>
      <c r="P3" s="11" t="s">
        <v>237</v>
      </c>
      <c r="Q3" s="11" t="s">
        <v>238</v>
      </c>
      <c r="R3" s="11" t="s">
        <v>239</v>
      </c>
      <c r="S3" s="11"/>
      <c r="T3" s="11" t="s">
        <v>217</v>
      </c>
      <c r="U3" s="11" t="s">
        <v>218</v>
      </c>
      <c r="V3" s="11" t="s">
        <v>219</v>
      </c>
    </row>
    <row r="4">
      <c r="B4" s="4" t="s">
        <v>220</v>
      </c>
      <c r="C4" s="12">
        <v>4.0</v>
      </c>
      <c r="D4" s="12">
        <v>2.0</v>
      </c>
      <c r="F4" s="4" t="s">
        <v>288</v>
      </c>
      <c r="H4" s="4" t="s">
        <v>290</v>
      </c>
      <c r="I4" s="4" t="s">
        <v>292</v>
      </c>
      <c r="M4" s="4" t="s">
        <v>287</v>
      </c>
      <c r="N4" s="12"/>
      <c r="O4" s="12"/>
      <c r="P4" s="12"/>
      <c r="Q4" s="12"/>
      <c r="R4" s="12"/>
      <c r="S4" s="1"/>
      <c r="T4" s="12"/>
      <c r="U4" s="12"/>
      <c r="V4" s="12"/>
    </row>
    <row r="5">
      <c r="A5" s="11" t="s">
        <v>116</v>
      </c>
      <c r="B5" s="4" t="s">
        <v>231</v>
      </c>
      <c r="C5" s="12">
        <v>6.0</v>
      </c>
      <c r="D5" s="12">
        <v>3.0</v>
      </c>
      <c r="F5" s="4" t="s">
        <v>301</v>
      </c>
      <c r="H5" s="4" t="s">
        <v>288</v>
      </c>
      <c r="I5" s="44" t="s">
        <v>303</v>
      </c>
      <c r="M5" s="4" t="s">
        <v>305</v>
      </c>
      <c r="N5" s="1"/>
      <c r="O5" s="1"/>
      <c r="P5" s="1"/>
    </row>
    <row r="6">
      <c r="B6" s="4" t="s">
        <v>242</v>
      </c>
      <c r="C6" s="12">
        <v>3.0</v>
      </c>
      <c r="D6" s="1"/>
      <c r="F6" s="4" t="s">
        <v>307</v>
      </c>
      <c r="H6" s="4" t="s">
        <v>307</v>
      </c>
      <c r="I6" s="4" t="s">
        <v>308</v>
      </c>
      <c r="O6" s="1"/>
      <c r="P6" s="1"/>
    </row>
    <row r="7">
      <c r="B7" s="4" t="s">
        <v>245</v>
      </c>
      <c r="C7" s="12">
        <v>6.0</v>
      </c>
      <c r="D7" s="1"/>
      <c r="F7" s="4" t="s">
        <v>311</v>
      </c>
      <c r="O7" s="53"/>
      <c r="P7" s="1"/>
    </row>
    <row r="8">
      <c r="N8" s="1"/>
      <c r="O8" s="1"/>
      <c r="P8" s="1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5"/>
      <c r="O9" s="55"/>
      <c r="P9" s="55"/>
      <c r="Q9" s="54"/>
      <c r="R9" s="54"/>
      <c r="S9" s="54"/>
      <c r="T9" s="54"/>
      <c r="U9" s="54"/>
      <c r="V9" s="54"/>
    </row>
    <row r="10">
      <c r="B10" s="6" t="s">
        <v>210</v>
      </c>
      <c r="D10" s="6" t="s">
        <v>57</v>
      </c>
      <c r="F10" s="2" t="s">
        <v>211</v>
      </c>
      <c r="G10" s="6"/>
      <c r="H10" s="6" t="s">
        <v>212</v>
      </c>
      <c r="K10" s="6" t="s">
        <v>213</v>
      </c>
      <c r="M10" s="6" t="s">
        <v>21</v>
      </c>
      <c r="N10" s="11" t="s">
        <v>234</v>
      </c>
      <c r="O10" s="11" t="s">
        <v>216</v>
      </c>
      <c r="P10" s="11"/>
      <c r="Q10" s="11"/>
      <c r="R10" s="11"/>
      <c r="S10" s="11" t="s">
        <v>263</v>
      </c>
      <c r="T10" s="11" t="s">
        <v>217</v>
      </c>
      <c r="U10" s="11" t="s">
        <v>218</v>
      </c>
      <c r="V10" s="11" t="s">
        <v>219</v>
      </c>
    </row>
    <row r="11">
      <c r="B11" s="4" t="s">
        <v>220</v>
      </c>
      <c r="C11" s="12">
        <v>6.0</v>
      </c>
      <c r="D11" s="12">
        <v>3.0</v>
      </c>
      <c r="F11" s="4" t="s">
        <v>312</v>
      </c>
      <c r="H11" s="4" t="s">
        <v>313</v>
      </c>
      <c r="I11" s="4" t="s">
        <v>286</v>
      </c>
      <c r="K11" s="4" t="s">
        <v>248</v>
      </c>
      <c r="M11" s="4" t="s">
        <v>314</v>
      </c>
      <c r="N11" s="12"/>
      <c r="O11" s="12"/>
      <c r="P11" s="12"/>
      <c r="Q11" s="12"/>
      <c r="R11" s="12"/>
      <c r="S11" s="12">
        <v>4.0</v>
      </c>
      <c r="T11" s="12">
        <v>4.0</v>
      </c>
      <c r="U11" s="12">
        <v>3.0</v>
      </c>
      <c r="V11" s="12">
        <v>4.0</v>
      </c>
    </row>
    <row r="12">
      <c r="A12" s="11" t="s">
        <v>315</v>
      </c>
      <c r="B12" s="4" t="s">
        <v>231</v>
      </c>
      <c r="C12" s="12">
        <v>4.0</v>
      </c>
      <c r="D12" s="12">
        <v>1.0</v>
      </c>
      <c r="H12" s="4" t="s">
        <v>316</v>
      </c>
      <c r="I12" s="44" t="s">
        <v>317</v>
      </c>
      <c r="M12" s="4" t="s">
        <v>318</v>
      </c>
      <c r="N12" s="12"/>
      <c r="P12" s="12"/>
      <c r="S12" s="12"/>
    </row>
    <row r="13">
      <c r="B13" s="4" t="s">
        <v>242</v>
      </c>
      <c r="C13" s="12">
        <v>6.0</v>
      </c>
      <c r="D13" s="1"/>
      <c r="N13" s="12"/>
      <c r="O13" s="12"/>
    </row>
    <row r="14">
      <c r="B14" s="4" t="s">
        <v>245</v>
      </c>
      <c r="C14" s="12">
        <v>3.0</v>
      </c>
      <c r="D14" s="1"/>
      <c r="N14" s="1"/>
      <c r="O14" s="1"/>
    </row>
    <row r="15">
      <c r="N15" s="1"/>
      <c r="O15" s="1"/>
      <c r="P15" s="1"/>
    </row>
    <row r="16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/>
      <c r="O16" s="55"/>
      <c r="P16" s="55"/>
      <c r="Q16" s="54"/>
      <c r="R16" s="54"/>
      <c r="S16" s="54"/>
      <c r="T16" s="54"/>
      <c r="U16" s="54"/>
      <c r="V16" s="54"/>
    </row>
    <row r="17">
      <c r="B17" s="6" t="s">
        <v>210</v>
      </c>
      <c r="D17" s="6" t="s">
        <v>57</v>
      </c>
      <c r="F17" s="2" t="s">
        <v>211</v>
      </c>
      <c r="G17" s="6"/>
      <c r="H17" s="6" t="s">
        <v>212</v>
      </c>
      <c r="K17" s="6" t="s">
        <v>213</v>
      </c>
      <c r="M17" s="6" t="s">
        <v>21</v>
      </c>
      <c r="N17" s="11" t="s">
        <v>234</v>
      </c>
      <c r="O17" s="11" t="s">
        <v>216</v>
      </c>
      <c r="P17" s="11" t="s">
        <v>279</v>
      </c>
      <c r="Q17" s="11" t="s">
        <v>280</v>
      </c>
      <c r="R17" s="11" t="s">
        <v>281</v>
      </c>
      <c r="S17" s="11"/>
      <c r="T17" s="11" t="s">
        <v>217</v>
      </c>
      <c r="U17" s="11" t="s">
        <v>218</v>
      </c>
      <c r="V17" s="11" t="s">
        <v>219</v>
      </c>
    </row>
    <row r="18">
      <c r="B18" s="4" t="s">
        <v>220</v>
      </c>
      <c r="C18" s="12">
        <v>6.0</v>
      </c>
      <c r="D18" s="12">
        <v>3.0</v>
      </c>
      <c r="F18" s="4" t="s">
        <v>272</v>
      </c>
      <c r="H18" s="4" t="s">
        <v>319</v>
      </c>
      <c r="I18" s="44" t="s">
        <v>317</v>
      </c>
      <c r="K18" s="4" t="s">
        <v>320</v>
      </c>
      <c r="M18" s="4" t="s">
        <v>321</v>
      </c>
      <c r="N18" s="12"/>
      <c r="O18" s="12"/>
      <c r="P18" s="12"/>
      <c r="Q18" s="12"/>
      <c r="R18" s="12"/>
      <c r="S18" s="12"/>
      <c r="T18" s="12">
        <v>2.0</v>
      </c>
      <c r="U18" s="12">
        <v>2.0</v>
      </c>
      <c r="V18" s="12">
        <v>3.0</v>
      </c>
    </row>
    <row r="19">
      <c r="A19" s="11" t="s">
        <v>322</v>
      </c>
      <c r="B19" s="4" t="s">
        <v>231</v>
      </c>
      <c r="C19" s="12">
        <v>5.0</v>
      </c>
      <c r="D19" s="12">
        <v>2.0</v>
      </c>
      <c r="F19" s="4" t="s">
        <v>323</v>
      </c>
      <c r="H19" s="4" t="s">
        <v>324</v>
      </c>
      <c r="I19" s="44" t="s">
        <v>303</v>
      </c>
      <c r="K19" s="4" t="s">
        <v>325</v>
      </c>
      <c r="M19" s="4" t="s">
        <v>326</v>
      </c>
      <c r="N19" s="12"/>
      <c r="O19" s="12"/>
      <c r="P19" s="12"/>
      <c r="Q19" s="12"/>
      <c r="R19" s="12"/>
      <c r="S19" s="12"/>
    </row>
    <row r="20">
      <c r="B20" s="4" t="s">
        <v>242</v>
      </c>
      <c r="C20" s="12">
        <v>5.0</v>
      </c>
      <c r="D20" s="1"/>
      <c r="F20" s="4" t="s">
        <v>222</v>
      </c>
      <c r="M20" s="4" t="s">
        <v>327</v>
      </c>
      <c r="N20" s="12"/>
      <c r="O20" s="12"/>
      <c r="P20" s="12"/>
      <c r="Q20" s="12"/>
      <c r="R20" s="12"/>
    </row>
    <row r="21">
      <c r="B21" s="4" t="s">
        <v>245</v>
      </c>
      <c r="C21" s="12">
        <v>4.0</v>
      </c>
      <c r="D21" s="1"/>
      <c r="N21" s="1"/>
      <c r="O21" s="1"/>
    </row>
    <row r="22">
      <c r="N22" s="1"/>
      <c r="O22" s="1"/>
      <c r="P22" s="1"/>
    </row>
    <row r="23">
      <c r="N23" s="1"/>
      <c r="O23" s="1"/>
      <c r="P23" s="1"/>
    </row>
    <row r="24">
      <c r="N24" s="1"/>
      <c r="O24" s="1"/>
      <c r="P24" s="1"/>
    </row>
    <row r="25">
      <c r="N25" s="1"/>
      <c r="O25" s="1"/>
      <c r="P25" s="1"/>
    </row>
    <row r="26">
      <c r="N26" s="1"/>
      <c r="O26" s="1"/>
      <c r="P26" s="1"/>
    </row>
    <row r="27">
      <c r="N27" s="1"/>
      <c r="O27" s="1"/>
      <c r="P27" s="1"/>
    </row>
    <row r="28">
      <c r="N28" s="1"/>
      <c r="O28" s="1"/>
      <c r="P28" s="1"/>
    </row>
    <row r="29">
      <c r="N29" s="1"/>
      <c r="O29" s="1"/>
      <c r="P29" s="1"/>
    </row>
    <row r="30">
      <c r="N30" s="1"/>
      <c r="O30" s="1"/>
      <c r="P30" s="1"/>
    </row>
    <row r="31">
      <c r="N31" s="1"/>
      <c r="O31" s="1"/>
      <c r="P31" s="1"/>
    </row>
    <row r="32">
      <c r="N32" s="1"/>
      <c r="O32" s="1"/>
      <c r="P32" s="1"/>
    </row>
    <row r="33">
      <c r="N33" s="1"/>
      <c r="O33" s="1"/>
      <c r="P33" s="1"/>
    </row>
    <row r="34">
      <c r="N34" s="1"/>
      <c r="O34" s="1"/>
      <c r="P34" s="1"/>
    </row>
  </sheetData>
  <drawing r:id="rId1"/>
</worksheet>
</file>