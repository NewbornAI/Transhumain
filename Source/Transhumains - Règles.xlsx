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" sheetId="1" r:id="rId4"/>
    <sheet state="visible" name="Création" sheetId="2" r:id="rId5"/>
    <sheet state="visible" name="Historiques" sheetId="3" r:id="rId6"/>
    <sheet state="visible" name="Skillchecks" sheetId="4" r:id="rId7"/>
    <sheet state="visible" name="Crise" sheetId="5" r:id="rId8"/>
    <sheet state="visible" name="Crafting" sheetId="6" r:id="rId9"/>
    <sheet state="visible" name="Electronique" sheetId="7" r:id="rId10"/>
    <sheet state="visible" name="Economie" sheetId="8" r:id="rId11"/>
    <sheet state="visible" name="Nations" sheetId="9" r:id="rId12"/>
    <sheet state="visible" name="Chronologie" sheetId="10" r:id="rId13"/>
    <sheet state="visible" name="Aerospatiale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7">
      <text>
        <t xml:space="preserve">Autres xp (à remplir)
expertises, passion</t>
      </text>
    </comment>
    <comment authorId="0" ref="O159">
      <text>
        <t xml:space="preserve">somme des possessions</t>
      </text>
    </comment>
    <comment authorId="0" ref="O46">
      <text>
        <t xml:space="preserve">xp de compétence</t>
      </text>
    </comment>
    <comment authorId="0" ref="O12">
      <text>
        <t xml:space="preserve">credits</t>
      </text>
    </comment>
    <comment authorId="0" ref="O11">
      <text>
        <t xml:space="preserve">XP</t>
      </text>
    </comment>
    <comment authorId="0" ref="O10">
      <text>
        <t xml:space="preserve">Age si Veteran</t>
      </text>
    </comment>
    <comment authorId="0" ref="O106">
      <text>
        <t xml:space="preserve">somme des mods</t>
      </text>
    </comment>
    <comment authorId="0" ref="O9">
      <text>
        <t xml:space="preserve">Age si Adulte</t>
      </text>
    </comment>
    <comment authorId="0" ref="O8">
      <text>
        <t xml:space="preserve">Age si étudiant</t>
      </text>
    </comment>
  </commentList>
</comments>
</file>

<file path=xl/sharedStrings.xml><?xml version="1.0" encoding="utf-8"?>
<sst xmlns="http://schemas.openxmlformats.org/spreadsheetml/2006/main" count="929" uniqueCount="835">
  <si>
    <t>Exemples d'historique et de bonus</t>
  </si>
  <si>
    <t>Première séance</t>
  </si>
  <si>
    <t>Caractéristique</t>
  </si>
  <si>
    <t>Profil civil</t>
  </si>
  <si>
    <t>N'importe quand durant la séance, peut dépenser de l'xp à volonté et acheter n'importe quoi au supermarché (bombardé de pubs)</t>
  </si>
  <si>
    <t>A la fin de la séance, compter l'xp et calculer l'âge nécessaire</t>
  </si>
  <si>
    <t>Historique custom : 1 bonus principal, 1 secondaire et 1 mineur</t>
  </si>
  <si>
    <t>Attributions</t>
  </si>
  <si>
    <t>Tranche</t>
  </si>
  <si>
    <t>Compétence</t>
  </si>
  <si>
    <t>Age propre</t>
  </si>
  <si>
    <t>J'encourage à inventer</t>
  </si>
  <si>
    <t>Exemples d'utilisation</t>
  </si>
  <si>
    <t>XP</t>
  </si>
  <si>
    <t xml:space="preserve">Le même bonus n'est pas cumulable </t>
  </si>
  <si>
    <t>Corps</t>
  </si>
  <si>
    <t>Crédits</t>
  </si>
  <si>
    <t>Principal</t>
  </si>
  <si>
    <t>Historiques</t>
  </si>
  <si>
    <t>Efficace</t>
  </si>
  <si>
    <t>Progression</t>
  </si>
  <si>
    <t>+1D dans tous les jets d'une carac</t>
  </si>
  <si>
    <t>Obsolescence</t>
  </si>
  <si>
    <t>Tous les 10 à 30 ans, un nouveau modèle écrase la compétition</t>
  </si>
  <si>
    <t>Force, endurance, vitesse, 7 sens</t>
  </si>
  <si>
    <t>Age</t>
  </si>
  <si>
    <t>Adolescent</t>
  </si>
  <si>
    <t>10 ans</t>
  </si>
  <si>
    <t>Riche</t>
  </si>
  <si>
    <t>Revenu passif (1 cred/mois ou an) et +10% sur le chiffre d'affaire de la corp</t>
  </si>
  <si>
    <t>Description</t>
  </si>
  <si>
    <t>Noms</t>
  </si>
  <si>
    <t>Bonus</t>
  </si>
  <si>
    <t>Optimisé</t>
  </si>
  <si>
    <t>+1D / -1D situationels</t>
  </si>
  <si>
    <t>Aerospatiale</t>
  </si>
  <si>
    <t>x1</t>
  </si>
  <si>
    <t>Ethnie</t>
  </si>
  <si>
    <t>2 xp / an</t>
  </si>
  <si>
    <t>Posthumain</t>
  </si>
  <si>
    <t>Pilotage, 0g, marine, réparation</t>
  </si>
  <si>
    <t>1 xp / scène</t>
  </si>
  <si>
    <t>Humain 2.0</t>
  </si>
  <si>
    <t>Blueprints communiqués aux hubs à vitesse lumière</t>
  </si>
  <si>
    <t>+1D (au choix), immun vieillesse / maladie / toxines</t>
  </si>
  <si>
    <t>Esprit</t>
  </si>
  <si>
    <t>Digital</t>
  </si>
  <si>
    <t>Etudiant</t>
  </si>
  <si>
    <t>Transfert et sauvegarde de conscience</t>
  </si>
  <si>
    <t>20 ans</t>
  </si>
  <si>
    <t>Perception, volonté, créativité</t>
  </si>
  <si>
    <t>Cyborg</t>
  </si>
  <si>
    <t>Biologie</t>
  </si>
  <si>
    <t>Ghost in the Shell</t>
  </si>
  <si>
    <t>1 xp / an</t>
  </si>
  <si>
    <t>+1D (au choix)</t>
  </si>
  <si>
    <t>3 xp / séance</t>
  </si>
  <si>
    <t>Exotique</t>
  </si>
  <si>
    <t>Peut nécessiter de construire une infrastructure spécifique</t>
  </si>
  <si>
    <t xml:space="preserve">Capacité unique </t>
  </si>
  <si>
    <t>Médecine, génétique, xenobiologie</t>
  </si>
  <si>
    <t>Adulte</t>
  </si>
  <si>
    <t>Spacer</t>
  </si>
  <si>
    <t>50 ans</t>
  </si>
  <si>
    <t>Processeur</t>
  </si>
  <si>
    <t>Humain de l'espace</t>
  </si>
  <si>
    <t>x2</t>
  </si>
  <si>
    <t>Nationalité</t>
  </si>
  <si>
    <t>Calcul, mémoire, analyse</t>
  </si>
  <si>
    <t>1 xp / 2 ans</t>
  </si>
  <si>
    <t>+1D en 0g, -1D à 0.5g+, biocombinaison</t>
  </si>
  <si>
    <t>2 xp / séance</t>
  </si>
  <si>
    <t>Communication</t>
  </si>
  <si>
    <t>Spécialisé</t>
  </si>
  <si>
    <t>Etat civil</t>
  </si>
  <si>
    <t>Skillsofts mis à jour avec délai</t>
  </si>
  <si>
    <t>Persuasion, psychologie, négociation</t>
  </si>
  <si>
    <t>1 compétence &gt; relance</t>
  </si>
  <si>
    <t>Vétéran</t>
  </si>
  <si>
    <t>Empathie</t>
  </si>
  <si>
    <t>Fantome</t>
  </si>
  <si>
    <t>100 ans</t>
  </si>
  <si>
    <t>Charisme, leadership, élocution</t>
  </si>
  <si>
    <t>Humain digitalisé</t>
  </si>
  <si>
    <t>x3</t>
  </si>
  <si>
    <t>Economie</t>
  </si>
  <si>
    <t>Corporations, bourse, commerce</t>
  </si>
  <si>
    <t>1 xp / 5 ans</t>
  </si>
  <si>
    <t>1 xp / séance</t>
  </si>
  <si>
    <t>Artificiel</t>
  </si>
  <si>
    <t>Electronique</t>
  </si>
  <si>
    <t>Conscience artificielle</t>
  </si>
  <si>
    <t>Systèmes annexes importent depuis leur hub</t>
  </si>
  <si>
    <t>RV, hacking, cybercombat</t>
  </si>
  <si>
    <t>Secondaire</t>
  </si>
  <si>
    <t>Skillcheck</t>
  </si>
  <si>
    <t>Veille</t>
  </si>
  <si>
    <t>Noté carac/comp</t>
  </si>
  <si>
    <t>Ingénierie</t>
  </si>
  <si>
    <t>Industrie lourde, énergie, mécanique</t>
  </si>
  <si>
    <t>1 compétence &gt; n'est pas affectée par l'obsolescence</t>
  </si>
  <si>
    <t xml:space="preserve">Jeter autant de dés que la caractéristique </t>
  </si>
  <si>
    <t>Alien</t>
  </si>
  <si>
    <t>Culture</t>
  </si>
  <si>
    <t>Naissance</t>
  </si>
  <si>
    <t>Animal sentient (uplift, ...)</t>
  </si>
  <si>
    <t>Arts, coutumes, histoire, politique</t>
  </si>
  <si>
    <t>Variable</t>
  </si>
  <si>
    <t>Matériel</t>
  </si>
  <si>
    <t>Historique, accélération et expertise peuvent donner des dés supplémentaires</t>
  </si>
  <si>
    <t>Militaire</t>
  </si>
  <si>
    <t>1 compétence ou tech &gt; réduit les couts d'achat et de crafting de 1 crédit</t>
  </si>
  <si>
    <t>Combat, stratégie, commandement</t>
  </si>
  <si>
    <t>Taille</t>
  </si>
  <si>
    <t>Vénusien</t>
  </si>
  <si>
    <t>Outil approprié, environnement peuvent donner +/- dés</t>
  </si>
  <si>
    <t>Humain bioformé</t>
  </si>
  <si>
    <t>Poids</t>
  </si>
  <si>
    <t>Sciences</t>
  </si>
  <si>
    <t>Biocombinaison + ailes + ballon, sommeil éveillé</t>
  </si>
  <si>
    <t>Connaissances théoriques, recherche</t>
  </si>
  <si>
    <t>Sagesse</t>
  </si>
  <si>
    <t>Chaque dé inférieur ou égal à la compétence ajoute un succès</t>
  </si>
  <si>
    <t>+1 en Esprit ou Empathie</t>
  </si>
  <si>
    <t>Sécurité</t>
  </si>
  <si>
    <t>Discrétion, hacking, perception</t>
  </si>
  <si>
    <t>Metier</t>
  </si>
  <si>
    <t>Diplomate</t>
  </si>
  <si>
    <t>Expert en relations humaines</t>
  </si>
  <si>
    <t>Un résultat de 1 remporte 1 succès supplémentaire</t>
  </si>
  <si>
    <t>Relance (Communication), Empathie +1, Contacts</t>
  </si>
  <si>
    <t>Mineur</t>
  </si>
  <si>
    <t>Permis et diplomes</t>
  </si>
  <si>
    <t>Premiers soins (action, medkit, 1 charge) : stabilise et réduit le niveau de douleur (1 niveau / succès)</t>
  </si>
  <si>
    <t>Mercenaire</t>
  </si>
  <si>
    <t>Aide</t>
  </si>
  <si>
    <t>Quand le diplomate échoue</t>
  </si>
  <si>
    <t>Skillcheck approprié d'un autre compétence, s'ajoute aux succès d'un autre jet</t>
  </si>
  <si>
    <t>Relance + Expert (Militaire), Permis militaire</t>
  </si>
  <si>
    <t>Soins d'urgence (1 minute avec un medkit, 1 charge) : soigne une localisation endommagée (1 blessure / succès)</t>
  </si>
  <si>
    <t>Contacts</t>
  </si>
  <si>
    <t>Maximum d'aide = niveau de la compétence</t>
  </si>
  <si>
    <t>Netrunner</t>
  </si>
  <si>
    <t>Opération (1 heure en cuve, 1 biogel) : reconstruit une localisation détruite (requiert Corps succès)</t>
  </si>
  <si>
    <t>Expert en cyber-sécurité</t>
  </si>
  <si>
    <t>Relance + Expert (Electronique)</t>
  </si>
  <si>
    <t>Doit partager un réseau pour synchronisation</t>
  </si>
  <si>
    <t>Réputation</t>
  </si>
  <si>
    <t>Médecin</t>
  </si>
  <si>
    <t>Passion</t>
  </si>
  <si>
    <t>Quand le mercenaire échoue</t>
  </si>
  <si>
    <t>Peut invoquer une passion pour relancer un ou plusieurs dés (recharge en vacances)</t>
  </si>
  <si>
    <t>Relance + Matériel (Biologie)</t>
  </si>
  <si>
    <t>Capacité équivalente à un implant</t>
  </si>
  <si>
    <t>On ne peut jamais relancer le même dé plus d'une fois</t>
  </si>
  <si>
    <t>Ingénieur</t>
  </si>
  <si>
    <t>Expert en drones et engins</t>
  </si>
  <si>
    <t>Succès</t>
  </si>
  <si>
    <t>Matériel (Ingénierie)</t>
  </si>
  <si>
    <t>Niveau</t>
  </si>
  <si>
    <t>Apparence hors norme</t>
  </si>
  <si>
    <t>Choisir une nation ou organisation</t>
  </si>
  <si>
    <t>Artiste</t>
  </si>
  <si>
    <t>stagiaire</t>
  </si>
  <si>
    <t>Expert (Culture)</t>
  </si>
  <si>
    <t>exemple</t>
  </si>
  <si>
    <t>Equipement de fonction</t>
  </si>
  <si>
    <t>Identité</t>
  </si>
  <si>
    <t>Heritier</t>
  </si>
  <si>
    <t>cadre</t>
  </si>
  <si>
    <t>Revenu passif (1/mois si actif, 1/an en voyage)</t>
  </si>
  <si>
    <t>medkit</t>
  </si>
  <si>
    <t>Célébrité</t>
  </si>
  <si>
    <t>Expert Nerd (Réputation)</t>
  </si>
  <si>
    <t>expert</t>
  </si>
  <si>
    <t>Recherché</t>
  </si>
  <si>
    <t>labo portable (sac à dos)</t>
  </si>
  <si>
    <t>20+</t>
  </si>
  <si>
    <t>VIP</t>
  </si>
  <si>
    <t>champion</t>
  </si>
  <si>
    <t xml:space="preserve">cuve </t>
  </si>
  <si>
    <t>clinique</t>
  </si>
  <si>
    <t>Répétable</t>
  </si>
  <si>
    <t>Certains skillchecks peuvent être retentés ultérieurement en cas d'échec</t>
  </si>
  <si>
    <t>Chaque nouvelle tentative augmente le DC de 1</t>
  </si>
  <si>
    <t>Signature</t>
  </si>
  <si>
    <t>Autopilote</t>
  </si>
  <si>
    <t>Réussites automatiques</t>
  </si>
  <si>
    <t>Réussites par dé</t>
  </si>
  <si>
    <t>0 - 1</t>
  </si>
  <si>
    <t>S'éloigner de Sol : vous êtes toujours à la pointe</t>
  </si>
  <si>
    <t>2 - 3</t>
  </si>
  <si>
    <t>Se rapprocher de Sol : les compétences &gt; 5 perdent 1 xp tous les 10 ans</t>
  </si>
  <si>
    <t>Historique</t>
  </si>
  <si>
    <t>4 - 6</t>
  </si>
  <si>
    <t>Un ou deux mots qui résument une facette du personnage (métier, espèce, ...)</t>
  </si>
  <si>
    <t>Corps et Processeur perdent un niveau tous les 10 ans</t>
  </si>
  <si>
    <t>+1D pour une caractéristique ou autre bonus (voir onglets)</t>
  </si>
  <si>
    <t>Plan</t>
  </si>
  <si>
    <t>Passions</t>
  </si>
  <si>
    <t>Faire un plan : jet d'Esprit ou d'Empathie. Par succès : 1 dé dans le bol. Décrire le plan au moins dans ses grandes lignes</t>
  </si>
  <si>
    <t>Cout : 1 xp</t>
  </si>
  <si>
    <t>Peut prendre et lancer 1 dé du bol pour aider une action qui suit le plan</t>
  </si>
  <si>
    <t>Un mot qui résume une activité favorite</t>
  </si>
  <si>
    <t>Peut prendre un dé pour avoir acheté ou préparé du matériel approprié (doit aussi dépenser les crédits et autres ressources)</t>
  </si>
  <si>
    <t>Permet de relancer un jet, rechargé par une journée de loisir</t>
  </si>
  <si>
    <t>Introduction</t>
  </si>
  <si>
    <t>Peut prendre un dé pour avoir cherché une information ou préparé une backdoor (doit aussi en avoir eu le temps et réussir les jets éventuels)</t>
  </si>
  <si>
    <t>Caractéristiques</t>
  </si>
  <si>
    <t>Simulation</t>
  </si>
  <si>
    <t>Capacités physiques</t>
  </si>
  <si>
    <t>Plot device pour revenir en arrière si les conséquences d'une action pouvaient être anticipées par le personnage</t>
  </si>
  <si>
    <t>Force, endurance, vitesse, agilité</t>
  </si>
  <si>
    <t>Doit avoir fait un plan, et en dépenser un dé</t>
  </si>
  <si>
    <t>Capacités du processeur mobile</t>
  </si>
  <si>
    <t xml:space="preserve">Peut nécessiter un jet </t>
  </si>
  <si>
    <t>Raisonnement, mémoire, interaction réseau</t>
  </si>
  <si>
    <t>"Mon skillsoft estime une probabilité de succès &lt; 1%"</t>
  </si>
  <si>
    <t>Capacité à s'imposer</t>
  </si>
  <si>
    <t>Volonté, créativité, perception</t>
  </si>
  <si>
    <t>Capacité à sympathiser</t>
  </si>
  <si>
    <t>Interaction sociale</t>
  </si>
  <si>
    <t>3 et 3 en Corps en Processeur, qui peuvent être augmentés ou remplacés au supermarché</t>
  </si>
  <si>
    <t>Répartir 6 entre Esprit et Empathie, qui ne progressent que par les historiques</t>
  </si>
  <si>
    <t>Compétences</t>
  </si>
  <si>
    <t xml:space="preserve">Coût (XP) </t>
  </si>
  <si>
    <t>Equivalent</t>
  </si>
  <si>
    <t>Fondamentaux</t>
  </si>
  <si>
    <t>Crash course</t>
  </si>
  <si>
    <t>Notions avancées</t>
  </si>
  <si>
    <t>Stage</t>
  </si>
  <si>
    <t>Diplome</t>
  </si>
  <si>
    <t>Permis</t>
  </si>
  <si>
    <t>Profession</t>
  </si>
  <si>
    <t>Chauffeur</t>
  </si>
  <si>
    <t>Compétition</t>
  </si>
  <si>
    <t>Pilote de course</t>
  </si>
  <si>
    <t>Maîtrise</t>
  </si>
  <si>
    <t>Champion</t>
  </si>
  <si>
    <t xml:space="preserve">1 xp = facteur d'âge x 1 crédit </t>
  </si>
  <si>
    <t>Supermarché</t>
  </si>
  <si>
    <t>Relance 1 jet</t>
  </si>
  <si>
    <t>Facteur d'âge n'affecte que les crédits disponibles à la création</t>
  </si>
  <si>
    <t>Passeport et visas</t>
  </si>
  <si>
    <t>Casier judiciaire</t>
  </si>
  <si>
    <t>En situation de crise, accélération des réflexes et de la pensée s'activent. Tout se passe très vite</t>
  </si>
  <si>
    <t>Round</t>
  </si>
  <si>
    <t>1 round = 1 seconde</t>
  </si>
  <si>
    <t>Esprit/Empathie</t>
  </si>
  <si>
    <t>Dépenser un dé de processeur pour faire un jet sous Esprit ou Empathie</t>
  </si>
  <si>
    <t>Profil professionel</t>
  </si>
  <si>
    <t>Chaque personnage prend deux pools de dés de quantités = Corps et Processeur</t>
  </si>
  <si>
    <t>eg perception, bluff, ...</t>
  </si>
  <si>
    <t>Ce pool représente la quantité d'effort à dépenser dans le round</t>
  </si>
  <si>
    <t>MJ pose le jeton d'initiative sur la table</t>
  </si>
  <si>
    <t>Environnement</t>
  </si>
  <si>
    <t>+/- dés (1 à 3)</t>
  </si>
  <si>
    <t>Initiative</t>
  </si>
  <si>
    <t>Joueurs peuvent prendre le jeton en main quand ils veulent agir</t>
  </si>
  <si>
    <t>Un joueur peut reposer le jeton mais pas le donner directement</t>
  </si>
  <si>
    <t>Encombré</t>
  </si>
  <si>
    <t>Mouvement / 2</t>
  </si>
  <si>
    <t>Si le jeton est sur la table, le MJ peut faire agir un PNJ</t>
  </si>
  <si>
    <t>Si le joueur en possession du jeton n'est pas prêt quand le MJ l'appelle, il doit le reposer</t>
  </si>
  <si>
    <t>Si défenseur est de taille &gt; dégâts réduits de la différence</t>
  </si>
  <si>
    <t>Pensée accélérée</t>
  </si>
  <si>
    <t>A tout moment, un joueur peut dépenser un dé de Processeur pour poser une question au MJ</t>
  </si>
  <si>
    <t>Observation, analyse ou simulation quasi instantanée</t>
  </si>
  <si>
    <t>Armes multiples</t>
  </si>
  <si>
    <t>1 seul skillcheck, attaque avec toutes les armes identiques</t>
  </si>
  <si>
    <t>Peut demander un jet associé</t>
  </si>
  <si>
    <t>jets de localisation séparés</t>
  </si>
  <si>
    <t>Surprise</t>
  </si>
  <si>
    <t>Pas de réaction sur la 1ere action</t>
  </si>
  <si>
    <t>Cibles multiples</t>
  </si>
  <si>
    <t>les succès utilisés pour viser ou ajouter des dégats ne s'appliquent qu'à une cible</t>
  </si>
  <si>
    <t>Action</t>
  </si>
  <si>
    <t>Création</t>
  </si>
  <si>
    <t>Le joueur qui a le jeton en sa possession devient le joueur actif, puis repose le jeton</t>
  </si>
  <si>
    <t>Blueprint + matériaux + temps, pas de jet</t>
  </si>
  <si>
    <t>Acceleration</t>
  </si>
  <si>
    <t>Déclaration</t>
  </si>
  <si>
    <t>credits</t>
  </si>
  <si>
    <t>Déclarer une action et ses cibles éventuelles (onglet actions pour exemples)</t>
  </si>
  <si>
    <t>Escouade</t>
  </si>
  <si>
    <t>Dépensent un dé chacun. Une action, les autres aident</t>
  </si>
  <si>
    <t>Masse</t>
  </si>
  <si>
    <t>Effort</t>
  </si>
  <si>
    <t>Dimensions</t>
  </si>
  <si>
    <t>Dépenser un ou plusieurs dés du pool associé (Corps ou Processeur)</t>
  </si>
  <si>
    <t>Blueprint</t>
  </si>
  <si>
    <t>Matériaux</t>
  </si>
  <si>
    <t xml:space="preserve">Corps &gt; action physique </t>
  </si>
  <si>
    <t>Skillsoft</t>
  </si>
  <si>
    <t>Temps</t>
  </si>
  <si>
    <t>Drone</t>
  </si>
  <si>
    <t>Imprimante</t>
  </si>
  <si>
    <t>Selon mode :</t>
  </si>
  <si>
    <t>Synthétiseur</t>
  </si>
  <si>
    <t>(xp)</t>
  </si>
  <si>
    <t>Processeur &gt; action mentale ou interaction réseau</t>
  </si>
  <si>
    <t>Autopilote &gt; personnage</t>
  </si>
  <si>
    <t>1 pg</t>
  </si>
  <si>
    <t>bactérie</t>
  </si>
  <si>
    <t>nanite</t>
  </si>
  <si>
    <t>Ajouter les dés bonus (Expertise, Accélération, Historique, Environnement)</t>
  </si>
  <si>
    <t>nm to µm</t>
  </si>
  <si>
    <t>Synchronisé &gt; escouade</t>
  </si>
  <si>
    <t>+3</t>
  </si>
  <si>
    <t>Lancer ce total de dés sous la compétence comme un skillcheck</t>
  </si>
  <si>
    <t>Interfacé &gt; remplace Corps</t>
  </si>
  <si>
    <t>1 / 1000</t>
  </si>
  <si>
    <t>heures</t>
  </si>
  <si>
    <t>Mouvement</t>
  </si>
  <si>
    <t>Nano</t>
  </si>
  <si>
    <t>L'acteur peut bouger avant l'action</t>
  </si>
  <si>
    <t>Medkit</t>
  </si>
  <si>
    <t>Si jet sur Corps, 1m par dé lancé</t>
  </si>
  <si>
    <t>1g</t>
  </si>
  <si>
    <t>fourmi</t>
  </si>
  <si>
    <t>balle</t>
  </si>
  <si>
    <t>mm</t>
  </si>
  <si>
    <t>Si action de course, +1m par succès</t>
  </si>
  <si>
    <t>+2</t>
  </si>
  <si>
    <t>1 / 100</t>
  </si>
  <si>
    <t>minutes</t>
  </si>
  <si>
    <t>Bricokit</t>
  </si>
  <si>
    <t>Quoi qu'il arrive, il peut aussi</t>
  </si>
  <si>
    <t>10 g</t>
  </si>
  <si>
    <t>changer sa posture (ex : se baisser)</t>
  </si>
  <si>
    <t>guêpe</t>
  </si>
  <si>
    <t>vis</t>
  </si>
  <si>
    <t>1 cm</t>
  </si>
  <si>
    <t>envoyer un message concis ou dire quelques mots</t>
  </si>
  <si>
    <t>+1</t>
  </si>
  <si>
    <t>1 / 10</t>
  </si>
  <si>
    <t>activer/désactiver un réseau ou appareil connecté</t>
  </si>
  <si>
    <t>dégainer ou rengainer 1 arme par membre</t>
  </si>
  <si>
    <t>1 kg</t>
  </si>
  <si>
    <t>Réactions</t>
  </si>
  <si>
    <t>souris</t>
  </si>
  <si>
    <t>visseuse</t>
  </si>
  <si>
    <t>Tous les autres personnages peuvent réagir s'ils en sont capable</t>
  </si>
  <si>
    <t>10 cm</t>
  </si>
  <si>
    <t>Déclarer la réaction et l'effort et lancer les dés (comme action)</t>
  </si>
  <si>
    <t>Portable</t>
  </si>
  <si>
    <t>aide : ajoute des succès à une action ou réaction</t>
  </si>
  <si>
    <t>10 kg</t>
  </si>
  <si>
    <t>synchronisation : effectue la même exacte action</t>
  </si>
  <si>
    <t>chien</t>
  </si>
  <si>
    <t>fusil</t>
  </si>
  <si>
    <t>50 cm</t>
  </si>
  <si>
    <t>opposition : réduit les succès d'une action</t>
  </si>
  <si>
    <t>Ménagère</t>
  </si>
  <si>
    <t>esquive : réduit toutes les actions mais que pour soi</t>
  </si>
  <si>
    <t>100 kg</t>
  </si>
  <si>
    <t>Si jet de Corps, peut bouger après résolution de l'action (1m par dé)</t>
  </si>
  <si>
    <t>humain</t>
  </si>
  <si>
    <t>androide</t>
  </si>
  <si>
    <t>Résolution</t>
  </si>
  <si>
    <t>1m</t>
  </si>
  <si>
    <t>Cumul des succès, résolu comme un skillcheck (max = Carac + comp)</t>
  </si>
  <si>
    <t>jours</t>
  </si>
  <si>
    <t>Fin de l'action</t>
  </si>
  <si>
    <t>Cuve</t>
  </si>
  <si>
    <t>Une fois l'action résolue, nouvelle action</t>
  </si>
  <si>
    <t>Fin du round</t>
  </si>
  <si>
    <t>1 t</t>
  </si>
  <si>
    <t>Le round se termine quand plus personne n'a de dés</t>
  </si>
  <si>
    <t>Girafe</t>
  </si>
  <si>
    <t>voiture</t>
  </si>
  <si>
    <t>3m</t>
  </si>
  <si>
    <t>Industrielle</t>
  </si>
  <si>
    <t>Labo</t>
  </si>
  <si>
    <t>10 t</t>
  </si>
  <si>
    <t>Elephant</t>
  </si>
  <si>
    <t>camion</t>
  </si>
  <si>
    <t>10m</t>
  </si>
  <si>
    <t>100 t</t>
  </si>
  <si>
    <t>Baleine</t>
  </si>
  <si>
    <t>frégate</t>
  </si>
  <si>
    <t>10 x 50m</t>
  </si>
  <si>
    <t>semaines</t>
  </si>
  <si>
    <t>Chantier</t>
  </si>
  <si>
    <t>Base</t>
  </si>
  <si>
    <t>1 kt</t>
  </si>
  <si>
    <t>croiseur</t>
  </si>
  <si>
    <t>25 x 100m</t>
  </si>
  <si>
    <t>+4</t>
  </si>
  <si>
    <t>1 k</t>
  </si>
  <si>
    <t>10 kt</t>
  </si>
  <si>
    <t>cargo</t>
  </si>
  <si>
    <t>50 x 200 m</t>
  </si>
  <si>
    <t>+5</t>
  </si>
  <si>
    <t>10 k</t>
  </si>
  <si>
    <t>100 kt</t>
  </si>
  <si>
    <t>battlecruiser</t>
  </si>
  <si>
    <t>100 x 400m</t>
  </si>
  <si>
    <t>+6</t>
  </si>
  <si>
    <t>Ping</t>
  </si>
  <si>
    <t>100 k</t>
  </si>
  <si>
    <t>années</t>
  </si>
  <si>
    <t>Un processeur doit pouvoir échanger avec à un noeud pour interagir avec. Par exemple :</t>
  </si>
  <si>
    <t>1 Mt</t>
  </si>
  <si>
    <t>sequoia</t>
  </si>
  <si>
    <t>battleship</t>
  </si>
  <si>
    <t>être connecté sur son réseau (visiter le site du magasin)</t>
  </si>
  <si>
    <t>200 x 800m</t>
  </si>
  <si>
    <t>Noeud</t>
  </si>
  <si>
    <t>+7</t>
  </si>
  <si>
    <t>Entité gérée par un processeur</t>
  </si>
  <si>
    <t>1 M</t>
  </si>
  <si>
    <t>partager un réseau (un autre client qui visite le site)</t>
  </si>
  <si>
    <t>Réseau</t>
  </si>
  <si>
    <t>Plusieurs noeuds connectés entre eux</t>
  </si>
  <si>
    <t>10 Mt</t>
  </si>
  <si>
    <t>supertanker</t>
  </si>
  <si>
    <t>avoir son consentement (il répond au téléphone)</t>
  </si>
  <si>
    <t>+8</t>
  </si>
  <si>
    <t>Hub</t>
  </si>
  <si>
    <t>10 M</t>
  </si>
  <si>
    <t>Noeud dédié à la coordination d'un réseau</t>
  </si>
  <si>
    <t>Etre branché physiquement (datajack)</t>
  </si>
  <si>
    <t>100 Mt</t>
  </si>
  <si>
    <t>Connexion</t>
  </si>
  <si>
    <t>spatioport</t>
  </si>
  <si>
    <t>1 x 4 km</t>
  </si>
  <si>
    <t>Le noeud accepte la connexion et vous donne un niveau d'accès (handshake). Exemple</t>
  </si>
  <si>
    <t>+9</t>
  </si>
  <si>
    <t>Acccès</t>
  </si>
  <si>
    <t>100 M</t>
  </si>
  <si>
    <t>Exemple d'action autorisée</t>
  </si>
  <si>
    <t>c'est un serveur publique (accès user)</t>
  </si>
  <si>
    <t>1 Gt</t>
  </si>
  <si>
    <t>User</t>
  </si>
  <si>
    <t>Portes, services</t>
  </si>
  <si>
    <t>hub</t>
  </si>
  <si>
    <t>je viens pour maintenance (accès sécurité temporaire)</t>
  </si>
  <si>
    <t>Securité</t>
  </si>
  <si>
    <t>3 x 10 km</t>
  </si>
  <si>
    <t>Caméras, drones, alarmes, salle des serveurs</t>
  </si>
  <si>
    <t>+10</t>
  </si>
  <si>
    <t>1 G</t>
  </si>
  <si>
    <t>c'est mon appartement (accès admin)</t>
  </si>
  <si>
    <t>Admin</t>
  </si>
  <si>
    <t>Données sensibles, shutdown, gestion de comptes</t>
  </si>
  <si>
    <t>Invention</t>
  </si>
  <si>
    <t>Si le noeud ne vous reconnait pas comme utilisateur valide, il n'accepte pas l'échange. Dans ce cas 2 options</t>
  </si>
  <si>
    <t>A la volée :</t>
  </si>
  <si>
    <t>hacking &gt; discret mais lent (1 minute+)</t>
  </si>
  <si>
    <t>Difficulté = valeur x 4, durée 8h, coute 1 crédit (en matériaux). Si succès, crée blueprint. Chaque succès excédentaire divise le temps par 2</t>
  </si>
  <si>
    <t>Exemples</t>
  </si>
  <si>
    <t>Long terme :</t>
  </si>
  <si>
    <t>cybercombat &gt; alarme mais rapide (quelques secondes)</t>
  </si>
  <si>
    <t>1 jet avec +1D / an (min 1 mois), coute 1 crédit / an. Crée blueprint de valeur = succès / 2 (inf).</t>
  </si>
  <si>
    <t>Complexité</t>
  </si>
  <si>
    <t>Raccourci</t>
  </si>
  <si>
    <t>Atelier</t>
  </si>
  <si>
    <t>taille</t>
  </si>
  <si>
    <t>Porte, switch</t>
  </si>
  <si>
    <t>bonus</t>
  </si>
  <si>
    <t>autopilote</t>
  </si>
  <si>
    <t>1 seconde</t>
  </si>
  <si>
    <t>Hacking</t>
  </si>
  <si>
    <t>Mobile, Véhicule</t>
  </si>
  <si>
    <t>Exemple</t>
  </si>
  <si>
    <t>1 minute</t>
  </si>
  <si>
    <t>Magasin, Appartement</t>
  </si>
  <si>
    <t>-</t>
  </si>
  <si>
    <t>1 heure</t>
  </si>
  <si>
    <t>1 jet de durée variable suivant complexité du système (Processeur / Electronique ou Sécurité)</t>
  </si>
  <si>
    <t>1D</t>
  </si>
  <si>
    <t>Usine, Hangar</t>
  </si>
  <si>
    <t>Atelier portable</t>
  </si>
  <si>
    <t>1 jour</t>
  </si>
  <si>
    <t>Voler une carte</t>
  </si>
  <si>
    <t>2D</t>
  </si>
  <si>
    <t>Test opposé hacker - noeud</t>
  </si>
  <si>
    <t>Station, Smartgrid</t>
  </si>
  <si>
    <t>1 semaine</t>
  </si>
  <si>
    <t>Planter un ver</t>
  </si>
  <si>
    <t>Imprimante industrielle</t>
  </si>
  <si>
    <t>0 succès</t>
  </si>
  <si>
    <t>Alarme</t>
  </si>
  <si>
    <t>Arcologie</t>
  </si>
  <si>
    <t>3D</t>
  </si>
  <si>
    <t>1 mois</t>
  </si>
  <si>
    <t>Kidnapper un VIP</t>
  </si>
  <si>
    <t>Chantier orbital</t>
  </si>
  <si>
    <t>3 succès</t>
  </si>
  <si>
    <t>Accès user</t>
  </si>
  <si>
    <t>Synthèse</t>
  </si>
  <si>
    <t>6 succès</t>
  </si>
  <si>
    <t>Accès sécurité</t>
  </si>
  <si>
    <t xml:space="preserve">Synthétise 10 doses de drogue pour 1 capsule de biogel (1 minute avec medkit ou équivalent) </t>
  </si>
  <si>
    <t>Etat du Processeur</t>
  </si>
  <si>
    <t>9 succès</t>
  </si>
  <si>
    <t>Accès admin</t>
  </si>
  <si>
    <t>Réparer (1h) 1 pt de processeur / succès</t>
  </si>
  <si>
    <t xml:space="preserve">
- Crafting : difficulté = valeur x 2 (au lieu de x 1). Longue durée = temps x 2 pour difficulté -1 (cumulatif), 1 crédit / mois </t>
  </si>
  <si>
    <t>Peut aussi proposer une action à entreprendre (ex : voler une carte d'accès) pour raccourcir la durée</t>
  </si>
  <si>
    <t>Si offline &gt; pas d'aide, certains equipements ne fonctionnent plus</t>
  </si>
  <si>
    <t>Améliorer : donner une valeur cible, 1 jet de durée = (cible - actuel + 1d6) / 2 années</t>
  </si>
  <si>
    <t>Une fois obtenu, l'accès peut être utilisé jusqu'à ce qu'il soit supprimé (alarme ou audit)</t>
  </si>
  <si>
    <t>Coder</t>
  </si>
  <si>
    <t>Si jet &lt; cible, temps perdu</t>
  </si>
  <si>
    <t>Si jet &gt;= cible, crée blueprint de valeur cible, -1 an par excédent</t>
  </si>
  <si>
    <t>comme règles d'invention, mais durée = heure (volée)  / mois (améliorer)</t>
  </si>
  <si>
    <t>Une fois connecté à un noeud</t>
  </si>
  <si>
    <t>Atelier = environnement de dev</t>
  </si>
  <si>
    <t>Toute action non autorisée demande un jet opposé (Processeur / Electronique ou Sécurité)</t>
  </si>
  <si>
    <t>Processeur / Electronique ou Processeur / Sécurité contre Processeur / Sécurité du noeud</t>
  </si>
  <si>
    <t>Si le système l'emporte il est déclenche l'alarme et empêche l'action</t>
  </si>
  <si>
    <t>Si le hacker l'emporte il effectue l'action mais rend le noeud suspicieux (+1D cumulable)</t>
  </si>
  <si>
    <t>Si le hacker l'emporte de +3 il effectue l'action sans se faire repérer</t>
  </si>
  <si>
    <t xml:space="preserve">Un intrus qui déclenche une alarme est automatiquement repéré </t>
  </si>
  <si>
    <t>Son accès est immédiatement supprimmé</t>
  </si>
  <si>
    <t>Le noeud l'engage en cybercombat pour essayer de le déconnecter</t>
  </si>
  <si>
    <t>Biomoniteur</t>
  </si>
  <si>
    <t>Cybercombat</t>
  </si>
  <si>
    <t>Le cybercombat est résolu en mode crise</t>
  </si>
  <si>
    <t>Jets opposés sous Processeur/ Electronique</t>
  </si>
  <si>
    <t>Armure</t>
  </si>
  <si>
    <t>Les dégâts réduisent le Processeur</t>
  </si>
  <si>
    <t>Pas de douleur, pas de mouvement</t>
  </si>
  <si>
    <t>Si le processeur est réduit à 0, il crash et refuse de reboot</t>
  </si>
  <si>
    <t>Blessures</t>
  </si>
  <si>
    <t>ne peut plus recevoir d'aide ou communiquer pendant une crise</t>
  </si>
  <si>
    <t>Localisation</t>
  </si>
  <si>
    <t>certains équipements cessent de fonctionner (offline)</t>
  </si>
  <si>
    <t>pendant overclock, les dégâts excédents</t>
  </si>
  <si>
    <t>infligent autant de blessures physiques (localisation du cerveau)</t>
  </si>
  <si>
    <t>Bouclier</t>
  </si>
  <si>
    <t>peuvent engendrer un trauma (suivi psychologique recommandé)</t>
  </si>
  <si>
    <t>Externe</t>
  </si>
  <si>
    <t>Dermale</t>
  </si>
  <si>
    <t>doit être réparé depuis le BIOS (1h / jet, soigne 1 blessure / succès)</t>
  </si>
  <si>
    <t>Interne</t>
  </si>
  <si>
    <t>-1 en Corps / dégât</t>
  </si>
  <si>
    <t>Gel</t>
  </si>
  <si>
    <t>Tête</t>
  </si>
  <si>
    <t>Alpha</t>
  </si>
  <si>
    <t>Tout ce qui sort de leurs usines est gratuit pour les citoyens Alpha (jusqu'à 2-5 crédits suivant système).</t>
  </si>
  <si>
    <t>Poitrine</t>
  </si>
  <si>
    <t>Permis difficiles à obtenir (entretien etc). Subventions possibles</t>
  </si>
  <si>
    <t>Ares</t>
  </si>
  <si>
    <t>Economie standard, peut diverger localement</t>
  </si>
  <si>
    <t>Permis demande juste signature</t>
  </si>
  <si>
    <t>Union</t>
  </si>
  <si>
    <t>Pas de monnaie en interne, équipement fourni selon besoin et réputation</t>
  </si>
  <si>
    <t>Fourni automatiquement</t>
  </si>
  <si>
    <t>Bras droit</t>
  </si>
  <si>
    <t>Xenos</t>
  </si>
  <si>
    <t>Tout est payant, prix 0 = microtransaction. Revenu universel (1 crédit par mois)</t>
  </si>
  <si>
    <t>Permis achetable ou lié à contrat</t>
  </si>
  <si>
    <t>1 crédit = 1 mois de salaire</t>
  </si>
  <si>
    <t>Monnaie et couts standardisés entre les systèmes et corpos</t>
  </si>
  <si>
    <t>Banque locales s'arrangent avec banque centrale (distribuée)</t>
  </si>
  <si>
    <t>Disponibilité</t>
  </si>
  <si>
    <t>Bras gauche</t>
  </si>
  <si>
    <t>Par défaut, dispo = coût</t>
  </si>
  <si>
    <t>Si dispo du système &lt; dispo de l'objet, doit faire un skillcheck (DC Dispo) pour trouver</t>
  </si>
  <si>
    <t>coût muliplié par la rareté</t>
  </si>
  <si>
    <t>Placements</t>
  </si>
  <si>
    <t xml:space="preserve">Annoncer une cible </t>
  </si>
  <si>
    <t xml:space="preserve">Jet d'économie, si atteint la cible gagne : placement x cible x 5% </t>
  </si>
  <si>
    <t xml:space="preserve">Si la cible n'est pas atteinte, perd placement x cible x 5% </t>
  </si>
  <si>
    <t>Abdomen</t>
  </si>
  <si>
    <t xml:space="preserve"> </t>
  </si>
  <si>
    <t>Jambes</t>
  </si>
  <si>
    <t xml:space="preserve">Douleur </t>
  </si>
  <si>
    <t>-1D / point</t>
  </si>
  <si>
    <t>Etat processeur</t>
  </si>
  <si>
    <t>Energie</t>
  </si>
  <si>
    <t>Max :</t>
  </si>
  <si>
    <t>Actuel :</t>
  </si>
  <si>
    <t>Compte en banque</t>
  </si>
  <si>
    <t>Dossier médical</t>
  </si>
  <si>
    <t>Nations</t>
  </si>
  <si>
    <t>Corporations / Factions notables</t>
  </si>
  <si>
    <t>Prix</t>
  </si>
  <si>
    <t>Autres organisations</t>
  </si>
  <si>
    <t>Démocratie transhumaniste</t>
  </si>
  <si>
    <t>Youtube</t>
  </si>
  <si>
    <t>Arts, culture, divertissement</t>
  </si>
  <si>
    <t>ONU</t>
  </si>
  <si>
    <t>Règle les disputes internationales</t>
  </si>
  <si>
    <t>Origines culturelles : Europe, Japon, Afrique</t>
  </si>
  <si>
    <t>Neumann</t>
  </si>
  <si>
    <t>Mods, élévation spirituelle</t>
  </si>
  <si>
    <t>Spécialités : augmentations, processeurs, médias</t>
  </si>
  <si>
    <t>Harvard</t>
  </si>
  <si>
    <t>Education</t>
  </si>
  <si>
    <t>Bouddhisme</t>
  </si>
  <si>
    <t>Regroupement de religions basées sur la réincarnation</t>
  </si>
  <si>
    <t>Démocratie directe et inclusive, élite d'influenceurs</t>
  </si>
  <si>
    <t>Sony</t>
  </si>
  <si>
    <t>Autels à une multitude de figures mythiques (Shiva, Odin, Musashi, Superman, ...)</t>
  </si>
  <si>
    <t>Culture de respect, promeut les arts et l'expression</t>
  </si>
  <si>
    <t>Hazat</t>
  </si>
  <si>
    <t>Flotte de l'ONU. Nobles assermentés</t>
  </si>
  <si>
    <t>Pros :</t>
  </si>
  <si>
    <t>tout est gratuit</t>
  </si>
  <si>
    <t>Bacta</t>
  </si>
  <si>
    <t>Médecine</t>
  </si>
  <si>
    <t>Suivants de Dieu</t>
  </si>
  <si>
    <t>Regroupement de religions basées sur l'ancien et le nouveau testaments</t>
  </si>
  <si>
    <t>Cons :</t>
  </si>
  <si>
    <t>la bureaucratie</t>
  </si>
  <si>
    <t>Empire multiculturel</t>
  </si>
  <si>
    <t>Legion</t>
  </si>
  <si>
    <t>Police internationale</t>
  </si>
  <si>
    <t>Mechanicus</t>
  </si>
  <si>
    <t>Religion basée sur la technologie et le transhumanisme</t>
  </si>
  <si>
    <t>Origines culturelles : Etats-unis, Inde, Mars</t>
  </si>
  <si>
    <t>Templiers</t>
  </si>
  <si>
    <t>Service de sécurité privée réputé pour son intégrité</t>
  </si>
  <si>
    <t>Spécialités : industrie lourde, militaire</t>
  </si>
  <si>
    <t>Macrotech</t>
  </si>
  <si>
    <t>Industrie lourde</t>
  </si>
  <si>
    <t>Shamanisme</t>
  </si>
  <si>
    <t>Courant spirituel basé sur l'écologie et le rapprochement à la nature</t>
  </si>
  <si>
    <t>Gouvernement local sans supervisation</t>
  </si>
  <si>
    <t>Reliance</t>
  </si>
  <si>
    <t>Energie et telecoms</t>
  </si>
  <si>
    <t>Ouvert à tous, standards minimum</t>
  </si>
  <si>
    <t>Skavs</t>
  </si>
  <si>
    <t>Recycleurs, réparateurs et pillards</t>
  </si>
  <si>
    <t>Amish</t>
  </si>
  <si>
    <t>Communauté qui prône le minimum technologique de substistance</t>
  </si>
  <si>
    <t>Ares et Athena observent de loin</t>
  </si>
  <si>
    <t>Voodoos</t>
  </si>
  <si>
    <t>Exorcistes et jeteurs de sorts. Aiment pas les étrangers</t>
  </si>
  <si>
    <t>liberté d'agir</t>
  </si>
  <si>
    <t>aucune sécurité sociale</t>
  </si>
  <si>
    <t>Utopia</t>
  </si>
  <si>
    <t>Siècle</t>
  </si>
  <si>
    <t>Organisation terroriste anti-corporations</t>
  </si>
  <si>
    <t>Evenements notables</t>
  </si>
  <si>
    <t>Technologies</t>
  </si>
  <si>
    <t>Dictature socialiste</t>
  </si>
  <si>
    <t>Feel</t>
  </si>
  <si>
    <t>Population</t>
  </si>
  <si>
    <t>Tencent</t>
  </si>
  <si>
    <t>Divertissement</t>
  </si>
  <si>
    <t>Colonisation du système solaire</t>
  </si>
  <si>
    <t>Origines culturelles : Chine, Russie, Corée</t>
  </si>
  <si>
    <t>Fusion, laser, automation, génétique, aerospatiale, IA</t>
  </si>
  <si>
    <t>Thermos</t>
  </si>
  <si>
    <t>Cyberpunk</t>
  </si>
  <si>
    <t>Heat management</t>
  </si>
  <si>
    <t>10 billions</t>
  </si>
  <si>
    <t>Gaia</t>
  </si>
  <si>
    <t>Anarchie utopique basée sur l'empathie et l'élévation spirituelle</t>
  </si>
  <si>
    <t>Guerres martiennes, colonisation d'Alpha Centauri</t>
  </si>
  <si>
    <t>Spécialités : sécurité, senseurs, immobilier</t>
  </si>
  <si>
    <t>Interface neurale, carbon nanomaterials, fusion drive</t>
  </si>
  <si>
    <t>NetWatch</t>
  </si>
  <si>
    <t>The Expanse</t>
  </si>
  <si>
    <t>Cyber-sécurité</t>
  </si>
  <si>
    <t>Super-IA sous constitution gère tout</t>
  </si>
  <si>
    <t>State Grid Corp</t>
  </si>
  <si>
    <t>Colonisation de 50 années lumières autour de Sol</t>
  </si>
  <si>
    <t>Autoroute interstellaire, Dyson swarm</t>
  </si>
  <si>
    <t>Assure sécurité et comfort aux prix de la vie privée</t>
  </si>
  <si>
    <t>Firefly</t>
  </si>
  <si>
    <t>Roscosmos</t>
  </si>
  <si>
    <t>30 billions</t>
  </si>
  <si>
    <t>x</t>
  </si>
  <si>
    <t>Un bon score social ouvre toutes les portes</t>
  </si>
  <si>
    <t>Guerres d'indépendance</t>
  </si>
  <si>
    <t>Hydrogene metallique, Antimatière, Kugelblitz</t>
  </si>
  <si>
    <t>accès au réseau de l'Union (information, matériel, santé...)</t>
  </si>
  <si>
    <t>Cowboy Bebop</t>
  </si>
  <si>
    <t>40 billions</t>
  </si>
  <si>
    <t>surveillé par l'Union</t>
  </si>
  <si>
    <t>?</t>
  </si>
  <si>
    <t xml:space="preserve">Quantum communication ? Warp drive ? </t>
  </si>
  <si>
    <t>Star Trek</t>
  </si>
  <si>
    <t>Méritocratie scientifique</t>
  </si>
  <si>
    <t>Guilde</t>
  </si>
  <si>
    <t>Syndicat des transporteurs, résidents en 0g et moines itinérants</t>
  </si>
  <si>
    <t>Origines culturelle : Venus, Ceres, Mexique</t>
  </si>
  <si>
    <t>Lego</t>
  </si>
  <si>
    <t>Vaisseaux et batiments modulaires</t>
  </si>
  <si>
    <t>Spécialités : biologie, exploration, transport</t>
  </si>
  <si>
    <t>SETI</t>
  </si>
  <si>
    <t>Xenobiologie</t>
  </si>
  <si>
    <t>Multitude de corporations en compétition</t>
  </si>
  <si>
    <t>MaxTac</t>
  </si>
  <si>
    <t>Forces spéciales</t>
  </si>
  <si>
    <t>Capitalisme à l'extrème, revenu universel</t>
  </si>
  <si>
    <t>Cowboy</t>
  </si>
  <si>
    <t>Primes et CDDs</t>
  </si>
  <si>
    <t>Gouvernement = actionnaires</t>
  </si>
  <si>
    <t>Excel</t>
  </si>
  <si>
    <t>Sécurité privée + primes officielles</t>
  </si>
  <si>
    <t>1 crédit par mois d'activité / année en hibernation</t>
  </si>
  <si>
    <t>constamment bombardé de pubs</t>
  </si>
  <si>
    <t>Impacts et avaries</t>
  </si>
  <si>
    <t>Transhumains - Astronav</t>
  </si>
  <si>
    <t>localisation = 1d6 pour déterminer le système, puis 1d6 si avarie</t>
  </si>
  <si>
    <t>Chaque système a un nombre de pv tampon égal à Taille + Armure</t>
  </si>
  <si>
    <t>Combat spatial : rare, lent et mortel. Orbites, phases d'approche et jours d'attente plutot que dogfight</t>
  </si>
  <si>
    <t>Excédent = avarie, réduit valeur systeme (equivalent carac)</t>
  </si>
  <si>
    <t>Jamais complètement invisible, mais peut fausser l'information</t>
  </si>
  <si>
    <t>Si carac à 0, dégats deviennent critique</t>
  </si>
  <si>
    <t>Possessions</t>
  </si>
  <si>
    <t>Systemes civilisés ont des réseaux de senseurs dans tout le système</t>
  </si>
  <si>
    <t>Peut viser une loc précise (les 2 dés), critique si atteint</t>
  </si>
  <si>
    <t>Officier</t>
  </si>
  <si>
    <t>(Processeur ou Social) + CPU / Aerospatiale</t>
  </si>
  <si>
    <t>PROPULSION DAMAGE</t>
  </si>
  <si>
    <t>Roll</t>
  </si>
  <si>
    <t>Light Damage</t>
  </si>
  <si>
    <t>Critical Damage</t>
  </si>
  <si>
    <t>A main engine sputters, reducing max thrust briefly.</t>
  </si>
  <si>
    <t>Engine bell torn or fused—full thrust unavailable.</t>
  </si>
  <si>
    <t>(Physique ou Processeur) + CPU / Ingénierie</t>
  </si>
  <si>
    <t>Minor leak, efficiency drops until patched.</t>
  </si>
  <si>
    <t>Rapid fuel loss forces shutdown or explosion risk.</t>
  </si>
  <si>
    <t>Réparation</t>
  </si>
  <si>
    <t>Répare une loc non détruite (1/succès)</t>
  </si>
  <si>
    <t>Gimbal range reduced, maneuverability impaired.</t>
  </si>
  <si>
    <t>Nozzle shatters—course control lost.</t>
  </si>
  <si>
    <t>Calibration</t>
  </si>
  <si>
    <t>Aide une autre action</t>
  </si>
  <si>
    <t>Overheat warning—limited burns only.</t>
  </si>
  <si>
    <t>Propulsion system seizes—total engine lockout.</t>
  </si>
  <si>
    <t>Pilote</t>
  </si>
  <si>
    <t>(Processeur ou Instinct) + Propulsion / Aerospatiale</t>
  </si>
  <si>
    <t>Delayed response to navigation commands.</t>
  </si>
  <si>
    <t>Thruster fires erratically—risk of spin.</t>
  </si>
  <si>
    <t>Accélération</t>
  </si>
  <si>
    <t>(gratuit)</t>
  </si>
  <si>
    <t>Somme des vecteurs vitesse actuelle + acceleration</t>
  </si>
  <si>
    <t>Misalignment causes vibration at high thrust.</t>
  </si>
  <si>
    <t>Mount ruptures—engine detaches or self-destructs.</t>
  </si>
  <si>
    <t>Manoeuvre</t>
  </si>
  <si>
    <t>Ajoute un vecteur d'accélération vitesse = succès (max = accel)</t>
  </si>
  <si>
    <t>Evasion</t>
  </si>
  <si>
    <t>Succès réduisent les tirs adverses et depuis le vaisseau (max = accel)</t>
  </si>
  <si>
    <t>POWER DAMAGE</t>
  </si>
  <si>
    <t>Artilleur</t>
  </si>
  <si>
    <t>(Processeur ou Instinct) + Senseurs / Militaire</t>
  </si>
  <si>
    <t>Tir</t>
  </si>
  <si>
    <t>Temporary power drop, subsystems reboot.</t>
  </si>
  <si>
    <t>Arcs disable connected systems—power rerouted.</t>
  </si>
  <si>
    <t>Reactor throttled—reduced energy output.</t>
  </si>
  <si>
    <t>Reactor scrams—ship on emergency reserves.</t>
  </si>
  <si>
    <t>Sensors</t>
  </si>
  <si>
    <t>Noise</t>
  </si>
  <si>
    <t>-1D cumulatif</t>
  </si>
  <si>
    <t>"Stealth"</t>
  </si>
  <si>
    <t>signature management</t>
  </si>
  <si>
    <t>Energy bottleneck—auxiliary systems flicker.</t>
  </si>
  <si>
    <t>Conduits rupture—fires or electrical arcs spread.</t>
  </si>
  <si>
    <t>stellar radiation</t>
  </si>
  <si>
    <t>confusion</t>
  </si>
  <si>
    <t>Emergency battery drains faster than expected.</t>
  </si>
  <si>
    <t>Batteries explode—localized EMP hits nearby gear.</t>
  </si>
  <si>
    <t>thermal gradients</t>
  </si>
  <si>
    <t>misclassification</t>
  </si>
  <si>
    <t>Radiators run hot—power output throttled.</t>
  </si>
  <si>
    <t>Radiators offline—reactor forced to idle or shut down.</t>
  </si>
  <si>
    <t>EM clutter</t>
  </si>
  <si>
    <t>data pollution</t>
  </si>
  <si>
    <t>Voltage drops—some equipment underpowered.</t>
  </si>
  <si>
    <t>Power grid collapse—entire ship blacks out.</t>
  </si>
  <si>
    <t>orbital debris</t>
  </si>
  <si>
    <t>false positives</t>
  </si>
  <si>
    <t>industrial emissions</t>
  </si>
  <si>
    <t>identity masking</t>
  </si>
  <si>
    <t>SENSORS DAMAGE</t>
  </si>
  <si>
    <t>station leakage</t>
  </si>
  <si>
    <t>traffic blending</t>
  </si>
  <si>
    <t>solar wind</t>
  </si>
  <si>
    <t>noise insertion</t>
  </si>
  <si>
    <t>Range or resolution reduced.</t>
  </si>
  <si>
    <t>Sensor blind in one arc.</t>
  </si>
  <si>
    <t>radiation storms</t>
  </si>
  <si>
    <t>data flooding</t>
  </si>
  <si>
    <t>Delayed or inconsistent telemetry.</t>
  </si>
  <si>
    <t>Feedback loop disables tracking.</t>
  </si>
  <si>
    <t>signal camouflage</t>
  </si>
  <si>
    <t>Target lock degrades, increased jitter.</t>
  </si>
  <si>
    <t>Tracking lost—targeting systems disabled.</t>
  </si>
  <si>
    <t>Detection states</t>
  </si>
  <si>
    <t>suivant marge de réussite</t>
  </si>
  <si>
    <t>False signals or ghost contacts.</t>
  </si>
  <si>
    <t>Data flood—sensor net overloads and reboots.</t>
  </si>
  <si>
    <t>Unknown anomaly</t>
  </si>
  <si>
    <t>Counter-detection</t>
  </si>
  <si>
    <t>thermal masking</t>
  </si>
  <si>
    <t>Some readings unavailable or delayed.</t>
  </si>
  <si>
    <t>Total sensor blackout—targeting and nav blind.</t>
  </si>
  <si>
    <t>Probable object</t>
  </si>
  <si>
    <t>radiative baffling</t>
  </si>
  <si>
    <t>Sensors forced to low-power mode.</t>
  </si>
  <si>
    <t>Optics fry—system burns out.</t>
  </si>
  <si>
    <t>Classified object</t>
  </si>
  <si>
    <t>emission shaping</t>
  </si>
  <si>
    <t>Identified entity</t>
  </si>
  <si>
    <t>heat dumping</t>
  </si>
  <si>
    <t>CPU DAMAGE</t>
  </si>
  <si>
    <t>Tracked target</t>
  </si>
  <si>
    <t>signal spoofing</t>
  </si>
  <si>
    <t>Behavior-modeled actor</t>
  </si>
  <si>
    <t>identity injection</t>
  </si>
  <si>
    <t>Delays or glitches in tactical responses.</t>
  </si>
  <si>
    <t>Combat AI crashes—manual control needed.</t>
  </si>
  <si>
    <t>Intent-predicted agent</t>
  </si>
  <si>
    <t>ghost signatures</t>
  </si>
  <si>
    <t>Navigation and fire control slow.</t>
  </si>
  <si>
    <t>Predictive systems offline—misses and misfires.</t>
  </si>
  <si>
    <t>decoy drones</t>
  </si>
  <si>
    <t>Optimization algorithms fail—lower performance.</t>
  </si>
  <si>
    <t>Ship coordination fails—automated systems disabled.</t>
  </si>
  <si>
    <t>reflective debris</t>
  </si>
  <si>
    <t>Delayed input processing.</t>
  </si>
  <si>
    <t>Commands lost or reversed—risk of collision or friendly fire.</t>
  </si>
  <si>
    <t>signature fragmentation</t>
  </si>
  <si>
    <t>Minor brownouts disrupt task allocation.</t>
  </si>
  <si>
    <t>CPU resets—ship acts on outdated data or panics.</t>
  </si>
  <si>
    <t>traffic mimicry</t>
  </si>
  <si>
    <t>Minor damage, self-diagnostics in progress.</t>
  </si>
  <si>
    <t>Core CPU melted or torn—control lost.</t>
  </si>
  <si>
    <t>1 and 6</t>
  </si>
  <si>
    <t>SUBSYSTEM DAMAGE</t>
  </si>
  <si>
    <t>Life support</t>
  </si>
  <si>
    <t>Cargo</t>
  </si>
  <si>
    <t>Hangar</t>
  </si>
  <si>
    <t>Bridge</t>
  </si>
  <si>
    <t>Crew quarters</t>
  </si>
  <si>
    <t>Random weapon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</si>
</sst>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4">
    <font>
      <sz val="11.0"/>
      <color rgb="FF000000"/>
      <name val="Calibri"/>
    </font>
    <font>
      <b/>
      <sz val="18.0"/>
      <color rgb="FF000000"/>
      <name val="Arial"/>
    </font>
    <font>
      <b/>
    </font>
    <font/>
    <font>
      <sz val="10.0"/>
    </font>
    <font>
      <sz val="11.0"/>
      <name val="Arial"/>
    </font>
    <font>
      <sz val="11.0"/>
      <color rgb="FF000000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4.0"/>
      <color rgb="FF000000"/>
      <name val="Arial"/>
    </font>
    <font>
      <sz val="12.0"/>
      <color rgb="FF000000"/>
      <name val="Arial"/>
    </font>
    <font>
      <sz val="12.0"/>
      <name val="Arial"/>
    </font>
    <font>
      <sz val="14.0"/>
      <name val="Arial"/>
    </font>
    <font>
      <b/>
      <sz val="12.0"/>
      <color rgb="FF000000"/>
      <name val="Arial"/>
    </font>
    <font>
      <sz val="12.0"/>
    </font>
    <font>
      <sz val="11.0"/>
    </font>
    <font>
      <b/>
      <sz val="12.0"/>
      <name val="Arial"/>
    </font>
    <font>
      <u/>
      <color rgb="FF0000FF"/>
    </font>
    <font>
      <i/>
      <sz val="14.0"/>
      <name val="Arial"/>
    </font>
    <font>
      <i/>
      <sz val="12.0"/>
      <name val="Calibri"/>
    </font>
    <font>
      <i/>
    </font>
    <font>
      <sz val="10.0"/>
      <name val="Arial"/>
    </font>
    <font>
      <sz val="10.0"/>
      <color rgb="FF000000"/>
      <name val="Arial"/>
    </font>
    <font>
      <i/>
      <sz val="12.0"/>
      <color rgb="FF000000"/>
      <name val="Calibri"/>
    </font>
    <font>
      <b/>
      <sz val="18.0"/>
      <name val="Arial"/>
    </font>
    <font>
      <sz val="14.0"/>
    </font>
    <font>
      <i/>
      <sz val="11.0"/>
      <color rgb="FF000000"/>
      <name val="Arial"/>
    </font>
    <font>
      <sz val="14.0"/>
      <name val="Calibri"/>
    </font>
    <font>
      <b/>
      <sz val="14.0"/>
      <name val="Arial"/>
    </font>
    <font>
      <b/>
      <sz val="14.0"/>
    </font>
    <font>
      <u/>
      <color rgb="FF0000FF"/>
    </font>
    <font>
      <b/>
      <sz val="10.0"/>
    </font>
    <font>
      <b/>
      <name val="Arial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horizontal="center" readingOrder="0"/>
    </xf>
    <xf borderId="0" fillId="0" fontId="6" numFmtId="0" xfId="0" applyFont="1"/>
    <xf borderId="1" fillId="0" fontId="2" numFmtId="0" xfId="0" applyAlignment="1" applyBorder="1" applyFont="1">
      <alignment readingOrder="0"/>
    </xf>
    <xf quotePrefix="1"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0" fillId="0" fontId="7" numFmtId="0" xfId="0" applyAlignment="1" applyFont="1">
      <alignment shrinkToFit="0" wrapText="1"/>
    </xf>
    <xf borderId="2" fillId="0" fontId="3" numFmtId="0" xfId="0" applyBorder="1" applyFont="1"/>
    <xf borderId="0" fillId="0" fontId="3" numFmtId="0" xfId="0" applyAlignment="1" applyFont="1">
      <alignment horizontal="center" readingOrder="0"/>
    </xf>
    <xf borderId="1" fillId="0" fontId="8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 shrinkToFit="0" wrapText="0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Font="1"/>
    <xf borderId="0" fillId="0" fontId="10" numFmtId="0" xfId="0" applyFont="1"/>
    <xf borderId="3" fillId="0" fontId="2" numFmtId="0" xfId="0" applyAlignment="1" applyBorder="1" applyFont="1">
      <alignment readingOrder="0"/>
    </xf>
    <xf borderId="0" fillId="0" fontId="12" numFmtId="0" xfId="0" applyFont="1"/>
    <xf borderId="3" fillId="0" fontId="8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5" numFmtId="0" xfId="0" applyFont="1"/>
    <xf borderId="0" fillId="0" fontId="15" numFmtId="0" xfId="0" applyAlignment="1" applyFont="1">
      <alignment horizontal="left" readingOrder="0"/>
    </xf>
    <xf borderId="0" fillId="0" fontId="15" numFmtId="0" xfId="0" applyAlignment="1" applyFont="1">
      <alignment horizontal="left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9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0" fontId="7" numFmtId="0" xfId="0" applyAlignment="1" applyBorder="1" applyFont="1">
      <alignment readingOrder="0" shrinkToFit="0" wrapText="0"/>
    </xf>
    <xf borderId="2" fillId="0" fontId="18" numFmtId="0" xfId="0" applyAlignment="1" applyBorder="1" applyFont="1">
      <alignment shrinkToFit="0" wrapText="0"/>
    </xf>
    <xf borderId="2" fillId="0" fontId="9" numFmtId="0" xfId="0" applyAlignment="1" applyBorder="1" applyFont="1">
      <alignment shrinkToFit="0" wrapText="0"/>
    </xf>
    <xf borderId="2" fillId="0" fontId="7" numFmtId="0" xfId="0" applyAlignment="1" applyBorder="1" applyFont="1">
      <alignment readingOrder="0" shrinkToFit="0" wrapText="0"/>
    </xf>
    <xf borderId="2" fillId="0" fontId="12" numFmtId="0" xfId="0" applyAlignment="1" applyBorder="1" applyFont="1">
      <alignment shrinkToFit="0" wrapText="0"/>
    </xf>
    <xf borderId="2" fillId="0" fontId="2" numFmtId="0" xfId="0" applyAlignment="1" applyBorder="1" applyFont="1">
      <alignment readingOrder="0" shrinkToFit="0" wrapText="0"/>
    </xf>
    <xf borderId="2" fillId="0" fontId="19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right" readingOrder="0"/>
    </xf>
    <xf borderId="0" fillId="0" fontId="4" numFmtId="0" xfId="0" applyAlignment="1" applyFont="1">
      <alignment shrinkToFit="0" wrapText="0"/>
    </xf>
    <xf borderId="3" fillId="0" fontId="9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4" numFmtId="0" xfId="0" applyAlignment="1" applyFont="1">
      <alignment horizontal="left"/>
    </xf>
    <xf borderId="3" fillId="0" fontId="12" numFmtId="0" xfId="0" applyAlignment="1" applyBorder="1" applyFont="1">
      <alignment shrinkToFit="0" wrapText="0"/>
    </xf>
    <xf borderId="0" fillId="0" fontId="3" numFmtId="0" xfId="0" applyAlignment="1" applyFont="1">
      <alignment horizontal="right" readingOrder="0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horizontal="left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shrinkToFit="0" wrapText="1"/>
    </xf>
    <xf borderId="0" fillId="0" fontId="4" numFmtId="0" xfId="0" applyAlignment="1" applyFont="1">
      <alignment horizontal="left"/>
    </xf>
    <xf borderId="0" fillId="0" fontId="14" numFmtId="0" xfId="0" applyAlignment="1" applyFont="1">
      <alignment horizontal="left" readingOrder="0"/>
    </xf>
    <xf borderId="0" fillId="0" fontId="3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2" fillId="0" fontId="6" numFmtId="0" xfId="0" applyAlignment="1" applyBorder="1" applyFont="1">
      <alignment shrinkToFit="0" wrapText="0"/>
    </xf>
    <xf borderId="2" fillId="0" fontId="23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3" fillId="0" fontId="6" numFmtId="0" xfId="0" applyAlignment="1" applyBorder="1" applyFont="1">
      <alignment shrinkToFit="0" wrapText="0"/>
    </xf>
    <xf borderId="0" fillId="0" fontId="12" numFmtId="0" xfId="0" applyAlignment="1" applyFont="1">
      <alignment shrinkToFit="0" wrapText="0"/>
    </xf>
    <xf borderId="3" fillId="0" fontId="3" numFmtId="0" xfId="0" applyAlignment="1" applyBorder="1" applyFont="1">
      <alignment shrinkToFit="0" wrapText="0"/>
    </xf>
    <xf borderId="0" fillId="0" fontId="2" numFmtId="0" xfId="0" applyFont="1"/>
    <xf borderId="0" fillId="2" fontId="24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25" numFmtId="0" xfId="0" applyAlignment="1" applyFont="1">
      <alignment shrinkToFit="0" wrapText="0"/>
    </xf>
    <xf borderId="0" fillId="0" fontId="26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2" fillId="0" fontId="10" numFmtId="0" xfId="0" applyAlignment="1" applyBorder="1" applyFont="1">
      <alignment horizontal="center" shrinkToFit="0" wrapText="0"/>
    </xf>
    <xf borderId="2" fillId="0" fontId="27" numFmtId="0" xfId="0" applyAlignment="1" applyBorder="1" applyFont="1">
      <alignment readingOrder="0" shrinkToFit="0" wrapText="0"/>
    </xf>
    <xf borderId="2" fillId="0" fontId="2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shrinkToFit="0" wrapText="0"/>
    </xf>
    <xf borderId="2" fillId="0" fontId="14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3" fillId="3" fontId="5" numFmtId="0" xfId="0" applyAlignment="1" applyBorder="1" applyFill="1" applyFont="1">
      <alignment shrinkToFit="0" wrapText="0"/>
    </xf>
    <xf quotePrefix="1" borderId="0" fillId="0" fontId="3" numFmtId="0" xfId="0" applyAlignment="1" applyFont="1">
      <alignment horizontal="center" readingOrder="0"/>
    </xf>
    <xf borderId="0" fillId="3" fontId="5" numFmtId="0" xfId="0" applyAlignment="1" applyFill="1" applyFont="1">
      <alignment shrinkToFit="0" wrapText="0"/>
    </xf>
    <xf borderId="0" fillId="3" fontId="6" numFmtId="0" xfId="0" applyAlignment="1" applyFill="1" applyFont="1">
      <alignment shrinkToFit="0" wrapText="0"/>
    </xf>
    <xf borderId="0" fillId="3" fontId="3" numFmtId="0" xfId="0" applyAlignment="1" applyFill="1" applyFont="1">
      <alignment shrinkToFit="0" wrapText="0"/>
    </xf>
    <xf borderId="0" fillId="3" fontId="6" numFmtId="0" xfId="0" applyAlignment="1" applyFill="1" applyFont="1">
      <alignment horizontal="center" shrinkToFit="0" wrapText="0"/>
    </xf>
    <xf borderId="3" fillId="3" fontId="3" numFmtId="0" xfId="0" applyBorder="1" applyFill="1" applyFont="1"/>
    <xf borderId="3" fillId="3" fontId="3" numFmtId="0" xfId="0" applyAlignment="1" applyBorder="1" applyFill="1" applyFont="1">
      <alignment shrinkToFit="0" wrapText="0"/>
    </xf>
    <xf borderId="3" fillId="0" fontId="9" numFmtId="0" xfId="0" applyAlignment="1" applyBorder="1" applyFont="1">
      <alignment readingOrder="0"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0" fontId="22" numFmtId="0" xfId="0" applyAlignment="1" applyFont="1">
      <alignment horizontal="center" shrinkToFit="0" wrapText="0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shrinkToFit="0" wrapText="0"/>
    </xf>
    <xf borderId="3" fillId="3" fontId="12" numFmtId="0" xfId="0" applyAlignment="1" applyBorder="1" applyFill="1" applyFont="1">
      <alignment shrinkToFit="0" wrapText="0"/>
    </xf>
    <xf borderId="0" fillId="3" fontId="3" numFmtId="0" xfId="0" applyAlignment="1" applyFill="1" applyFont="1">
      <alignment horizontal="center" shrinkToFit="0" wrapText="0"/>
    </xf>
    <xf borderId="0" fillId="3" fontId="22" numFmtId="0" xfId="0" applyAlignment="1" applyFill="1" applyFont="1">
      <alignment horizontal="center" shrinkToFit="0" wrapText="0"/>
    </xf>
    <xf borderId="3" fillId="3" fontId="4" numFmtId="0" xfId="0" applyAlignment="1" applyBorder="1" applyFill="1" applyFont="1">
      <alignment horizontal="center"/>
    </xf>
    <xf borderId="3" fillId="3" fontId="4" numFmtId="0" xfId="0" applyAlignment="1" applyBorder="1" applyFill="1" applyFont="1">
      <alignment horizontal="center" shrinkToFit="0" wrapText="0"/>
    </xf>
    <xf borderId="3" fillId="0" fontId="9" numFmtId="0" xfId="0" applyAlignment="1" applyBorder="1" applyFont="1">
      <alignment shrinkToFit="0" wrapText="0"/>
    </xf>
    <xf borderId="0" fillId="0" fontId="22" numFmtId="0" xfId="0" applyAlignment="1" applyFont="1">
      <alignment horizontal="center" readingOrder="0" shrinkToFit="0" wrapText="0"/>
    </xf>
    <xf borderId="3" fillId="0" fontId="4" numFmtId="0" xfId="0" applyAlignment="1" applyBorder="1" applyFont="1">
      <alignment horizontal="center"/>
    </xf>
    <xf borderId="0" fillId="0" fontId="11" numFmtId="0" xfId="0" applyAlignment="1" applyFont="1">
      <alignment shrinkToFit="0" wrapText="0"/>
    </xf>
    <xf borderId="2" fillId="0" fontId="3" numFmtId="0" xfId="0" applyAlignment="1" applyBorder="1" applyFont="1">
      <alignment shrinkToFit="0" wrapText="0"/>
    </xf>
    <xf borderId="0" fillId="0" fontId="19" numFmtId="0" xfId="0" applyAlignment="1" applyFont="1">
      <alignment horizontal="center" readingOrder="0" shrinkToFit="0" wrapText="0"/>
    </xf>
    <xf borderId="3" fillId="0" fontId="5" numFmtId="0" xfId="0" applyAlignment="1" applyBorder="1" applyFont="1">
      <alignment shrinkToFit="0" wrapText="0"/>
    </xf>
    <xf borderId="0" fillId="3" fontId="4" numFmtId="0" xfId="0" applyAlignment="1" applyFill="1" applyFont="1">
      <alignment horizontal="center" shrinkToFit="0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left" shrinkToFit="0" wrapText="0"/>
    </xf>
    <xf borderId="0" fillId="0" fontId="22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0"/>
    </xf>
    <xf borderId="0" fillId="0" fontId="28" numFmtId="0" xfId="0" applyAlignment="1" applyFont="1">
      <alignment horizontal="center" readingOrder="0" shrinkToFit="0" wrapText="0"/>
    </xf>
    <xf borderId="3" fillId="3" fontId="9" numFmtId="0" xfId="0" applyAlignment="1" applyBorder="1" applyFill="1" applyFont="1">
      <alignment readingOrder="0" shrinkToFit="0" wrapText="0"/>
    </xf>
    <xf borderId="0" fillId="0" fontId="4" numFmtId="0" xfId="0" applyAlignment="1" applyFont="1">
      <alignment horizontal="center"/>
    </xf>
    <xf borderId="3" fillId="0" fontId="3" numFmtId="0" xfId="0" applyBorder="1" applyFont="1"/>
    <xf borderId="2" fillId="0" fontId="29" numFmtId="0" xfId="0" applyAlignment="1" applyBorder="1" applyFont="1">
      <alignment horizontal="center" readingOrder="0" shrinkToFit="0" wrapText="0"/>
    </xf>
    <xf borderId="2" fillId="0" fontId="29" numFmtId="0" xfId="0" applyAlignment="1" applyBorder="1" applyFont="1">
      <alignment readingOrder="0"/>
    </xf>
    <xf borderId="3" fillId="0" fontId="13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readingOrder="0" shrinkToFit="0" wrapText="0"/>
    </xf>
    <xf quotePrefix="1" borderId="0" fillId="0" fontId="20" numFmtId="0" xfId="0" applyAlignment="1" applyFont="1">
      <alignment horizontal="center" readingOrder="0"/>
    </xf>
    <xf borderId="3" fillId="0" fontId="10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4" fillId="0" fontId="9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  <xf borderId="3" fillId="3" fontId="3" numFmtId="0" xfId="0" applyAlignment="1" applyBorder="1" applyFill="1" applyFont="1">
      <alignment horizontal="left" shrinkToFit="0" wrapText="0"/>
    </xf>
    <xf borderId="0" fillId="3" fontId="3" numFmtId="0" xfId="0" applyAlignment="1" applyFill="1" applyFont="1">
      <alignment horizontal="left" shrinkToFit="0" wrapText="0"/>
    </xf>
    <xf borderId="0" fillId="3" fontId="9" numFmtId="0" xfId="0" applyAlignment="1" applyFill="1" applyFont="1">
      <alignment shrinkToFit="0" wrapText="0"/>
    </xf>
    <xf borderId="3" fillId="0" fontId="10" numFmtId="0" xfId="0" applyAlignment="1" applyBorder="1" applyFont="1">
      <alignment horizontal="left" readingOrder="0" shrinkToFit="0" vertical="center" wrapText="0"/>
    </xf>
    <xf borderId="0" fillId="3" fontId="25" numFmtId="0" xfId="0" applyAlignment="1" applyFill="1" applyFont="1">
      <alignment shrinkToFit="0" wrapText="0"/>
    </xf>
    <xf borderId="0" fillId="0" fontId="7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13" numFmtId="0" xfId="0" applyAlignment="1" applyFont="1">
      <alignment horizontal="center" readingOrder="0" shrinkToFit="0" vertical="center" wrapText="0"/>
    </xf>
    <xf borderId="4" fillId="0" fontId="5" numFmtId="0" xfId="0" applyAlignment="1" applyBorder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9" numFmtId="0" xfId="0" applyAlignment="1" applyFont="1">
      <alignment horizontal="center" shrinkToFit="0" wrapText="0"/>
    </xf>
    <xf borderId="1" fillId="0" fontId="13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center"/>
    </xf>
    <xf borderId="2" fillId="0" fontId="20" numFmtId="0" xfId="0" applyAlignment="1" applyBorder="1" applyFont="1">
      <alignment readingOrder="0"/>
    </xf>
    <xf quotePrefix="1" borderId="2" fillId="0" fontId="20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readingOrder="0" shrinkToFit="0" wrapText="0"/>
    </xf>
    <xf borderId="0" fillId="0" fontId="6" numFmtId="0" xfId="0" applyAlignment="1" applyFont="1">
      <alignment horizontal="center"/>
    </xf>
    <xf borderId="0" fillId="0" fontId="13" numFmtId="0" xfId="0" applyAlignment="1" applyFont="1">
      <alignment horizontal="left" readingOrder="0" shrinkToFit="0" wrapText="0"/>
    </xf>
    <xf borderId="0" fillId="0" fontId="9" numFmtId="0" xfId="0" applyAlignment="1" applyFont="1">
      <alignment readingOrder="0" shrinkToFit="0" wrapText="1"/>
    </xf>
    <xf borderId="3" fillId="0" fontId="15" numFmtId="0" xfId="0" applyBorder="1" applyFont="1"/>
    <xf borderId="0" fillId="0" fontId="7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22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0" fontId="7" numFmtId="0" xfId="0" applyAlignment="1" applyFont="1">
      <alignment readingOrder="0" shrinkToFit="0" wrapText="1"/>
    </xf>
    <xf borderId="0" fillId="0" fontId="13" numFmtId="0" xfId="0" applyAlignment="1" applyFont="1">
      <alignment horizontal="right" readingOrder="0"/>
    </xf>
    <xf borderId="0" fillId="0" fontId="10" numFmtId="0" xfId="0" applyAlignment="1" applyFont="1">
      <alignment horizontal="right" shrinkToFit="0" wrapText="1"/>
    </xf>
    <xf borderId="0" fillId="0" fontId="25" numFmtId="0" xfId="0" applyFont="1"/>
    <xf borderId="0" fillId="0" fontId="13" numFmtId="0" xfId="0" applyAlignment="1" applyFont="1">
      <alignment horizontal="right" shrinkToFit="0" wrapText="0"/>
    </xf>
    <xf borderId="0" fillId="0" fontId="3" numFmtId="0" xfId="0" applyAlignment="1" applyFont="1">
      <alignment horizontal="left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vertical="bottom"/>
    </xf>
    <xf borderId="0" fillId="0" fontId="33" numFmtId="0" xfId="0" applyAlignment="1" applyFont="1">
      <alignment horizontal="left" vertical="bottom"/>
    </xf>
    <xf borderId="0" fillId="0" fontId="32" numFmtId="0" xfId="0" applyAlignment="1" applyFont="1">
      <alignment horizontal="center" vertical="bottom"/>
    </xf>
    <xf borderId="0" fillId="0" fontId="32" numFmtId="0" xfId="0" applyAlignment="1" applyFont="1">
      <alignment horizontal="left" vertical="bottom"/>
    </xf>
    <xf borderId="0" fillId="0" fontId="32" numFmtId="0" xfId="0" applyAlignment="1" applyFont="1">
      <alignment horizontal="right" vertical="bottom"/>
    </xf>
    <xf borderId="0" fillId="0" fontId="33" numFmtId="0" xfId="0" applyAlignment="1" applyFont="1">
      <alignment vertical="bottom"/>
    </xf>
    <xf borderId="0" fillId="0" fontId="32" numFmtId="0" xfId="0" applyAlignment="1" applyFont="1">
      <alignment horizontal="left" readingOrder="0" vertical="bottom"/>
    </xf>
    <xf borderId="0" fillId="0" fontId="3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WN-vBbDduVP42rMx2Xxg02Wfy1XkYUqOJ4zZ5BZd_4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WN-vBbDduVP42rMx2Xxg02Wfy1XkYUqOJ4zZ5BZd_4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X77rBGNGbC6P-0oAVF4VOG83Ice3P9Bkbw0L7HgHDI/edit?usp=sharing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2.57"/>
    <col customWidth="1" min="3" max="3" width="13.29"/>
    <col customWidth="1" min="4" max="4" width="3.71"/>
    <col customWidth="1" min="5" max="5" width="15.86"/>
    <col customWidth="1" min="6" max="6" width="1.57"/>
    <col customWidth="1" min="7" max="7" width="15.86"/>
    <col customWidth="1" min="8" max="8" width="1.57"/>
    <col customWidth="1" min="9" max="9" width="15.86"/>
    <col customWidth="1" min="10" max="10" width="1.57"/>
    <col customWidth="1" min="11" max="11" width="12.86"/>
    <col customWidth="1" min="12" max="12" width="1.57"/>
    <col customWidth="1" min="13" max="13" width="14.0"/>
    <col customWidth="1" min="14" max="14" width="5.71"/>
    <col customWidth="1" min="15" max="15" width="2.86"/>
  </cols>
  <sheetData>
    <row r="1" ht="42.75" customHeight="1">
      <c r="A1" s="1"/>
      <c r="B1" s="1" t="s">
        <v>3</v>
      </c>
      <c r="O1" s="4"/>
    </row>
    <row r="2">
      <c r="A2" s="5"/>
      <c r="B2" s="5"/>
      <c r="C2" s="7"/>
      <c r="D2" s="7"/>
      <c r="E2" s="7"/>
      <c r="F2" s="7"/>
      <c r="G2" s="7"/>
      <c r="H2" s="7"/>
      <c r="I2" s="7"/>
      <c r="J2" s="7"/>
      <c r="K2" s="7"/>
      <c r="L2" s="5"/>
      <c r="M2" s="5"/>
      <c r="N2" s="5"/>
      <c r="O2" s="4"/>
    </row>
    <row r="3">
      <c r="A3" s="11"/>
      <c r="B3" s="15" t="s">
        <v>31</v>
      </c>
      <c r="C3" s="16"/>
      <c r="D3" s="16"/>
      <c r="E3" s="17"/>
      <c r="F3" s="18"/>
      <c r="G3" s="18"/>
      <c r="H3" s="19"/>
      <c r="I3" s="19"/>
      <c r="J3" s="19"/>
      <c r="K3" s="19"/>
      <c r="L3" s="18"/>
      <c r="M3" s="18"/>
      <c r="N3" s="18"/>
      <c r="O3" s="4"/>
    </row>
    <row r="4">
      <c r="A4" s="21"/>
      <c r="B4" s="21"/>
      <c r="C4" s="21"/>
      <c r="D4" s="21"/>
      <c r="E4" s="21"/>
      <c r="F4" s="21"/>
      <c r="G4" s="21"/>
      <c r="H4" s="21"/>
      <c r="J4" s="21"/>
      <c r="K4" s="21"/>
      <c r="L4" s="21"/>
      <c r="M4" s="21"/>
      <c r="N4" s="21"/>
      <c r="O4" s="4"/>
    </row>
    <row r="5">
      <c r="A5" s="23"/>
      <c r="B5" s="23" t="s">
        <v>67</v>
      </c>
      <c r="C5" s="18"/>
      <c r="D5" s="18"/>
      <c r="E5" s="18"/>
      <c r="F5" s="18"/>
      <c r="G5" s="18"/>
      <c r="H5" s="23"/>
      <c r="I5" s="23" t="s">
        <v>74</v>
      </c>
      <c r="J5" s="24"/>
      <c r="K5" s="18"/>
      <c r="L5" s="24"/>
      <c r="M5" s="18"/>
      <c r="N5" s="18"/>
      <c r="O5" s="4"/>
    </row>
    <row r="6">
      <c r="A6" s="21"/>
      <c r="B6" s="21"/>
      <c r="C6" s="21"/>
      <c r="D6" s="21"/>
      <c r="E6" s="21"/>
      <c r="F6" s="21"/>
      <c r="G6" s="21"/>
      <c r="H6" s="21"/>
      <c r="I6" s="21"/>
      <c r="J6" s="5"/>
      <c r="K6" s="21"/>
      <c r="L6" s="21"/>
      <c r="M6" s="21"/>
      <c r="N6" s="21"/>
      <c r="O6" s="4"/>
    </row>
    <row r="7">
      <c r="A7" s="25"/>
      <c r="B7" s="26" t="s">
        <v>10</v>
      </c>
      <c r="C7" s="28"/>
      <c r="D7" s="29"/>
      <c r="E7" s="30" t="s">
        <v>104</v>
      </c>
      <c r="F7" s="31"/>
      <c r="G7" s="32"/>
      <c r="H7" s="25"/>
      <c r="I7" s="25" t="s">
        <v>113</v>
      </c>
      <c r="J7" s="31"/>
      <c r="K7" s="33"/>
      <c r="L7" s="34" t="s">
        <v>117</v>
      </c>
      <c r="N7" s="35"/>
      <c r="O7" s="4"/>
    </row>
    <row r="8">
      <c r="C8" s="16"/>
      <c r="D8" s="16"/>
      <c r="F8" s="21"/>
      <c r="G8" s="21"/>
      <c r="H8" s="36"/>
      <c r="I8" s="36"/>
      <c r="J8" s="37"/>
      <c r="K8" s="21"/>
      <c r="L8" s="37"/>
      <c r="M8" s="37"/>
      <c r="N8" s="37"/>
      <c r="O8" s="4" t="str">
        <f>if(O11+O12, 20+O11+O12-30, "")</f>
        <v/>
      </c>
    </row>
    <row r="9">
      <c r="A9" s="40"/>
      <c r="B9" s="40" t="s">
        <v>185</v>
      </c>
      <c r="C9" s="21"/>
      <c r="D9" s="5"/>
      <c r="E9" s="5"/>
      <c r="F9" s="5"/>
      <c r="G9" s="5"/>
      <c r="H9" s="5"/>
      <c r="I9" s="5"/>
      <c r="J9" s="7"/>
      <c r="K9" s="7"/>
      <c r="L9" s="7"/>
      <c r="M9" s="7"/>
      <c r="N9" s="37"/>
      <c r="O9" s="4" t="str">
        <f>if(O11+O12, 50+2*(O11+O12/2-60), "")</f>
        <v/>
      </c>
    </row>
    <row r="10"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O10" s="4" t="str">
        <f>if(O11+O12, 100+5*(O11+O12/3-85), "")</f>
        <v/>
      </c>
    </row>
    <row r="11">
      <c r="B11" s="40" t="s">
        <v>206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O11" s="4" t="str">
        <f>if(O46&gt;0, O46, "")</f>
        <v/>
      </c>
    </row>
    <row r="12"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O12" s="43" t="str">
        <f>if(O106+O159&gt;0, O106+O159, "")</f>
        <v/>
      </c>
    </row>
    <row r="13">
      <c r="O13" s="4"/>
    </row>
    <row r="14">
      <c r="A14" s="15"/>
      <c r="B14" s="44" t="s">
        <v>193</v>
      </c>
      <c r="C14" s="45"/>
      <c r="D14" s="45"/>
      <c r="E14" s="46"/>
      <c r="F14" s="47"/>
      <c r="G14" s="47"/>
      <c r="H14" s="46"/>
      <c r="I14" s="46"/>
      <c r="J14" s="48"/>
      <c r="K14" s="49"/>
      <c r="L14" s="50"/>
      <c r="M14" s="49"/>
      <c r="N14" s="51"/>
      <c r="O14" s="52"/>
    </row>
    <row r="15">
      <c r="A15" s="16"/>
      <c r="B15" s="53"/>
      <c r="C15" s="40" t="s">
        <v>47</v>
      </c>
      <c r="D15" s="54"/>
      <c r="E15" s="55"/>
      <c r="F15" s="28"/>
      <c r="G15" s="28"/>
      <c r="H15" s="56"/>
      <c r="I15" s="56"/>
      <c r="J15" s="28"/>
      <c r="K15" s="57"/>
      <c r="L15" s="28"/>
      <c r="M15" s="57"/>
      <c r="N15" s="57"/>
      <c r="O15" s="4"/>
    </row>
    <row r="16">
      <c r="A16" s="21"/>
      <c r="B16" s="58"/>
      <c r="C16" s="59"/>
      <c r="D16" s="18"/>
      <c r="E16" s="60"/>
      <c r="F16" s="61"/>
      <c r="G16" s="61"/>
      <c r="H16" s="62"/>
      <c r="I16" s="62"/>
      <c r="J16" s="61"/>
      <c r="K16" s="61"/>
      <c r="L16" s="61"/>
      <c r="M16" s="63"/>
      <c r="N16" s="61"/>
      <c r="O16" s="4"/>
    </row>
    <row r="17">
      <c r="B17" s="58"/>
      <c r="D17" s="2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4"/>
    </row>
    <row r="18">
      <c r="A18" s="16"/>
      <c r="B18" s="58"/>
      <c r="C18" s="59"/>
      <c r="D18" s="19"/>
      <c r="E18" s="62"/>
      <c r="F18" s="61"/>
      <c r="G18" s="61"/>
      <c r="H18" s="62"/>
      <c r="I18" s="62"/>
      <c r="J18" s="61"/>
      <c r="K18" s="61"/>
      <c r="L18" s="61"/>
      <c r="M18" s="61"/>
      <c r="N18" s="61"/>
      <c r="O18" s="4"/>
    </row>
    <row r="19">
      <c r="B19" s="58"/>
      <c r="D19" s="2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4"/>
    </row>
    <row r="20">
      <c r="A20" s="16"/>
      <c r="B20" s="58"/>
      <c r="C20" s="40" t="s">
        <v>61</v>
      </c>
      <c r="D20" s="19"/>
      <c r="E20" s="56"/>
      <c r="F20" s="28"/>
      <c r="G20" s="28"/>
      <c r="H20" s="56"/>
      <c r="I20" s="56"/>
      <c r="J20" s="28"/>
      <c r="K20" s="28"/>
      <c r="L20" s="28"/>
      <c r="M20" s="28"/>
      <c r="N20" s="65"/>
      <c r="O20" s="4"/>
    </row>
    <row r="21">
      <c r="A21" s="21"/>
      <c r="B21" s="58"/>
      <c r="C21" s="59"/>
      <c r="D21" s="18"/>
      <c r="E21" s="61"/>
      <c r="F21" s="61"/>
      <c r="G21" s="61"/>
      <c r="H21" s="61"/>
      <c r="I21" s="64"/>
      <c r="J21" s="64"/>
      <c r="K21" s="64"/>
      <c r="L21" s="64"/>
      <c r="M21" s="64"/>
      <c r="N21" s="61"/>
      <c r="O21" s="4"/>
    </row>
    <row r="22">
      <c r="B22" s="58"/>
      <c r="D22" s="2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52"/>
    </row>
    <row r="23">
      <c r="A23" s="21"/>
      <c r="B23" s="58"/>
      <c r="C23" s="59"/>
      <c r="D23" s="18"/>
      <c r="E23" s="60"/>
      <c r="F23" s="61"/>
      <c r="G23" s="61"/>
      <c r="H23" s="61"/>
      <c r="I23" s="64"/>
      <c r="J23" s="64"/>
      <c r="K23" s="64"/>
      <c r="L23" s="64"/>
      <c r="M23" s="64"/>
      <c r="N23" s="61"/>
      <c r="O23" s="52"/>
    </row>
    <row r="24">
      <c r="B24" s="58"/>
      <c r="D24" s="2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52"/>
    </row>
    <row r="25">
      <c r="A25" s="16"/>
      <c r="B25" s="58"/>
      <c r="C25" s="40" t="s">
        <v>78</v>
      </c>
      <c r="D25" s="18"/>
      <c r="E25" s="28"/>
      <c r="F25" s="28"/>
      <c r="G25" s="28"/>
      <c r="H25" s="28"/>
      <c r="I25" s="57"/>
      <c r="J25" s="57"/>
      <c r="K25" s="57"/>
      <c r="L25" s="57"/>
      <c r="M25" s="57"/>
      <c r="N25" s="65"/>
      <c r="O25" s="52"/>
    </row>
    <row r="26">
      <c r="A26" s="66"/>
      <c r="B26" s="58"/>
      <c r="C26" s="59"/>
      <c r="D26" s="67"/>
      <c r="E26" s="68"/>
      <c r="F26" s="68"/>
      <c r="G26" s="68"/>
      <c r="H26" s="68"/>
      <c r="I26" s="64"/>
      <c r="J26" s="64"/>
      <c r="K26" s="64"/>
      <c r="L26" s="64"/>
      <c r="M26" s="64"/>
      <c r="N26" s="68"/>
      <c r="O26" s="52"/>
    </row>
    <row r="27">
      <c r="B27" s="58"/>
      <c r="D27" s="2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52"/>
    </row>
    <row r="28">
      <c r="A28" s="66"/>
      <c r="B28" s="58"/>
      <c r="C28" s="59"/>
      <c r="D28" s="67"/>
      <c r="E28" s="68"/>
      <c r="F28" s="68"/>
      <c r="G28" s="68"/>
      <c r="H28" s="68"/>
      <c r="I28" s="64"/>
      <c r="J28" s="64"/>
      <c r="K28" s="64"/>
      <c r="L28" s="64"/>
      <c r="M28" s="64"/>
      <c r="N28" s="68"/>
      <c r="O28" s="52"/>
    </row>
    <row r="29">
      <c r="A29" s="66"/>
      <c r="B29" s="66"/>
      <c r="C29" s="66"/>
      <c r="D29" s="66"/>
      <c r="E29" s="52"/>
      <c r="F29" s="52"/>
      <c r="G29" s="52"/>
      <c r="H29" s="52"/>
      <c r="I29" s="4"/>
      <c r="J29" s="4"/>
      <c r="K29" s="4"/>
      <c r="L29" s="4"/>
      <c r="M29" s="4"/>
      <c r="N29" s="52"/>
      <c r="O29" s="52"/>
    </row>
    <row r="30">
      <c r="A30" s="66"/>
      <c r="B30" s="44" t="s">
        <v>199</v>
      </c>
      <c r="C30" s="69"/>
      <c r="D30" s="69"/>
      <c r="E30" s="69"/>
      <c r="F30" s="69"/>
      <c r="G30" s="70" t="s">
        <v>241</v>
      </c>
      <c r="H30" s="66"/>
      <c r="I30" s="44" t="s">
        <v>232</v>
      </c>
      <c r="J30" s="69"/>
      <c r="K30" s="69"/>
      <c r="L30" s="69"/>
      <c r="M30" s="69"/>
      <c r="N30" s="47"/>
      <c r="O30" s="52"/>
    </row>
    <row r="31">
      <c r="A31" s="71"/>
      <c r="B31" s="58"/>
      <c r="G31" s="72"/>
      <c r="H31" s="66"/>
      <c r="I31" s="73"/>
      <c r="K31" s="72"/>
      <c r="L31" s="72"/>
      <c r="N31" s="74"/>
      <c r="O31" s="52"/>
    </row>
    <row r="32">
      <c r="A32" s="71"/>
      <c r="B32" s="75"/>
      <c r="G32" s="66"/>
      <c r="H32" s="66"/>
      <c r="I32" s="75"/>
      <c r="K32" s="66"/>
      <c r="L32" s="66"/>
      <c r="N32" s="66"/>
      <c r="O32" s="52"/>
    </row>
    <row r="33">
      <c r="A33" s="71"/>
      <c r="B33" s="75"/>
      <c r="G33" s="66"/>
      <c r="H33" s="66"/>
      <c r="I33" s="75"/>
      <c r="K33" s="66"/>
      <c r="L33" s="66"/>
      <c r="N33" s="66"/>
      <c r="O33" s="52"/>
    </row>
    <row r="34">
      <c r="A34" s="71"/>
      <c r="B34" s="75"/>
      <c r="G34" s="66"/>
      <c r="H34" s="66"/>
      <c r="I34" s="75"/>
      <c r="K34" s="66"/>
      <c r="L34" s="66"/>
      <c r="N34" s="66"/>
      <c r="O34" s="52"/>
    </row>
    <row r="35">
      <c r="A35" s="15"/>
      <c r="B35" s="75"/>
      <c r="I35" s="75"/>
      <c r="O35" s="52"/>
    </row>
    <row r="36">
      <c r="A36" s="74"/>
      <c r="O36" s="52"/>
    </row>
    <row r="37">
      <c r="A37" s="74"/>
      <c r="B37" s="44" t="s">
        <v>243</v>
      </c>
      <c r="C37" s="69"/>
      <c r="D37" s="69"/>
      <c r="E37" s="69"/>
      <c r="F37" s="69"/>
      <c r="G37" s="69"/>
      <c r="H37" s="66"/>
      <c r="I37" s="44" t="s">
        <v>244</v>
      </c>
      <c r="J37" s="69"/>
      <c r="K37" s="69"/>
      <c r="L37" s="69"/>
      <c r="M37" s="69"/>
      <c r="N37" s="69"/>
      <c r="O37" s="52"/>
    </row>
    <row r="38">
      <c r="A38" s="74"/>
      <c r="B38" s="58"/>
      <c r="G38" s="72"/>
      <c r="H38" s="66"/>
      <c r="I38" s="75"/>
      <c r="O38" s="52"/>
    </row>
    <row r="39">
      <c r="A39" s="71"/>
      <c r="B39" s="75"/>
      <c r="G39" s="66"/>
      <c r="H39" s="66"/>
      <c r="I39" s="75"/>
      <c r="O39" s="52"/>
    </row>
    <row r="40">
      <c r="A40" s="71"/>
      <c r="B40" s="75"/>
      <c r="G40" s="66"/>
      <c r="H40" s="66"/>
      <c r="I40" s="75"/>
      <c r="O40" s="52"/>
    </row>
    <row r="41" ht="12.75" customHeight="1">
      <c r="A41" s="71"/>
      <c r="B41" s="75"/>
      <c r="G41" s="66"/>
      <c r="H41" s="66"/>
      <c r="I41" s="75"/>
      <c r="O41" s="52"/>
    </row>
    <row r="42" ht="12.75" customHeight="1">
      <c r="A42" s="71"/>
      <c r="B42" s="75"/>
      <c r="I42" s="75"/>
      <c r="O42" s="52"/>
    </row>
    <row r="43" ht="12.75" customHeight="1">
      <c r="A43" s="74"/>
      <c r="O43" s="52"/>
    </row>
    <row r="44" ht="12.75" customHeight="1">
      <c r="A44" s="74"/>
      <c r="O44" s="52"/>
    </row>
    <row r="45" ht="12.75" customHeight="1">
      <c r="A45" s="7"/>
      <c r="B45" s="77" t="s">
        <v>250</v>
      </c>
      <c r="O45" s="4"/>
    </row>
    <row r="46" ht="12.75" customHeight="1">
      <c r="A46" s="15"/>
      <c r="B46" s="78"/>
      <c r="F46" s="79"/>
      <c r="G46" s="79"/>
      <c r="I46" s="80"/>
      <c r="J46" s="81"/>
      <c r="O46" s="52" t="str">
        <f>if(sum(O47:O70)&gt;0, sum(O47:O70), "")</f>
        <v/>
      </c>
    </row>
    <row r="47" ht="12.75" customHeight="1">
      <c r="A47" s="72"/>
      <c r="B47" s="82"/>
      <c r="C47" s="74"/>
      <c r="D47" s="74"/>
      <c r="E47" s="74"/>
      <c r="F47" s="82"/>
      <c r="G47" s="82"/>
      <c r="H47" s="82"/>
      <c r="I47" s="66"/>
      <c r="J47" s="83"/>
      <c r="K47" s="84"/>
      <c r="L47" s="72"/>
      <c r="M47" s="66"/>
      <c r="N47" s="66"/>
      <c r="O47" s="43"/>
    </row>
    <row r="48" ht="12.75" customHeight="1">
      <c r="A48" s="72"/>
      <c r="B48" s="44" t="s">
        <v>208</v>
      </c>
      <c r="C48" s="48"/>
      <c r="D48" s="48"/>
      <c r="E48" s="85"/>
      <c r="F48" s="86"/>
      <c r="G48" s="87" t="s">
        <v>280</v>
      </c>
      <c r="H48" s="66"/>
      <c r="I48" s="88" t="s">
        <v>224</v>
      </c>
      <c r="J48" s="69"/>
      <c r="K48" s="12"/>
      <c r="L48" s="89" t="s">
        <v>159</v>
      </c>
      <c r="M48" s="90" t="s">
        <v>293</v>
      </c>
      <c r="N48" s="91" t="s">
        <v>299</v>
      </c>
      <c r="O48" s="4"/>
    </row>
    <row r="49" ht="3.75" customHeight="1">
      <c r="A49" s="72"/>
      <c r="B49" s="92"/>
      <c r="C49" s="94"/>
      <c r="D49" s="94"/>
      <c r="E49" s="95"/>
      <c r="F49" s="96"/>
      <c r="G49" s="96"/>
      <c r="H49" s="66"/>
      <c r="I49" s="92"/>
      <c r="J49" s="94"/>
      <c r="K49" s="95"/>
      <c r="L49" s="97"/>
      <c r="M49" s="98"/>
      <c r="N49" s="99"/>
      <c r="O49" s="4"/>
    </row>
    <row r="50" ht="12.75" customHeight="1">
      <c r="A50" s="66"/>
      <c r="B50" s="100" t="s">
        <v>15</v>
      </c>
      <c r="C50" s="101"/>
      <c r="D50" s="101"/>
      <c r="E50" s="102"/>
      <c r="F50" s="103"/>
      <c r="G50" s="104"/>
      <c r="H50" s="66"/>
      <c r="I50" s="100" t="s">
        <v>35</v>
      </c>
      <c r="J50" s="101"/>
      <c r="K50" s="72"/>
      <c r="L50" s="105"/>
      <c r="M50" s="106"/>
      <c r="N50" s="107"/>
      <c r="O50" s="4"/>
    </row>
    <row r="51" ht="3.75" customHeight="1">
      <c r="A51" s="66"/>
      <c r="B51" s="108"/>
      <c r="C51" s="94"/>
      <c r="D51" s="94"/>
      <c r="E51" s="97"/>
      <c r="F51" s="109"/>
      <c r="G51" s="109"/>
      <c r="H51" s="66"/>
      <c r="I51" s="98"/>
      <c r="J51" s="94"/>
      <c r="K51" s="96"/>
      <c r="L51" s="110"/>
      <c r="M51" s="111"/>
      <c r="N51" s="112"/>
      <c r="O51" s="4"/>
    </row>
    <row r="52" ht="12.75" customHeight="1">
      <c r="A52" s="66"/>
      <c r="B52" s="113" t="s">
        <v>64</v>
      </c>
      <c r="C52" s="101"/>
      <c r="D52" s="101"/>
      <c r="E52" s="102"/>
      <c r="F52" s="103"/>
      <c r="G52" s="104"/>
      <c r="H52" s="66"/>
      <c r="I52" s="100" t="s">
        <v>52</v>
      </c>
      <c r="J52" s="101"/>
      <c r="K52" s="72"/>
      <c r="L52" s="114"/>
      <c r="M52" s="115"/>
      <c r="N52" s="107"/>
      <c r="O52" s="4"/>
    </row>
    <row r="53" ht="3.75" customHeight="1">
      <c r="A53" s="66"/>
      <c r="B53" s="108"/>
      <c r="C53" s="94"/>
      <c r="D53" s="94"/>
      <c r="E53" s="97"/>
      <c r="F53" s="109"/>
      <c r="G53" s="109"/>
      <c r="H53" s="66"/>
      <c r="I53" s="98"/>
      <c r="J53" s="94"/>
      <c r="K53" s="95"/>
      <c r="L53" s="110"/>
      <c r="M53" s="111"/>
      <c r="N53" s="112"/>
      <c r="O53" s="4"/>
    </row>
    <row r="54" ht="12.75" customHeight="1">
      <c r="A54" s="66"/>
      <c r="B54" s="100" t="s">
        <v>45</v>
      </c>
      <c r="C54" s="101"/>
      <c r="D54" s="101"/>
      <c r="E54" s="102"/>
      <c r="F54" s="103"/>
      <c r="G54" s="104"/>
      <c r="H54" s="66"/>
      <c r="I54" s="100" t="s">
        <v>72</v>
      </c>
      <c r="J54" s="101"/>
      <c r="K54" s="72"/>
      <c r="L54" s="114"/>
      <c r="M54" s="115"/>
      <c r="N54" s="107"/>
      <c r="O54" s="4"/>
    </row>
    <row r="55" ht="3.75" customHeight="1">
      <c r="A55" s="66"/>
      <c r="B55" s="108"/>
      <c r="C55" s="94"/>
      <c r="D55" s="94"/>
      <c r="E55" s="97"/>
      <c r="F55" s="109"/>
      <c r="G55" s="109"/>
      <c r="H55" s="66"/>
      <c r="I55" s="98"/>
      <c r="J55" s="94"/>
      <c r="K55" s="95"/>
      <c r="L55" s="110"/>
      <c r="M55" s="111"/>
      <c r="N55" s="112"/>
      <c r="O55" s="4"/>
    </row>
    <row r="56" ht="12.75" customHeight="1">
      <c r="A56" s="66"/>
      <c r="B56" s="100" t="s">
        <v>79</v>
      </c>
      <c r="C56" s="101"/>
      <c r="D56" s="101"/>
      <c r="E56" s="102"/>
      <c r="F56" s="103"/>
      <c r="G56" s="104"/>
      <c r="H56" s="66"/>
      <c r="I56" s="100" t="s">
        <v>103</v>
      </c>
      <c r="J56" s="101"/>
      <c r="K56" s="72"/>
      <c r="L56" s="105"/>
      <c r="M56" s="115"/>
      <c r="N56" s="107"/>
      <c r="O56" s="4"/>
    </row>
    <row r="57" ht="3.75" customHeight="1">
      <c r="A57" s="66"/>
      <c r="B57" s="84"/>
      <c r="C57" s="116"/>
      <c r="D57" s="116"/>
      <c r="E57" s="84"/>
      <c r="F57" s="84"/>
      <c r="G57" s="84"/>
      <c r="H57" s="66"/>
      <c r="I57" s="98"/>
      <c r="J57" s="94"/>
      <c r="K57" s="95"/>
      <c r="L57" s="110"/>
      <c r="M57" s="112"/>
      <c r="N57" s="112"/>
      <c r="O57" s="4"/>
    </row>
    <row r="58" ht="12.75" customHeight="1">
      <c r="A58" s="66"/>
      <c r="C58" s="66"/>
      <c r="D58" s="66"/>
      <c r="E58" s="66"/>
      <c r="F58" s="66"/>
      <c r="G58" s="66"/>
      <c r="H58" s="66"/>
      <c r="I58" s="100" t="s">
        <v>85</v>
      </c>
      <c r="J58" s="101"/>
      <c r="K58" s="72"/>
      <c r="L58" s="105"/>
      <c r="M58" s="107"/>
      <c r="N58" s="107"/>
      <c r="O58" s="4"/>
    </row>
    <row r="59" ht="3.75" customHeight="1">
      <c r="A59" s="66"/>
      <c r="B59" s="66"/>
      <c r="C59" s="66"/>
      <c r="D59" s="66"/>
      <c r="E59" s="66"/>
      <c r="F59" s="66"/>
      <c r="G59" s="66"/>
      <c r="H59" s="66"/>
      <c r="I59" s="98"/>
      <c r="J59" s="94"/>
      <c r="K59" s="95"/>
      <c r="L59" s="110"/>
      <c r="M59" s="112"/>
      <c r="N59" s="112"/>
      <c r="O59" s="4"/>
    </row>
    <row r="60" ht="18.75" customHeight="1">
      <c r="A60" s="66"/>
      <c r="B60" s="44"/>
      <c r="C60" s="117"/>
      <c r="D60" s="117"/>
      <c r="E60" s="117"/>
      <c r="F60" s="70"/>
      <c r="G60" s="70"/>
      <c r="H60" s="66"/>
      <c r="I60" s="100" t="s">
        <v>90</v>
      </c>
      <c r="J60" s="67"/>
      <c r="K60" s="118"/>
      <c r="L60" s="105"/>
      <c r="M60" s="107"/>
      <c r="N60" s="107"/>
      <c r="O60" s="4"/>
    </row>
    <row r="61" ht="3.75" customHeight="1">
      <c r="A61" s="66"/>
      <c r="B61" s="119"/>
      <c r="C61" s="66"/>
      <c r="D61" s="66"/>
      <c r="E61" s="84"/>
      <c r="F61" s="72"/>
      <c r="G61" s="72"/>
      <c r="H61" s="66"/>
      <c r="I61" s="98"/>
      <c r="J61" s="96"/>
      <c r="K61" s="96"/>
      <c r="L61" s="120"/>
      <c r="M61" s="112"/>
      <c r="N61" s="112"/>
      <c r="O61" s="4"/>
    </row>
    <row r="62" ht="18.75" customHeight="1">
      <c r="A62" s="121"/>
      <c r="B62" s="119"/>
      <c r="C62" s="68"/>
      <c r="D62" s="68"/>
      <c r="E62" s="122"/>
      <c r="F62" s="123"/>
      <c r="G62" s="123"/>
      <c r="H62" s="66"/>
      <c r="I62" s="100" t="s">
        <v>98</v>
      </c>
      <c r="J62" s="66"/>
      <c r="K62" s="66"/>
      <c r="L62" s="124"/>
      <c r="M62" s="107"/>
      <c r="N62" s="107"/>
      <c r="O62" s="4"/>
    </row>
    <row r="63" ht="3.75" customHeight="1">
      <c r="A63" s="125"/>
      <c r="B63" s="119"/>
      <c r="C63" s="68"/>
      <c r="D63" s="68"/>
      <c r="E63" s="122"/>
      <c r="F63" s="123"/>
      <c r="G63" s="123"/>
      <c r="H63" s="66"/>
      <c r="I63" s="98"/>
      <c r="J63" s="96"/>
      <c r="K63" s="96"/>
      <c r="L63" s="120"/>
      <c r="M63" s="112"/>
      <c r="N63" s="112"/>
      <c r="O63" s="4"/>
    </row>
    <row r="64" ht="18.75" customHeight="1">
      <c r="A64" s="82"/>
      <c r="B64" s="119"/>
      <c r="C64" s="68"/>
      <c r="D64" s="68"/>
      <c r="E64" s="122"/>
      <c r="F64" s="68"/>
      <c r="G64" s="68"/>
      <c r="H64" s="66"/>
      <c r="I64" s="100" t="s">
        <v>110</v>
      </c>
      <c r="J64" s="66"/>
      <c r="K64" s="66"/>
      <c r="L64" s="124"/>
      <c r="M64" s="107"/>
      <c r="N64" s="107"/>
      <c r="O64" s="4"/>
    </row>
    <row r="65" ht="3.75" customHeight="1">
      <c r="A65" s="74"/>
      <c r="B65" s="119"/>
      <c r="C65" s="68"/>
      <c r="D65" s="68"/>
      <c r="E65" s="122"/>
      <c r="F65" s="123"/>
      <c r="G65" s="123"/>
      <c r="H65" s="66"/>
      <c r="I65" s="126"/>
      <c r="J65" s="96"/>
      <c r="K65" s="96"/>
      <c r="L65" s="120"/>
      <c r="M65" s="112"/>
      <c r="N65" s="112"/>
      <c r="O65" s="4"/>
    </row>
    <row r="66">
      <c r="B66" s="119"/>
      <c r="C66" s="64"/>
      <c r="D66" s="64"/>
      <c r="E66" s="64"/>
      <c r="F66" s="64"/>
      <c r="G66" s="64"/>
      <c r="I66" s="100" t="s">
        <v>147</v>
      </c>
      <c r="L66" s="127"/>
      <c r="M66" s="115"/>
      <c r="N66" s="115"/>
      <c r="O66" s="4"/>
    </row>
    <row r="67" ht="3.75" customHeight="1">
      <c r="A67" s="74"/>
      <c r="B67" s="119"/>
      <c r="C67" s="68"/>
      <c r="D67" s="68"/>
      <c r="E67" s="122"/>
      <c r="F67" s="123"/>
      <c r="G67" s="123"/>
      <c r="H67" s="66"/>
      <c r="I67" s="126"/>
      <c r="J67" s="96"/>
      <c r="K67" s="96"/>
      <c r="L67" s="120"/>
      <c r="M67" s="112"/>
      <c r="N67" s="112"/>
      <c r="O67" s="4"/>
    </row>
    <row r="68" ht="18.75" customHeight="1">
      <c r="A68" s="15"/>
      <c r="B68" s="73"/>
      <c r="C68" s="68"/>
      <c r="D68" s="68"/>
      <c r="E68" s="123"/>
      <c r="F68" s="68"/>
      <c r="G68" s="68"/>
      <c r="H68" s="66"/>
      <c r="I68" s="100" t="s">
        <v>118</v>
      </c>
      <c r="J68" s="66"/>
      <c r="K68" s="66"/>
      <c r="L68" s="124"/>
      <c r="M68" s="107"/>
      <c r="N68" s="107"/>
      <c r="O68" s="4"/>
    </row>
    <row r="69" ht="3.75" customHeight="1">
      <c r="A69" s="74"/>
      <c r="B69" s="119"/>
      <c r="C69" s="68"/>
      <c r="D69" s="68"/>
      <c r="E69" s="122"/>
      <c r="F69" s="123"/>
      <c r="G69" s="123"/>
      <c r="H69" s="66"/>
      <c r="I69" s="126"/>
      <c r="J69" s="96"/>
      <c r="K69" s="96"/>
      <c r="L69" s="120"/>
      <c r="M69" s="112"/>
      <c r="N69" s="112"/>
      <c r="O69" s="4"/>
    </row>
    <row r="70" ht="18.75" customHeight="1">
      <c r="A70" s="71"/>
      <c r="B70" s="128"/>
      <c r="C70" s="64"/>
      <c r="D70" s="64"/>
      <c r="E70" s="64"/>
      <c r="F70" s="64"/>
      <c r="G70" s="64"/>
      <c r="H70" s="72"/>
      <c r="I70" s="100" t="s">
        <v>124</v>
      </c>
      <c r="L70" s="127"/>
      <c r="M70" s="115"/>
      <c r="N70" s="115"/>
      <c r="O70" s="4"/>
    </row>
    <row r="71" ht="3.75" customHeight="1">
      <c r="A71" s="74"/>
      <c r="O71" s="4"/>
    </row>
    <row r="72" ht="13.5" customHeight="1">
      <c r="A72" s="74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52"/>
    </row>
    <row r="73" ht="12.75" customHeight="1">
      <c r="A73" s="71"/>
      <c r="B73" s="44" t="s">
        <v>518</v>
      </c>
      <c r="C73" s="117"/>
      <c r="D73" s="117"/>
      <c r="E73" s="129"/>
      <c r="F73" s="129"/>
      <c r="G73" s="129" t="s">
        <v>522</v>
      </c>
      <c r="H73" s="129"/>
      <c r="I73" s="129"/>
      <c r="J73" s="117"/>
      <c r="K73" s="130"/>
      <c r="L73" s="130"/>
      <c r="M73" s="130" t="s">
        <v>526</v>
      </c>
      <c r="N73" s="117"/>
      <c r="O73" s="52"/>
    </row>
    <row r="74" ht="12.75" customHeight="1">
      <c r="A74" s="74"/>
      <c r="B74" s="131" t="s">
        <v>528</v>
      </c>
      <c r="D74" s="132"/>
      <c r="E74" s="6" t="s">
        <v>532</v>
      </c>
      <c r="G74" s="6" t="s">
        <v>534</v>
      </c>
      <c r="H74" s="6"/>
      <c r="I74" s="6" t="s">
        <v>535</v>
      </c>
      <c r="J74" s="6"/>
      <c r="K74" s="6" t="s">
        <v>537</v>
      </c>
      <c r="L74" s="66"/>
      <c r="M74" s="133" t="s">
        <v>538</v>
      </c>
      <c r="O74" s="52"/>
    </row>
    <row r="75" ht="12.0" customHeight="1">
      <c r="A75" s="71"/>
      <c r="B75" s="134"/>
      <c r="C75" s="135"/>
      <c r="D75" s="136"/>
      <c r="E75" s="137"/>
      <c r="F75" s="66"/>
      <c r="G75" s="137"/>
      <c r="H75" s="66"/>
      <c r="I75" s="137"/>
      <c r="J75" s="71"/>
      <c r="K75" s="137"/>
      <c r="L75" s="71"/>
      <c r="M75" s="66"/>
      <c r="N75" s="137" t="s">
        <v>539</v>
      </c>
      <c r="O75" s="52"/>
    </row>
    <row r="76" ht="18.75" customHeight="1">
      <c r="A76" s="71"/>
      <c r="B76" s="134" t="s">
        <v>540</v>
      </c>
      <c r="D76" s="136">
        <v>1.0</v>
      </c>
      <c r="E76" s="138"/>
      <c r="F76" s="71"/>
      <c r="G76" s="138"/>
      <c r="H76" s="66"/>
      <c r="I76" s="138"/>
      <c r="J76" s="71"/>
      <c r="K76" s="138"/>
      <c r="L76" s="71"/>
      <c r="M76" s="66"/>
      <c r="O76" s="52"/>
    </row>
    <row r="77" ht="7.5" customHeight="1">
      <c r="A77" s="71"/>
      <c r="B77" s="128"/>
      <c r="E77" s="71"/>
      <c r="F77" s="139"/>
      <c r="G77" s="66"/>
      <c r="H77" s="140"/>
      <c r="I77" s="66"/>
      <c r="J77" s="139"/>
      <c r="K77" s="71"/>
      <c r="L77" s="139"/>
      <c r="M77" s="66"/>
      <c r="N77" s="66"/>
      <c r="O77" s="52"/>
    </row>
    <row r="78" ht="3.75" customHeight="1">
      <c r="A78" s="84"/>
      <c r="B78" s="141"/>
      <c r="C78" s="142"/>
      <c r="D78" s="109"/>
      <c r="E78" s="143"/>
      <c r="F78" s="143"/>
      <c r="G78" s="96"/>
      <c r="H78" s="96"/>
      <c r="I78" s="96"/>
      <c r="J78" s="143"/>
      <c r="K78" s="143"/>
      <c r="L78" s="143"/>
      <c r="M78" s="96"/>
      <c r="N78" s="96"/>
      <c r="O78" s="52"/>
    </row>
    <row r="79" ht="18.75" customHeight="1">
      <c r="A79" s="84"/>
      <c r="B79" s="144" t="s">
        <v>543</v>
      </c>
      <c r="D79" s="136">
        <v>2.0</v>
      </c>
      <c r="E79" s="138"/>
      <c r="F79" s="71"/>
      <c r="G79" s="138"/>
      <c r="H79" s="66"/>
      <c r="I79" s="138"/>
      <c r="J79" s="71"/>
      <c r="K79" s="138"/>
      <c r="L79" s="71"/>
      <c r="M79" s="66"/>
      <c r="N79" s="66"/>
      <c r="O79" s="52"/>
    </row>
    <row r="80" ht="7.5" customHeight="1">
      <c r="A80" s="84"/>
      <c r="B80" s="128"/>
      <c r="E80" s="71"/>
      <c r="F80" s="139"/>
      <c r="G80" s="82"/>
      <c r="H80" s="140"/>
      <c r="I80" s="66"/>
      <c r="J80" s="139"/>
      <c r="K80" s="71"/>
      <c r="L80" s="139"/>
      <c r="M80" s="66"/>
      <c r="N80" s="66"/>
      <c r="O80" s="52"/>
    </row>
    <row r="81" ht="3.75" customHeight="1">
      <c r="A81" s="84"/>
      <c r="B81" s="141"/>
      <c r="C81" s="142"/>
      <c r="D81" s="109"/>
      <c r="E81" s="143"/>
      <c r="F81" s="143"/>
      <c r="G81" s="145"/>
      <c r="H81" s="145"/>
      <c r="I81" s="145"/>
      <c r="J81" s="143"/>
      <c r="K81" s="143"/>
      <c r="L81" s="143"/>
      <c r="M81" s="96"/>
      <c r="N81" s="96"/>
      <c r="O81" s="52"/>
    </row>
    <row r="82" ht="18.75" customHeight="1">
      <c r="A82" s="84"/>
      <c r="B82" s="134" t="s">
        <v>551</v>
      </c>
      <c r="D82" s="136">
        <v>3.0</v>
      </c>
      <c r="E82" s="138"/>
      <c r="G82" s="138"/>
      <c r="I82" s="138"/>
      <c r="K82" s="138"/>
      <c r="M82" s="66"/>
      <c r="N82" s="66"/>
      <c r="O82" s="52"/>
    </row>
    <row r="83" ht="7.5" customHeight="1">
      <c r="A83" s="84"/>
      <c r="B83" s="128"/>
      <c r="E83" s="71"/>
      <c r="F83" s="139"/>
      <c r="G83" s="66"/>
      <c r="H83" s="140"/>
      <c r="I83" s="66"/>
      <c r="J83" s="139"/>
      <c r="K83" s="71"/>
      <c r="L83" s="139"/>
      <c r="M83" s="66"/>
      <c r="N83" s="66"/>
      <c r="O83" s="52"/>
    </row>
    <row r="84" ht="3.75" customHeight="1">
      <c r="A84" s="146"/>
      <c r="B84" s="141"/>
      <c r="C84" s="142"/>
      <c r="D84" s="109"/>
      <c r="E84" s="143"/>
      <c r="F84" s="143"/>
      <c r="G84" s="143"/>
      <c r="H84" s="143"/>
      <c r="I84" s="143"/>
      <c r="J84" s="143"/>
      <c r="K84" s="143"/>
      <c r="L84" s="143"/>
      <c r="M84" s="96"/>
      <c r="N84" s="96"/>
      <c r="O84" s="52"/>
    </row>
    <row r="85" ht="18.75" customHeight="1">
      <c r="A85" s="84"/>
      <c r="B85" s="134" t="s">
        <v>559</v>
      </c>
      <c r="D85" s="136">
        <v>4.0</v>
      </c>
      <c r="E85" s="138"/>
      <c r="G85" s="138"/>
      <c r="I85" s="138"/>
      <c r="K85" s="138"/>
      <c r="M85" s="66"/>
      <c r="N85" s="66"/>
      <c r="O85" s="52"/>
    </row>
    <row r="86" ht="7.5" customHeight="1">
      <c r="A86" s="84"/>
      <c r="B86" s="128"/>
      <c r="E86" s="66"/>
      <c r="F86" s="140"/>
      <c r="G86" s="66"/>
      <c r="H86" s="140"/>
      <c r="I86" s="66"/>
      <c r="J86" s="140"/>
      <c r="K86" s="66"/>
      <c r="L86" s="140"/>
      <c r="M86" s="66"/>
      <c r="N86" s="66"/>
      <c r="O86" s="52"/>
    </row>
    <row r="87" ht="3.75" customHeight="1">
      <c r="A87" s="147"/>
      <c r="B87" s="141"/>
      <c r="C87" s="142"/>
      <c r="D87" s="109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52"/>
    </row>
    <row r="88" ht="18.75" customHeight="1">
      <c r="A88" s="147"/>
      <c r="B88" s="144" t="s">
        <v>567</v>
      </c>
      <c r="D88" s="148">
        <v>5.0</v>
      </c>
      <c r="E88" s="138"/>
      <c r="G88" s="138"/>
      <c r="I88" s="138"/>
      <c r="K88" s="138"/>
      <c r="M88" s="72"/>
      <c r="N88" s="101"/>
      <c r="O88" s="52"/>
    </row>
    <row r="89" ht="7.5" customHeight="1">
      <c r="A89" s="147"/>
      <c r="B89" s="128"/>
      <c r="E89" s="72"/>
      <c r="F89" s="149" t="s">
        <v>568</v>
      </c>
      <c r="G89" s="66"/>
      <c r="H89" s="140"/>
      <c r="I89" s="66"/>
      <c r="J89" s="140"/>
      <c r="K89" s="66"/>
      <c r="L89" s="149" t="s">
        <v>568</v>
      </c>
      <c r="M89" s="72"/>
      <c r="N89" s="101"/>
      <c r="O89" s="52"/>
    </row>
    <row r="90" ht="3.75" customHeight="1">
      <c r="A90" s="147"/>
      <c r="B90" s="141"/>
      <c r="C90" s="142"/>
      <c r="D90" s="109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52"/>
    </row>
    <row r="91" ht="18.75" customHeight="1">
      <c r="A91" s="147"/>
      <c r="B91" s="134" t="s">
        <v>569</v>
      </c>
      <c r="D91" s="148">
        <v>6.0</v>
      </c>
      <c r="E91" s="138"/>
      <c r="F91" s="71"/>
      <c r="G91" s="138"/>
      <c r="H91" s="66"/>
      <c r="I91" s="138"/>
      <c r="J91" s="71"/>
      <c r="K91" s="138"/>
      <c r="L91" s="71"/>
      <c r="M91" s="71"/>
      <c r="N91" s="71"/>
      <c r="O91" s="52"/>
    </row>
    <row r="92" ht="7.5" customHeight="1">
      <c r="A92" s="147"/>
      <c r="B92" s="128"/>
      <c r="E92" s="150"/>
      <c r="F92" s="149" t="s">
        <v>568</v>
      </c>
      <c r="G92" s="151"/>
      <c r="H92" s="140"/>
      <c r="I92" s="66"/>
      <c r="J92" s="140"/>
      <c r="K92" s="66"/>
      <c r="L92" s="149" t="s">
        <v>568</v>
      </c>
      <c r="M92" s="72"/>
      <c r="N92" s="101"/>
      <c r="O92" s="52"/>
    </row>
    <row r="93" ht="12.75" customHeight="1">
      <c r="A93" s="147"/>
      <c r="B93" s="71"/>
      <c r="C93" s="66"/>
      <c r="D93" s="66"/>
      <c r="E93" s="151"/>
      <c r="F93" s="71"/>
      <c r="G93" s="71"/>
      <c r="H93" s="84"/>
      <c r="I93" s="84"/>
      <c r="J93" s="150"/>
      <c r="K93" s="150"/>
      <c r="L93" s="72"/>
      <c r="M93" s="72"/>
      <c r="N93" s="101"/>
      <c r="O93" s="52"/>
    </row>
    <row r="94" ht="12.75" customHeight="1">
      <c r="A94" s="147"/>
      <c r="B94" s="152" t="s">
        <v>570</v>
      </c>
      <c r="C94" s="153"/>
      <c r="D94" s="154"/>
      <c r="E94" s="155" t="s">
        <v>571</v>
      </c>
      <c r="F94" s="74"/>
      <c r="G94" s="156" t="s">
        <v>572</v>
      </c>
      <c r="H94" s="153"/>
      <c r="I94" s="12"/>
      <c r="K94" s="156" t="s">
        <v>573</v>
      </c>
      <c r="L94" s="153"/>
      <c r="M94" s="12"/>
      <c r="N94" s="12"/>
      <c r="O94" s="52"/>
    </row>
    <row r="95" ht="12.75" customHeight="1">
      <c r="A95" s="147"/>
      <c r="B95" s="128"/>
      <c r="C95" s="101"/>
      <c r="F95" s="71"/>
      <c r="G95" s="157" t="s">
        <v>574</v>
      </c>
      <c r="H95" s="158"/>
      <c r="I95" s="13"/>
      <c r="K95" s="157" t="s">
        <v>574</v>
      </c>
      <c r="L95" s="158"/>
      <c r="M95" s="13"/>
      <c r="O95" s="52"/>
    </row>
    <row r="96" ht="12.75" customHeight="1">
      <c r="A96" s="147"/>
      <c r="B96" s="128"/>
      <c r="C96" s="101"/>
      <c r="G96" s="157" t="s">
        <v>575</v>
      </c>
      <c r="H96" s="158"/>
      <c r="I96" s="27"/>
      <c r="K96" s="157" t="s">
        <v>575</v>
      </c>
      <c r="L96" s="158"/>
      <c r="M96" s="27"/>
      <c r="O96" s="52"/>
    </row>
    <row r="97" ht="12.75" customHeight="1">
      <c r="A97" s="147"/>
      <c r="B97" s="128"/>
      <c r="C97" s="101"/>
      <c r="F97" s="66"/>
      <c r="G97" s="73"/>
      <c r="H97" s="158"/>
      <c r="I97" s="27"/>
      <c r="K97" s="73"/>
      <c r="L97" s="158"/>
      <c r="M97" s="27"/>
      <c r="O97" s="52"/>
    </row>
    <row r="98" ht="12.75" customHeight="1">
      <c r="A98" s="147"/>
      <c r="B98" s="128"/>
      <c r="C98" s="101"/>
      <c r="F98" s="66"/>
      <c r="G98" s="73"/>
      <c r="H98" s="66"/>
      <c r="I98" s="27"/>
      <c r="J98" s="159"/>
      <c r="K98" s="73"/>
      <c r="L98" s="66"/>
      <c r="M98" s="27"/>
      <c r="N98" s="159"/>
      <c r="O98" s="52"/>
    </row>
    <row r="99" ht="12.75" customHeight="1">
      <c r="A99" s="160"/>
      <c r="B99" s="128"/>
      <c r="F99" s="66"/>
      <c r="G99" s="73"/>
      <c r="I99" s="27"/>
      <c r="K99" s="73"/>
      <c r="M99" s="27"/>
      <c r="O99" s="52"/>
    </row>
    <row r="100" ht="12.75" customHeight="1">
      <c r="A100" s="21"/>
      <c r="F100" s="66"/>
      <c r="O100" s="52"/>
    </row>
    <row r="101" ht="12.75" customHeight="1">
      <c r="B101" s="8" t="s">
        <v>576</v>
      </c>
      <c r="C101" s="12"/>
      <c r="D101" s="12"/>
      <c r="E101" s="12"/>
      <c r="F101" s="66"/>
      <c r="O101" s="52"/>
    </row>
    <row r="102" ht="12.75" customHeight="1">
      <c r="A102" s="11"/>
      <c r="B102" s="161"/>
      <c r="F102" s="66"/>
      <c r="G102" s="31"/>
      <c r="H102" s="5"/>
      <c r="J102" s="5"/>
      <c r="O102" s="52"/>
    </row>
    <row r="103" ht="12.75" customHeight="1">
      <c r="A103" s="5"/>
      <c r="O103" s="52"/>
    </row>
    <row r="104" ht="12.75" customHeight="1">
      <c r="A104" s="5"/>
      <c r="B104" s="162"/>
      <c r="O104" s="52"/>
    </row>
    <row r="105" ht="12.75" customHeight="1">
      <c r="A105" s="5"/>
      <c r="C105" s="163" t="s">
        <v>577</v>
      </c>
      <c r="O105" s="52"/>
    </row>
    <row r="106" ht="12.75" customHeight="1">
      <c r="A106" s="5"/>
      <c r="I106" s="2"/>
      <c r="N106" s="2" t="s">
        <v>580</v>
      </c>
      <c r="O106" s="52" t="str">
        <f>if(sum(N107:N145)&gt;0, sum(N107:N145), "")</f>
        <v/>
      </c>
    </row>
    <row r="107" ht="12.75" customHeight="1">
      <c r="A107" s="5"/>
      <c r="N107" s="127"/>
      <c r="O107" s="52"/>
    </row>
    <row r="108" ht="12.75" customHeight="1">
      <c r="A108" s="5"/>
      <c r="M108" s="7"/>
      <c r="N108" s="164"/>
      <c r="O108" s="165"/>
    </row>
    <row r="109" ht="12.75" customHeight="1">
      <c r="A109" s="7"/>
      <c r="M109" s="7"/>
      <c r="N109" s="165"/>
      <c r="O109" s="165"/>
    </row>
    <row r="110" ht="12.75" customHeight="1">
      <c r="A110" s="7"/>
      <c r="M110" s="7"/>
      <c r="N110" s="165"/>
      <c r="O110" s="165"/>
    </row>
    <row r="111" ht="12.75" customHeight="1">
      <c r="A111" s="7"/>
      <c r="M111" s="7"/>
      <c r="N111" s="165"/>
      <c r="O111" s="165"/>
    </row>
    <row r="112" ht="12.75" customHeight="1">
      <c r="A112" s="7"/>
      <c r="M112" s="7"/>
      <c r="N112" s="165"/>
      <c r="O112" s="165"/>
    </row>
    <row r="113" ht="12.75" customHeight="1">
      <c r="A113" s="7"/>
      <c r="M113" s="7"/>
      <c r="N113" s="165"/>
      <c r="O113" s="165"/>
    </row>
    <row r="114" ht="12.75" customHeight="1">
      <c r="A114" s="7"/>
      <c r="M114" s="7"/>
      <c r="N114" s="165"/>
      <c r="O114" s="165"/>
    </row>
    <row r="115" ht="12.75" customHeight="1">
      <c r="A115" s="7"/>
      <c r="M115" s="7"/>
      <c r="N115" s="165"/>
      <c r="O115" s="165"/>
    </row>
    <row r="116" ht="12.75" customHeight="1">
      <c r="A116" s="7"/>
      <c r="M116" s="7"/>
      <c r="N116" s="165"/>
      <c r="O116" s="165"/>
    </row>
    <row r="117" ht="12.75" customHeight="1">
      <c r="A117" s="7"/>
      <c r="L117" s="7"/>
      <c r="M117" s="7"/>
      <c r="N117" s="165"/>
      <c r="O117" s="165"/>
    </row>
    <row r="118" ht="12.75" customHeight="1">
      <c r="A118" s="7"/>
      <c r="L118" s="7"/>
      <c r="M118" s="7"/>
      <c r="N118" s="165"/>
      <c r="O118" s="165"/>
    </row>
    <row r="119" ht="12.75" customHeight="1">
      <c r="A119" s="7"/>
      <c r="L119" s="7"/>
      <c r="M119" s="7"/>
      <c r="N119" s="165"/>
      <c r="O119" s="165"/>
    </row>
    <row r="120" ht="12.75" customHeight="1">
      <c r="A120" s="7"/>
      <c r="N120" s="165"/>
      <c r="O120" s="165"/>
    </row>
    <row r="121" ht="12.75" customHeight="1">
      <c r="A121" s="31"/>
      <c r="N121" s="165"/>
      <c r="O121" s="165"/>
    </row>
    <row r="122" ht="12.75" customHeight="1">
      <c r="N122" s="165"/>
      <c r="O122" s="165"/>
    </row>
    <row r="123" ht="12.75" customHeight="1">
      <c r="A123" s="162"/>
      <c r="N123" s="165"/>
      <c r="O123" s="165"/>
    </row>
    <row r="124" ht="12.75" customHeight="1">
      <c r="A124" s="166"/>
      <c r="N124" s="165"/>
      <c r="O124" s="165"/>
    </row>
    <row r="125" ht="12.75" customHeight="1">
      <c r="N125" s="165"/>
      <c r="O125" s="165"/>
    </row>
    <row r="126" ht="12.75" customHeight="1">
      <c r="A126" s="167"/>
      <c r="N126" s="165"/>
      <c r="O126" s="165"/>
    </row>
    <row r="127" ht="12.75" customHeight="1">
      <c r="A127" s="168"/>
      <c r="C127" s="163"/>
      <c r="N127" s="165"/>
      <c r="O127" s="165"/>
    </row>
    <row r="128" ht="12.75" customHeight="1">
      <c r="A128" s="168"/>
      <c r="N128" s="165"/>
      <c r="O128" s="165"/>
    </row>
    <row r="129" ht="12.75" customHeight="1">
      <c r="A129" s="168"/>
      <c r="N129" s="165"/>
      <c r="O129" s="165"/>
    </row>
    <row r="130" ht="12.75" customHeight="1">
      <c r="A130" s="168"/>
      <c r="N130" s="165"/>
      <c r="O130" s="165"/>
    </row>
    <row r="131" ht="12.75" customHeight="1">
      <c r="A131" s="168"/>
      <c r="N131" s="165"/>
      <c r="O131" s="165"/>
    </row>
    <row r="132" ht="12.75" customHeight="1">
      <c r="A132" s="168"/>
      <c r="N132" s="165"/>
      <c r="O132" s="165"/>
    </row>
    <row r="133" ht="12.75" customHeight="1">
      <c r="A133" s="169"/>
      <c r="N133" s="165"/>
      <c r="O133" s="165"/>
    </row>
    <row r="134" ht="12.75" customHeight="1">
      <c r="N134" s="165"/>
      <c r="O134" s="165"/>
    </row>
    <row r="135" ht="12.75" customHeight="1">
      <c r="A135" s="170"/>
      <c r="N135" s="165"/>
      <c r="O135" s="165"/>
    </row>
    <row r="136" ht="12.75" customHeight="1">
      <c r="N136" s="165"/>
      <c r="O136" s="165"/>
    </row>
    <row r="137" ht="12.75" customHeight="1">
      <c r="N137" s="165"/>
      <c r="O137" s="165"/>
    </row>
    <row r="138" ht="12.75" customHeight="1">
      <c r="N138" s="165"/>
      <c r="O138" s="165"/>
    </row>
    <row r="139" ht="12.75" customHeight="1">
      <c r="E139" s="21"/>
      <c r="F139" s="21"/>
      <c r="G139" s="21"/>
      <c r="H139" s="7"/>
      <c r="I139" s="7"/>
      <c r="J139" s="31"/>
      <c r="K139" s="31"/>
      <c r="L139" s="7"/>
      <c r="M139" s="7"/>
      <c r="N139" s="165"/>
      <c r="O139" s="165"/>
    </row>
    <row r="140" ht="12.75" customHeight="1">
      <c r="A140" s="169"/>
      <c r="B140" s="169"/>
      <c r="C140" s="169"/>
      <c r="D140" s="169"/>
      <c r="E140" s="169"/>
      <c r="F140" s="169"/>
      <c r="G140" s="169"/>
      <c r="H140" s="5"/>
      <c r="I140" s="5"/>
      <c r="J140" s="31"/>
      <c r="K140" s="31"/>
      <c r="L140" s="7"/>
      <c r="M140" s="7"/>
      <c r="N140" s="165"/>
      <c r="O140" s="165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65"/>
      <c r="O141" s="165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65"/>
      <c r="O142" s="165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65"/>
      <c r="O143" s="165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65"/>
      <c r="O144" s="165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65"/>
      <c r="O145" s="165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65"/>
      <c r="O146" s="165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65"/>
      <c r="O147" s="165"/>
    </row>
    <row r="148" ht="12.75" customHeight="1">
      <c r="A148" s="7"/>
      <c r="B148" s="7"/>
      <c r="C148" s="163"/>
      <c r="G148" s="7"/>
      <c r="H148" s="7"/>
      <c r="I148" s="7"/>
      <c r="J148" s="7"/>
      <c r="K148" s="7"/>
      <c r="L148" s="7"/>
      <c r="M148" s="7"/>
      <c r="N148" s="165"/>
      <c r="O148" s="165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65"/>
      <c r="O149" s="165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65"/>
      <c r="O150" s="165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65"/>
      <c r="O151" s="165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65"/>
      <c r="O152" s="165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65"/>
      <c r="O153" s="165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65"/>
      <c r="O154" s="165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65"/>
      <c r="O155" s="165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65"/>
      <c r="O156" s="165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65"/>
      <c r="O157" s="165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65"/>
      <c r="O158" s="165"/>
    </row>
    <row r="159" ht="12.75" customHeight="1">
      <c r="A159" s="7"/>
      <c r="B159" s="7"/>
      <c r="C159" s="163" t="s">
        <v>707</v>
      </c>
      <c r="I159" s="2"/>
      <c r="J159" s="7"/>
      <c r="K159" s="7"/>
      <c r="L159" s="7"/>
      <c r="M159" s="7"/>
      <c r="N159" s="173" t="s">
        <v>580</v>
      </c>
      <c r="O159" s="165" t="str">
        <f>if(sum(N160:N204)&gt;0, sum(N160:N204), "")</f>
        <v/>
      </c>
    </row>
    <row r="160" ht="12.75" customHeight="1">
      <c r="A160" s="7"/>
      <c r="B160" s="7"/>
      <c r="C160" s="7"/>
      <c r="D160" s="7"/>
      <c r="E160" s="7"/>
      <c r="F160" s="7"/>
      <c r="H160" s="7"/>
      <c r="I160" s="7"/>
      <c r="J160" s="7"/>
      <c r="K160" s="7"/>
      <c r="L160" s="7"/>
      <c r="M160" s="7"/>
      <c r="N160" s="165"/>
      <c r="O160" s="165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65"/>
      <c r="O161" s="165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65"/>
      <c r="O162" s="165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65"/>
      <c r="O163" s="165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65"/>
      <c r="O164" s="165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65"/>
      <c r="O165" s="165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65"/>
      <c r="O166" s="165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65"/>
      <c r="O167" s="165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65"/>
      <c r="O168" s="165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65"/>
      <c r="O169" s="165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65"/>
      <c r="O170" s="165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65"/>
      <c r="O171" s="165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65"/>
      <c r="O172" s="165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65"/>
      <c r="O173" s="165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65"/>
      <c r="O174" s="165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65"/>
      <c r="O175" s="165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65"/>
      <c r="O176" s="165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65"/>
      <c r="O177" s="165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65"/>
      <c r="O178" s="165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65"/>
      <c r="O179" s="165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65"/>
      <c r="O180" s="165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65"/>
      <c r="O181" s="165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65"/>
      <c r="O182" s="165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65"/>
      <c r="O183" s="165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65"/>
      <c r="O184" s="165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65"/>
      <c r="O185" s="165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65"/>
      <c r="O186" s="165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65"/>
      <c r="O187" s="165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65"/>
      <c r="O188" s="165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65"/>
      <c r="O189" s="165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65"/>
      <c r="O190" s="165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65"/>
      <c r="O191" s="165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65"/>
      <c r="O192" s="165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65"/>
      <c r="O193" s="165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65"/>
      <c r="O194" s="165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65"/>
      <c r="O195" s="165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65"/>
      <c r="O196" s="165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65"/>
      <c r="O197" s="165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65"/>
      <c r="O198" s="165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65"/>
      <c r="O199" s="165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65"/>
      <c r="O200" s="165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65"/>
      <c r="O201" s="165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65"/>
      <c r="O202" s="165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65"/>
      <c r="O203" s="165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65"/>
      <c r="O204" s="165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65"/>
      <c r="O205" s="165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65"/>
      <c r="O206" s="165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65"/>
      <c r="O207" s="165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65"/>
      <c r="O208" s="165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65"/>
      <c r="O209" s="165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65"/>
      <c r="O210" s="165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65"/>
      <c r="O211" s="165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65"/>
      <c r="O212" s="165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65"/>
      <c r="O213" s="165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65"/>
      <c r="O214" s="165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65"/>
      <c r="O215" s="165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65"/>
      <c r="O216" s="165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65"/>
      <c r="O217" s="165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58"/>
      <c r="O218" s="165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58"/>
      <c r="O219" s="165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58"/>
      <c r="O220" s="165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58"/>
      <c r="O221" s="165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58"/>
      <c r="O222" s="165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58"/>
      <c r="O223" s="165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58"/>
      <c r="O224" s="165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58"/>
      <c r="O225" s="165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58"/>
      <c r="O226" s="165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58"/>
      <c r="O227" s="165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58"/>
      <c r="O228" s="165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58"/>
      <c r="O229" s="165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58"/>
      <c r="O230" s="165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58"/>
      <c r="O231" s="165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58"/>
      <c r="O232" s="165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58"/>
      <c r="O233" s="165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58"/>
      <c r="O234" s="165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58"/>
      <c r="O235" s="165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58"/>
      <c r="O236" s="165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58"/>
      <c r="O237" s="165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58"/>
      <c r="O238" s="165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58"/>
      <c r="O239" s="165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58"/>
      <c r="O240" s="165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58"/>
      <c r="O241" s="165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58"/>
      <c r="O242" s="165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58"/>
      <c r="O243" s="165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58"/>
      <c r="O244" s="165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58"/>
      <c r="O245" s="165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58"/>
      <c r="O246" s="165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58"/>
      <c r="O247" s="165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58"/>
      <c r="O248" s="165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58"/>
      <c r="O249" s="165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58"/>
      <c r="O250" s="165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58"/>
      <c r="O251" s="165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58"/>
      <c r="O252" s="165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58"/>
      <c r="O253" s="165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58"/>
      <c r="O254" s="165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58"/>
      <c r="O255" s="165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58"/>
      <c r="O256" s="165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58"/>
      <c r="O257" s="165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58"/>
      <c r="O258" s="165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58"/>
      <c r="O259" s="165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58"/>
      <c r="O260" s="165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58"/>
      <c r="O261" s="165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58"/>
      <c r="O262" s="165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58"/>
      <c r="O263" s="165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58"/>
      <c r="O264" s="165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58"/>
      <c r="O265" s="165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58"/>
      <c r="O266" s="165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58"/>
      <c r="O267" s="165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58"/>
      <c r="O268" s="165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58"/>
      <c r="O269" s="165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58"/>
      <c r="O270" s="165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58"/>
      <c r="O271" s="165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58"/>
      <c r="O272" s="165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58"/>
      <c r="O273" s="165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58"/>
      <c r="O274" s="165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58"/>
      <c r="O275" s="165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58"/>
      <c r="O276" s="165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58"/>
      <c r="O277" s="165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58"/>
      <c r="O278" s="165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58"/>
      <c r="O279" s="165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58"/>
      <c r="O280" s="165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58"/>
      <c r="O281" s="165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58"/>
      <c r="O282" s="165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58"/>
      <c r="O283" s="165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58"/>
      <c r="O284" s="165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58"/>
      <c r="O285" s="165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58"/>
      <c r="O286" s="165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58"/>
      <c r="O287" s="165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58"/>
      <c r="O288" s="165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58"/>
      <c r="O289" s="165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58"/>
      <c r="O290" s="165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58"/>
      <c r="O291" s="165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58"/>
      <c r="O292" s="165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58"/>
      <c r="O293" s="165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58"/>
      <c r="O294" s="165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58"/>
      <c r="O295" s="165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58"/>
      <c r="O296" s="165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58"/>
      <c r="O297" s="165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58"/>
      <c r="O298" s="165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58"/>
      <c r="O299" s="165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58"/>
      <c r="O300" s="165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58"/>
      <c r="O301" s="165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58"/>
      <c r="O302" s="165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58"/>
      <c r="O303" s="165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58"/>
      <c r="O304" s="165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58"/>
      <c r="O305" s="165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58"/>
      <c r="O306" s="165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58"/>
      <c r="O307" s="165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58"/>
      <c r="O308" s="165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58"/>
      <c r="O309" s="165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58"/>
      <c r="O310" s="165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58"/>
      <c r="O311" s="165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58"/>
      <c r="O312" s="165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58"/>
      <c r="O313" s="165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58"/>
      <c r="O314" s="165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58"/>
      <c r="O315" s="165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58"/>
      <c r="O316" s="165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58"/>
      <c r="O317" s="165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58"/>
      <c r="O318" s="165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58"/>
      <c r="O319" s="165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58"/>
      <c r="O320" s="165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58"/>
      <c r="O321" s="165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58"/>
      <c r="O322" s="165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58"/>
      <c r="O323" s="165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58"/>
      <c r="O324" s="165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58"/>
      <c r="O325" s="165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58"/>
      <c r="O326" s="165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58"/>
      <c r="O327" s="165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58"/>
      <c r="O328" s="165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58"/>
      <c r="O329" s="165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58"/>
      <c r="O330" s="165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58"/>
      <c r="O331" s="165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58"/>
      <c r="O332" s="165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58"/>
      <c r="O333" s="165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58"/>
      <c r="O334" s="165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58"/>
      <c r="O335" s="165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58"/>
      <c r="O336" s="165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58"/>
      <c r="O337" s="165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58"/>
      <c r="O338" s="165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58"/>
      <c r="O339" s="165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58"/>
      <c r="O340" s="165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58"/>
      <c r="O341" s="165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58"/>
      <c r="O342" s="165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58"/>
      <c r="O343" s="165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58"/>
      <c r="O344" s="165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58"/>
      <c r="O345" s="165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58"/>
      <c r="O346" s="165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58"/>
      <c r="O347" s="165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58"/>
      <c r="O348" s="165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58"/>
      <c r="O349" s="165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58"/>
      <c r="O350" s="165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58"/>
      <c r="O351" s="165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58"/>
      <c r="O352" s="165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58"/>
      <c r="O353" s="165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58"/>
      <c r="O354" s="165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58"/>
      <c r="O355" s="165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58"/>
      <c r="O356" s="165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58"/>
      <c r="O357" s="165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58"/>
      <c r="O358" s="165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58"/>
      <c r="O359" s="165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58"/>
      <c r="O360" s="165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58"/>
      <c r="O361" s="165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58"/>
      <c r="O362" s="165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58"/>
      <c r="O363" s="165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58"/>
      <c r="O364" s="165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58"/>
      <c r="O365" s="165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58"/>
      <c r="O366" s="165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58"/>
      <c r="O367" s="165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58"/>
      <c r="O368" s="165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58"/>
      <c r="O369" s="165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58"/>
      <c r="O370" s="165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58"/>
      <c r="O371" s="165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58"/>
      <c r="O372" s="165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58"/>
      <c r="O373" s="165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58"/>
      <c r="O374" s="165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58"/>
      <c r="O375" s="165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58"/>
      <c r="O376" s="165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58"/>
      <c r="O377" s="165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58"/>
      <c r="O378" s="165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58"/>
      <c r="O379" s="165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58"/>
      <c r="O380" s="165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58"/>
      <c r="O381" s="165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58"/>
      <c r="O382" s="165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58"/>
      <c r="O383" s="165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58"/>
      <c r="O384" s="165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58"/>
      <c r="O385" s="165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58"/>
      <c r="O386" s="165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58"/>
      <c r="O387" s="165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58"/>
      <c r="O388" s="165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58"/>
      <c r="O389" s="165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58"/>
      <c r="O390" s="165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58"/>
      <c r="O391" s="165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58"/>
      <c r="O392" s="165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58"/>
      <c r="O393" s="165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58"/>
      <c r="O394" s="165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58"/>
      <c r="O395" s="165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58"/>
      <c r="O396" s="165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58"/>
      <c r="O397" s="165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58"/>
      <c r="O398" s="165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58"/>
      <c r="O399" s="165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58"/>
      <c r="O400" s="165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58"/>
      <c r="O401" s="165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58"/>
      <c r="O402" s="165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58"/>
      <c r="O403" s="165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58"/>
      <c r="O404" s="165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58"/>
      <c r="O405" s="165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58"/>
      <c r="O406" s="165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58"/>
      <c r="O407" s="165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58"/>
      <c r="O408" s="165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58"/>
      <c r="O409" s="165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58"/>
      <c r="O410" s="165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58"/>
      <c r="O411" s="165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58"/>
      <c r="O412" s="165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58"/>
      <c r="O413" s="165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58"/>
      <c r="O414" s="165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58"/>
      <c r="O415" s="165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58"/>
      <c r="O416" s="165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58"/>
      <c r="O417" s="165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58"/>
      <c r="O418" s="165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58"/>
      <c r="O419" s="165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58"/>
      <c r="O420" s="165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58"/>
      <c r="O421" s="165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58"/>
      <c r="O422" s="165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58"/>
      <c r="O423" s="165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58"/>
      <c r="O424" s="165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58"/>
      <c r="O425" s="165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58"/>
      <c r="O426" s="165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58"/>
      <c r="O427" s="165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58"/>
      <c r="O428" s="165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58"/>
      <c r="O429" s="165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58"/>
      <c r="O430" s="165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58"/>
      <c r="O431" s="165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58"/>
      <c r="O432" s="165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58"/>
      <c r="O433" s="165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58"/>
      <c r="O434" s="165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58"/>
      <c r="O435" s="165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58"/>
      <c r="O436" s="165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58"/>
      <c r="O437" s="165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58"/>
      <c r="O438" s="165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58"/>
      <c r="O439" s="165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58"/>
      <c r="O440" s="165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58"/>
      <c r="O441" s="165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58"/>
      <c r="O442" s="165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58"/>
      <c r="O443" s="165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58"/>
      <c r="O444" s="165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58"/>
      <c r="O445" s="165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58"/>
      <c r="O446" s="165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58"/>
      <c r="O447" s="165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58"/>
      <c r="O448" s="165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58"/>
      <c r="O449" s="165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58"/>
      <c r="O450" s="165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58"/>
      <c r="O451" s="165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58"/>
      <c r="O452" s="165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58"/>
      <c r="O453" s="165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58"/>
      <c r="O454" s="165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58"/>
      <c r="O455" s="165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58"/>
      <c r="O456" s="165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58"/>
      <c r="O457" s="165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58"/>
      <c r="O458" s="165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58"/>
      <c r="O459" s="165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58"/>
      <c r="O460" s="165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58"/>
      <c r="O461" s="165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58"/>
      <c r="O462" s="165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58"/>
      <c r="O463" s="165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58"/>
      <c r="O464" s="165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58"/>
      <c r="O465" s="165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58"/>
      <c r="O466" s="165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58"/>
      <c r="O467" s="165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58"/>
      <c r="O468" s="165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58"/>
      <c r="O469" s="165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58"/>
      <c r="O470" s="165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58"/>
      <c r="O471" s="165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58"/>
      <c r="O472" s="165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58"/>
      <c r="O473" s="165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58"/>
      <c r="O474" s="165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58"/>
      <c r="O475" s="165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58"/>
      <c r="O476" s="165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58"/>
      <c r="O477" s="165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58"/>
      <c r="O478" s="165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58"/>
      <c r="O479" s="165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58"/>
      <c r="O480" s="165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58"/>
      <c r="O481" s="165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58"/>
      <c r="O482" s="165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58"/>
      <c r="O483" s="165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58"/>
      <c r="O484" s="165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58"/>
      <c r="O485" s="165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58"/>
      <c r="O486" s="165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58"/>
      <c r="O487" s="165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58"/>
      <c r="O488" s="165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58"/>
      <c r="O489" s="165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58"/>
      <c r="O490" s="165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58"/>
      <c r="O491" s="165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58"/>
      <c r="O492" s="165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58"/>
      <c r="O493" s="165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58"/>
      <c r="O494" s="165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58"/>
      <c r="O495" s="165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58"/>
      <c r="O496" s="165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58"/>
      <c r="O497" s="165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58"/>
      <c r="O498" s="165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58"/>
      <c r="O499" s="165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58"/>
      <c r="O500" s="165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58"/>
      <c r="O501" s="165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58"/>
      <c r="O502" s="165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58"/>
      <c r="O503" s="165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58"/>
      <c r="O504" s="165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58"/>
      <c r="O505" s="165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58"/>
      <c r="O506" s="165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58"/>
      <c r="O507" s="165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58"/>
      <c r="O508" s="165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58"/>
      <c r="O509" s="165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58"/>
      <c r="O510" s="165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58"/>
      <c r="O511" s="165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58"/>
      <c r="O512" s="165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58"/>
      <c r="O513" s="165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58"/>
      <c r="O514" s="165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58"/>
      <c r="O515" s="165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58"/>
      <c r="O516" s="165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58"/>
      <c r="O517" s="165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58"/>
      <c r="O518" s="165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58"/>
      <c r="O519" s="165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58"/>
      <c r="O520" s="165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58"/>
      <c r="O521" s="165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58"/>
      <c r="O522" s="165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58"/>
      <c r="O523" s="165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58"/>
      <c r="O524" s="165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58"/>
      <c r="O525" s="165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58"/>
      <c r="O526" s="165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58"/>
      <c r="O527" s="165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58"/>
      <c r="O528" s="165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58"/>
      <c r="O529" s="165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58"/>
      <c r="O530" s="165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58"/>
      <c r="O531" s="165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58"/>
      <c r="O532" s="165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58"/>
      <c r="O533" s="165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58"/>
      <c r="O534" s="165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58"/>
      <c r="O535" s="165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58"/>
      <c r="O536" s="165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58"/>
      <c r="O537" s="165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58"/>
      <c r="O538" s="165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58"/>
      <c r="O539" s="165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58"/>
      <c r="O540" s="165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58"/>
      <c r="O541" s="165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58"/>
      <c r="O542" s="165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58"/>
      <c r="O543" s="165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58"/>
      <c r="O544" s="165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58"/>
      <c r="O545" s="165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58"/>
      <c r="O546" s="165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58"/>
      <c r="O547" s="165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58"/>
      <c r="O548" s="165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58"/>
      <c r="O549" s="165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58"/>
      <c r="O550" s="165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58"/>
      <c r="O551" s="165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58"/>
      <c r="O552" s="165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58"/>
      <c r="O553" s="165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58"/>
      <c r="O554" s="165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58"/>
      <c r="O555" s="165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58"/>
      <c r="O556" s="165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58"/>
      <c r="O557" s="165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58"/>
      <c r="O558" s="165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58"/>
      <c r="O559" s="165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58"/>
      <c r="O560" s="165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58"/>
      <c r="O561" s="165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58"/>
      <c r="O562" s="165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58"/>
      <c r="O563" s="165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58"/>
      <c r="O564" s="165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58"/>
      <c r="O565" s="165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58"/>
      <c r="O566" s="165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58"/>
      <c r="O567" s="165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58"/>
      <c r="O568" s="165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58"/>
      <c r="O569" s="165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58"/>
      <c r="O570" s="165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58"/>
      <c r="O571" s="165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58"/>
      <c r="O572" s="165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58"/>
      <c r="O573" s="165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58"/>
      <c r="O574" s="165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58"/>
      <c r="O575" s="165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58"/>
      <c r="O576" s="165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58"/>
      <c r="O577" s="165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58"/>
      <c r="O578" s="165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58"/>
      <c r="O579" s="165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58"/>
      <c r="O580" s="165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58"/>
      <c r="O581" s="165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58"/>
      <c r="O582" s="165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58"/>
      <c r="O583" s="165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58"/>
      <c r="O584" s="165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58"/>
      <c r="O585" s="165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58"/>
      <c r="O586" s="165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58"/>
      <c r="O587" s="165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58"/>
      <c r="O588" s="165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58"/>
      <c r="O589" s="165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58"/>
      <c r="O590" s="165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58"/>
      <c r="O591" s="165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58"/>
      <c r="O592" s="165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58"/>
      <c r="O593" s="165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58"/>
      <c r="O594" s="165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58"/>
      <c r="O595" s="165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58"/>
      <c r="O596" s="165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58"/>
      <c r="O597" s="165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58"/>
      <c r="O598" s="165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58"/>
      <c r="O599" s="165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58"/>
      <c r="O600" s="165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58"/>
      <c r="O601" s="165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58"/>
      <c r="O602" s="165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58"/>
      <c r="O603" s="165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58"/>
      <c r="O604" s="165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58"/>
      <c r="O605" s="165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58"/>
      <c r="O606" s="165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58"/>
      <c r="O607" s="165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58"/>
      <c r="O608" s="165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58"/>
      <c r="O609" s="165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58"/>
      <c r="O610" s="165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58"/>
      <c r="O611" s="165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58"/>
      <c r="O612" s="165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58"/>
      <c r="O613" s="165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58"/>
      <c r="O614" s="165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58"/>
      <c r="O615" s="165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58"/>
      <c r="O616" s="165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58"/>
      <c r="O617" s="165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58"/>
      <c r="O618" s="165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58"/>
      <c r="O619" s="165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58"/>
      <c r="O620" s="165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58"/>
      <c r="O621" s="165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58"/>
      <c r="O622" s="165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58"/>
      <c r="O623" s="165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58"/>
      <c r="O624" s="165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58"/>
      <c r="O625" s="165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58"/>
      <c r="O626" s="165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58"/>
      <c r="O627" s="165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58"/>
      <c r="O628" s="165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58"/>
      <c r="O629" s="165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58"/>
      <c r="O630" s="165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58"/>
      <c r="O631" s="165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58"/>
      <c r="O632" s="165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58"/>
      <c r="O633" s="165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58"/>
      <c r="O634" s="165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58"/>
      <c r="O635" s="165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58"/>
      <c r="O636" s="165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58"/>
      <c r="O637" s="165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58"/>
      <c r="O638" s="165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58"/>
      <c r="O639" s="165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58"/>
      <c r="O640" s="165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58"/>
      <c r="O641" s="165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58"/>
      <c r="O642" s="165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58"/>
      <c r="O643" s="165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58"/>
      <c r="O644" s="165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58"/>
      <c r="O645" s="165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58"/>
      <c r="O646" s="165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58"/>
      <c r="O647" s="165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58"/>
      <c r="O648" s="165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58"/>
      <c r="O649" s="165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58"/>
      <c r="O650" s="165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58"/>
      <c r="O651" s="165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58"/>
      <c r="O652" s="165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58"/>
      <c r="O653" s="165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58"/>
      <c r="O654" s="165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58"/>
      <c r="O655" s="165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58"/>
      <c r="O656" s="165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58"/>
      <c r="O657" s="165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58"/>
      <c r="O658" s="165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58"/>
      <c r="O659" s="165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58"/>
      <c r="O660" s="165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58"/>
      <c r="O661" s="165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58"/>
      <c r="O662" s="165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58"/>
      <c r="O663" s="165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58"/>
      <c r="O664" s="165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58"/>
      <c r="O665" s="165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58"/>
      <c r="O666" s="165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58"/>
      <c r="O667" s="165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58"/>
      <c r="O668" s="165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58"/>
      <c r="O669" s="165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58"/>
      <c r="O670" s="165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58"/>
      <c r="O671" s="165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58"/>
      <c r="O672" s="165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58"/>
      <c r="O673" s="165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58"/>
      <c r="O674" s="165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58"/>
      <c r="O675" s="165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58"/>
      <c r="O676" s="165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58"/>
      <c r="O677" s="165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58"/>
      <c r="O678" s="165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58"/>
      <c r="O679" s="165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58"/>
      <c r="O680" s="165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58"/>
      <c r="O681" s="165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58"/>
      <c r="O682" s="165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58"/>
      <c r="O683" s="165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58"/>
      <c r="O684" s="165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58"/>
      <c r="O685" s="165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58"/>
      <c r="O686" s="165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58"/>
      <c r="O687" s="165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58"/>
      <c r="O688" s="165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58"/>
      <c r="O689" s="165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58"/>
      <c r="O690" s="165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58"/>
      <c r="O691" s="165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58"/>
      <c r="O692" s="165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58"/>
      <c r="O693" s="165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58"/>
      <c r="O694" s="165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58"/>
      <c r="O695" s="165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58"/>
      <c r="O696" s="165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58"/>
      <c r="O697" s="165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58"/>
      <c r="O698" s="165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58"/>
      <c r="O699" s="165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58"/>
      <c r="O700" s="165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58"/>
      <c r="O701" s="165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58"/>
      <c r="O702" s="165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58"/>
      <c r="O703" s="165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58"/>
      <c r="O704" s="165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58"/>
      <c r="O705" s="165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58"/>
      <c r="O706" s="165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58"/>
      <c r="O707" s="165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58"/>
      <c r="O708" s="165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58"/>
      <c r="O709" s="165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58"/>
      <c r="O710" s="165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58"/>
      <c r="O711" s="165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58"/>
      <c r="O712" s="165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58"/>
      <c r="O713" s="165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58"/>
      <c r="O714" s="165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58"/>
      <c r="O715" s="165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58"/>
      <c r="O716" s="165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58"/>
      <c r="O717" s="165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58"/>
      <c r="O718" s="165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58"/>
      <c r="O719" s="165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58"/>
      <c r="O720" s="165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58"/>
      <c r="O721" s="165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58"/>
      <c r="O722" s="165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58"/>
      <c r="O723" s="165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58"/>
      <c r="O724" s="165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58"/>
      <c r="O725" s="165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58"/>
      <c r="O726" s="165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58"/>
      <c r="O727" s="165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58"/>
      <c r="O728" s="165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58"/>
      <c r="O729" s="165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58"/>
      <c r="O730" s="165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58"/>
      <c r="O731" s="165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58"/>
      <c r="O732" s="165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58"/>
      <c r="O733" s="165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58"/>
      <c r="O734" s="165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58"/>
      <c r="O735" s="165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58"/>
      <c r="O736" s="165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58"/>
      <c r="O737" s="165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58"/>
      <c r="O738" s="165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58"/>
      <c r="O739" s="165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58"/>
      <c r="O740" s="165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58"/>
      <c r="O741" s="165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58"/>
      <c r="O742" s="165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58"/>
      <c r="O743" s="165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58"/>
      <c r="O744" s="165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58"/>
      <c r="O745" s="165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58"/>
      <c r="O746" s="165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58"/>
      <c r="O747" s="165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58"/>
      <c r="O748" s="165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58"/>
      <c r="O749" s="165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58"/>
      <c r="O750" s="165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58"/>
      <c r="O751" s="165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58"/>
      <c r="O752" s="165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58"/>
      <c r="O753" s="165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58"/>
      <c r="O754" s="165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58"/>
      <c r="O755" s="165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58"/>
      <c r="O756" s="165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58"/>
      <c r="O757" s="165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58"/>
      <c r="O758" s="165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58"/>
      <c r="O759" s="165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58"/>
      <c r="O760" s="165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58"/>
      <c r="O761" s="165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58"/>
      <c r="O762" s="165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58"/>
      <c r="O763" s="165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58"/>
      <c r="O764" s="165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58"/>
      <c r="O765" s="165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58"/>
      <c r="O766" s="165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58"/>
      <c r="O767" s="165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58"/>
      <c r="O768" s="165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58"/>
      <c r="O769" s="165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58"/>
      <c r="O770" s="165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58"/>
      <c r="O771" s="165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58"/>
      <c r="O772" s="165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58"/>
      <c r="O773" s="165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58"/>
      <c r="O774" s="165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58"/>
      <c r="O775" s="165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58"/>
      <c r="O776" s="165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58"/>
      <c r="O777" s="165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58"/>
      <c r="O778" s="165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58"/>
      <c r="O779" s="165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58"/>
      <c r="O780" s="165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58"/>
      <c r="O781" s="165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58"/>
      <c r="O782" s="165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58"/>
      <c r="O783" s="165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58"/>
      <c r="O784" s="165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58"/>
      <c r="O785" s="165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58"/>
      <c r="O786" s="165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58"/>
      <c r="O787" s="165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58"/>
      <c r="O788" s="165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58"/>
      <c r="O789" s="165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58"/>
      <c r="O790" s="165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58"/>
      <c r="O791" s="165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58"/>
      <c r="O792" s="165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58"/>
      <c r="O793" s="165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58"/>
      <c r="O794" s="165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58"/>
      <c r="O795" s="165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58"/>
      <c r="O796" s="165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58"/>
      <c r="O797" s="165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58"/>
      <c r="O798" s="165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58"/>
      <c r="O799" s="165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58"/>
      <c r="O800" s="165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58"/>
      <c r="O801" s="165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58"/>
      <c r="O802" s="165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58"/>
      <c r="O803" s="165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58"/>
      <c r="O804" s="165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58"/>
      <c r="O805" s="165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58"/>
      <c r="O806" s="165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58"/>
      <c r="O807" s="165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58"/>
      <c r="O808" s="165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58"/>
      <c r="O809" s="165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58"/>
      <c r="O810" s="165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58"/>
      <c r="O811" s="165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58"/>
      <c r="O812" s="165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58"/>
      <c r="O813" s="165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58"/>
      <c r="O814" s="165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58"/>
      <c r="O815" s="165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58"/>
      <c r="O816" s="165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58"/>
      <c r="O817" s="165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58"/>
      <c r="O818" s="165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58"/>
      <c r="O819" s="165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58"/>
      <c r="O820" s="165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58"/>
      <c r="O821" s="165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58"/>
      <c r="O822" s="165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58"/>
      <c r="O823" s="165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58"/>
      <c r="O824" s="165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58"/>
      <c r="O825" s="165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58"/>
      <c r="O826" s="165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58"/>
      <c r="O827" s="165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58"/>
      <c r="O828" s="165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58"/>
      <c r="O829" s="165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58"/>
      <c r="O830" s="165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58"/>
      <c r="O831" s="165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58"/>
      <c r="O832" s="165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58"/>
      <c r="O833" s="165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58"/>
      <c r="O834" s="165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58"/>
      <c r="O835" s="165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58"/>
      <c r="O836" s="165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58"/>
      <c r="O837" s="165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58"/>
      <c r="O838" s="165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58"/>
      <c r="O839" s="165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58"/>
      <c r="O840" s="165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58"/>
      <c r="O841" s="165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58"/>
      <c r="O842" s="165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58"/>
      <c r="O843" s="165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58"/>
      <c r="O844" s="165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58"/>
      <c r="O845" s="165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58"/>
      <c r="O846" s="165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58"/>
      <c r="O847" s="165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58"/>
      <c r="O848" s="165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58"/>
      <c r="O849" s="165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58"/>
      <c r="O850" s="165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58"/>
      <c r="O851" s="165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58"/>
      <c r="O852" s="165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58"/>
      <c r="O853" s="165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58"/>
      <c r="O854" s="165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58"/>
      <c r="O855" s="165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58"/>
      <c r="O856" s="165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58"/>
      <c r="O857" s="165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58"/>
      <c r="O858" s="165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58"/>
      <c r="O859" s="165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58"/>
      <c r="O860" s="165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58"/>
      <c r="O861" s="165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58"/>
      <c r="O862" s="165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58"/>
      <c r="O863" s="165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58"/>
      <c r="O864" s="165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58"/>
      <c r="O865" s="165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58"/>
      <c r="O866" s="165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58"/>
      <c r="O867" s="165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58"/>
      <c r="O868" s="165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58"/>
      <c r="O869" s="165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58"/>
      <c r="O870" s="165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58"/>
      <c r="O871" s="165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58"/>
      <c r="O872" s="165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58"/>
      <c r="O873" s="165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58"/>
      <c r="O874" s="165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58"/>
      <c r="O875" s="165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58"/>
      <c r="O876" s="165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58"/>
      <c r="O877" s="165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58"/>
      <c r="O878" s="165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58"/>
      <c r="O879" s="165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58"/>
      <c r="O880" s="165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58"/>
      <c r="O881" s="165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58"/>
      <c r="O882" s="165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58"/>
      <c r="O883" s="165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58"/>
      <c r="O884" s="165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58"/>
      <c r="O885" s="165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58"/>
      <c r="O886" s="165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58"/>
      <c r="O887" s="165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58"/>
      <c r="O888" s="165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58"/>
      <c r="O889" s="165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58"/>
      <c r="O890" s="165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58"/>
      <c r="O891" s="165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58"/>
      <c r="O892" s="165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58"/>
      <c r="O893" s="165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58"/>
      <c r="O894" s="165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58"/>
      <c r="O895" s="165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58"/>
      <c r="O896" s="165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58"/>
      <c r="O897" s="165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58"/>
      <c r="O898" s="165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58"/>
      <c r="O899" s="165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58"/>
      <c r="O900" s="165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58"/>
      <c r="O901" s="165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58"/>
      <c r="O902" s="165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58"/>
      <c r="O903" s="165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58"/>
      <c r="O904" s="165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58"/>
      <c r="O905" s="165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58"/>
      <c r="O906" s="165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58"/>
      <c r="O907" s="165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58"/>
      <c r="O908" s="165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58"/>
      <c r="O909" s="165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58"/>
      <c r="O910" s="165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58"/>
      <c r="O911" s="165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58"/>
      <c r="O912" s="165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58"/>
      <c r="O913" s="165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58"/>
      <c r="O914" s="165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58"/>
      <c r="O915" s="165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58"/>
      <c r="O916" s="165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58"/>
      <c r="O917" s="165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58"/>
      <c r="O918" s="165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58"/>
      <c r="O919" s="165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58"/>
      <c r="O920" s="165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58"/>
      <c r="O921" s="165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58"/>
      <c r="O922" s="165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58"/>
      <c r="O923" s="165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58"/>
      <c r="O924" s="165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58"/>
      <c r="O925" s="165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58"/>
      <c r="O926" s="165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58"/>
      <c r="O927" s="165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58"/>
      <c r="O928" s="165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58"/>
      <c r="O929" s="165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58"/>
      <c r="O930" s="165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58"/>
      <c r="O931" s="165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58"/>
      <c r="O932" s="165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58"/>
      <c r="O933" s="165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58"/>
      <c r="O934" s="165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58"/>
      <c r="O935" s="165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58"/>
      <c r="O936" s="165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58"/>
      <c r="O937" s="165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58"/>
      <c r="O938" s="165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58"/>
      <c r="O939" s="165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58"/>
      <c r="O940" s="165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58"/>
      <c r="O941" s="165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58"/>
      <c r="O942" s="165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58"/>
      <c r="O943" s="165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58"/>
      <c r="O944" s="165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58"/>
      <c r="O945" s="165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58"/>
      <c r="O946" s="165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58"/>
      <c r="O947" s="165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58"/>
      <c r="O948" s="165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58"/>
      <c r="O949" s="165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58"/>
      <c r="O950" s="165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58"/>
      <c r="O951" s="165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58"/>
      <c r="O952" s="165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58"/>
      <c r="O953" s="165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58"/>
      <c r="O954" s="165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58"/>
      <c r="O955" s="165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58"/>
      <c r="O956" s="165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58"/>
      <c r="O957" s="165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58"/>
      <c r="O958" s="165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58"/>
      <c r="O959" s="165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58"/>
      <c r="O960" s="165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58"/>
      <c r="O961" s="165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58"/>
      <c r="O962" s="165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58"/>
      <c r="O963" s="165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58"/>
      <c r="O964" s="165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58"/>
      <c r="O965" s="165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58"/>
      <c r="O966" s="165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58"/>
      <c r="O967" s="165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58"/>
      <c r="O968" s="165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58"/>
      <c r="O969" s="165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58"/>
      <c r="O970" s="165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58"/>
      <c r="O971" s="165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58"/>
      <c r="O972" s="165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58"/>
      <c r="O973" s="165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58"/>
      <c r="O974" s="165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58"/>
      <c r="O975" s="165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58"/>
      <c r="O976" s="165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58"/>
      <c r="O977" s="165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58"/>
      <c r="O978" s="165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58"/>
      <c r="O979" s="165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58"/>
      <c r="O980" s="165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58"/>
      <c r="O981" s="165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58"/>
      <c r="O982" s="165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58"/>
      <c r="O983" s="165"/>
    </row>
  </sheetData>
  <mergeCells count="19">
    <mergeCell ref="B1:N1"/>
    <mergeCell ref="B45:N45"/>
    <mergeCell ref="B46:E46"/>
    <mergeCell ref="B76:C77"/>
    <mergeCell ref="D76:D77"/>
    <mergeCell ref="B79:C80"/>
    <mergeCell ref="D79:D80"/>
    <mergeCell ref="D91:D92"/>
    <mergeCell ref="C105:F105"/>
    <mergeCell ref="C127:F127"/>
    <mergeCell ref="C148:F148"/>
    <mergeCell ref="C159:F159"/>
    <mergeCell ref="B82:C83"/>
    <mergeCell ref="D82:D83"/>
    <mergeCell ref="B85:C86"/>
    <mergeCell ref="D85:D86"/>
    <mergeCell ref="B88:C89"/>
    <mergeCell ref="D88:D89"/>
    <mergeCell ref="B91:C92"/>
  </mergeCells>
  <printOptions horizontalCentered="1"/>
  <pageMargins bottom="0.75" footer="0.0" header="0.0" left="0.0" right="0.0" top="0.5"/>
  <pageSetup orientation="portrait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5.86"/>
    <col customWidth="1" min="3" max="3" width="13.0"/>
    <col customWidth="1" min="5" max="5" width="5.43"/>
    <col customWidth="1" min="6" max="7" width="11.86"/>
    <col customWidth="1" min="8" max="8" width="16.86"/>
    <col customWidth="1" min="10" max="10" width="11.29"/>
    <col customWidth="1" min="11" max="11" width="15.71"/>
    <col customWidth="1" min="12" max="12" width="9.14"/>
  </cols>
  <sheetData>
    <row r="2">
      <c r="B2" s="2" t="s">
        <v>1</v>
      </c>
      <c r="C2" s="3" t="s">
        <v>4</v>
      </c>
    </row>
    <row r="3">
      <c r="C3" s="3" t="s">
        <v>5</v>
      </c>
    </row>
    <row r="5">
      <c r="C5" s="2" t="s">
        <v>8</v>
      </c>
      <c r="D5" s="2" t="s">
        <v>10</v>
      </c>
      <c r="E5" s="6" t="s">
        <v>13</v>
      </c>
      <c r="F5" s="6" t="s">
        <v>16</v>
      </c>
      <c r="G5" s="6" t="s">
        <v>18</v>
      </c>
      <c r="H5" s="2" t="s">
        <v>20</v>
      </c>
      <c r="K5" s="2" t="s">
        <v>22</v>
      </c>
      <c r="L5" s="3" t="s">
        <v>23</v>
      </c>
    </row>
    <row r="6">
      <c r="B6" s="2" t="s">
        <v>25</v>
      </c>
      <c r="C6" s="3" t="s">
        <v>26</v>
      </c>
      <c r="D6" s="3" t="s">
        <v>27</v>
      </c>
      <c r="E6" s="13">
        <v>10.0</v>
      </c>
      <c r="F6" s="13" t="s">
        <v>36</v>
      </c>
      <c r="G6" s="13">
        <v>0.0</v>
      </c>
      <c r="H6" s="3" t="s">
        <v>38</v>
      </c>
      <c r="I6" s="3" t="s">
        <v>41</v>
      </c>
      <c r="L6" s="3" t="s">
        <v>43</v>
      </c>
    </row>
    <row r="7">
      <c r="C7" s="3" t="s">
        <v>47</v>
      </c>
      <c r="D7" s="3" t="s">
        <v>49</v>
      </c>
      <c r="E7" s="13">
        <v>30.0</v>
      </c>
      <c r="F7" s="13" t="s">
        <v>36</v>
      </c>
      <c r="G7" s="13">
        <v>1.0</v>
      </c>
      <c r="H7" s="3" t="s">
        <v>54</v>
      </c>
      <c r="I7" s="3" t="s">
        <v>56</v>
      </c>
      <c r="L7" s="3" t="s">
        <v>58</v>
      </c>
    </row>
    <row r="8">
      <c r="C8" s="3" t="s">
        <v>61</v>
      </c>
      <c r="D8" s="3" t="s">
        <v>63</v>
      </c>
      <c r="E8" s="13">
        <v>60.0</v>
      </c>
      <c r="F8" s="13" t="s">
        <v>66</v>
      </c>
      <c r="G8" s="13">
        <v>2.0</v>
      </c>
      <c r="H8" s="3" t="s">
        <v>69</v>
      </c>
      <c r="I8" s="3" t="s">
        <v>71</v>
      </c>
      <c r="L8" s="3" t="s">
        <v>75</v>
      </c>
    </row>
    <row r="9">
      <c r="C9" s="3" t="s">
        <v>78</v>
      </c>
      <c r="D9" s="3" t="s">
        <v>81</v>
      </c>
      <c r="E9" s="13">
        <v>85.0</v>
      </c>
      <c r="F9" s="13" t="s">
        <v>84</v>
      </c>
      <c r="G9" s="13">
        <v>3.0</v>
      </c>
      <c r="H9" s="3" t="s">
        <v>87</v>
      </c>
      <c r="I9" s="3" t="s">
        <v>88</v>
      </c>
      <c r="L9" s="3" t="s">
        <v>92</v>
      </c>
    </row>
    <row r="10">
      <c r="E10" s="27"/>
      <c r="F10" s="27"/>
      <c r="G10" s="27"/>
      <c r="J10" s="27"/>
    </row>
    <row r="11">
      <c r="B11" s="2" t="s">
        <v>67</v>
      </c>
      <c r="C11" s="41" t="s">
        <v>161</v>
      </c>
      <c r="E11" s="27"/>
      <c r="F11" s="27"/>
      <c r="G11" s="27"/>
      <c r="L11" s="3" t="s">
        <v>190</v>
      </c>
      <c r="M11" s="3"/>
    </row>
    <row r="12">
      <c r="E12" s="27"/>
      <c r="F12" s="27"/>
      <c r="G12" s="27"/>
      <c r="L12" s="3" t="s">
        <v>192</v>
      </c>
      <c r="M12" s="3"/>
    </row>
    <row r="13">
      <c r="B13" s="2" t="s">
        <v>193</v>
      </c>
      <c r="C13" s="3" t="s">
        <v>195</v>
      </c>
      <c r="E13" s="27"/>
      <c r="F13" s="27"/>
      <c r="G13" s="27"/>
      <c r="M13" s="3" t="s">
        <v>196</v>
      </c>
    </row>
    <row r="14">
      <c r="C14" s="9" t="s">
        <v>197</v>
      </c>
      <c r="E14" s="27"/>
      <c r="F14" s="27"/>
      <c r="G14" s="27"/>
    </row>
    <row r="15">
      <c r="E15" s="27"/>
      <c r="F15" s="27"/>
      <c r="G15" s="27"/>
      <c r="K15" s="2"/>
    </row>
    <row r="16">
      <c r="B16" s="2" t="s">
        <v>199</v>
      </c>
      <c r="C16" s="3" t="s">
        <v>201</v>
      </c>
      <c r="E16" s="27"/>
      <c r="F16" s="27"/>
      <c r="G16" s="27"/>
    </row>
    <row r="17">
      <c r="C17" s="3" t="s">
        <v>203</v>
      </c>
      <c r="E17" s="27"/>
      <c r="F17" s="27"/>
      <c r="G17" s="27"/>
    </row>
    <row r="18">
      <c r="C18" s="3" t="s">
        <v>205</v>
      </c>
      <c r="E18" s="27"/>
      <c r="F18" s="27"/>
      <c r="G18" s="27"/>
    </row>
    <row r="19">
      <c r="E19" s="27"/>
      <c r="F19" s="27"/>
      <c r="G19" s="27"/>
    </row>
    <row r="20">
      <c r="B20" s="2" t="s">
        <v>208</v>
      </c>
      <c r="C20" s="3" t="s">
        <v>15</v>
      </c>
      <c r="D20" s="3" t="s">
        <v>210</v>
      </c>
      <c r="G20" s="3" t="s">
        <v>212</v>
      </c>
    </row>
    <row r="21">
      <c r="C21" s="3" t="s">
        <v>64</v>
      </c>
      <c r="D21" s="3" t="s">
        <v>214</v>
      </c>
      <c r="G21" s="3" t="s">
        <v>216</v>
      </c>
    </row>
    <row r="22">
      <c r="C22" s="3" t="s">
        <v>45</v>
      </c>
      <c r="D22" s="3" t="s">
        <v>218</v>
      </c>
      <c r="G22" s="3" t="s">
        <v>219</v>
      </c>
    </row>
    <row r="23">
      <c r="C23" s="3" t="s">
        <v>79</v>
      </c>
      <c r="D23" s="3" t="s">
        <v>220</v>
      </c>
      <c r="G23" s="3" t="s">
        <v>221</v>
      </c>
    </row>
    <row r="24">
      <c r="C24" s="3" t="s">
        <v>222</v>
      </c>
    </row>
    <row r="25">
      <c r="C25" s="3" t="s">
        <v>223</v>
      </c>
    </row>
    <row r="27">
      <c r="B27" s="2" t="s">
        <v>224</v>
      </c>
      <c r="C27" s="6" t="s">
        <v>159</v>
      </c>
      <c r="D27" s="6" t="s">
        <v>225</v>
      </c>
      <c r="E27" s="2" t="s">
        <v>226</v>
      </c>
    </row>
    <row r="28">
      <c r="C28" s="13">
        <v>1.0</v>
      </c>
      <c r="D28" s="13">
        <v>1.0</v>
      </c>
      <c r="E28" s="3" t="s">
        <v>227</v>
      </c>
      <c r="G28" s="3" t="s">
        <v>228</v>
      </c>
    </row>
    <row r="29">
      <c r="C29" s="13">
        <v>2.0</v>
      </c>
      <c r="D29" s="13">
        <v>3.0</v>
      </c>
      <c r="E29" s="3" t="s">
        <v>229</v>
      </c>
      <c r="G29" s="3" t="s">
        <v>230</v>
      </c>
    </row>
    <row r="30">
      <c r="C30" s="13">
        <v>3.0</v>
      </c>
      <c r="D30" s="13">
        <v>6.0</v>
      </c>
      <c r="E30" s="3" t="s">
        <v>231</v>
      </c>
      <c r="G30" s="3" t="s">
        <v>232</v>
      </c>
    </row>
    <row r="31">
      <c r="C31" s="13">
        <v>4.0</v>
      </c>
      <c r="D31" s="13">
        <v>10.0</v>
      </c>
      <c r="E31" s="3" t="s">
        <v>233</v>
      </c>
      <c r="G31" s="3" t="s">
        <v>234</v>
      </c>
    </row>
    <row r="32">
      <c r="C32" s="13">
        <v>5.0</v>
      </c>
      <c r="D32" s="13">
        <v>15.0</v>
      </c>
      <c r="E32" s="3" t="s">
        <v>235</v>
      </c>
      <c r="G32" s="3" t="s">
        <v>236</v>
      </c>
    </row>
    <row r="33">
      <c r="C33" s="13">
        <v>6.0</v>
      </c>
      <c r="D33" s="13">
        <v>21.0</v>
      </c>
      <c r="E33" s="3" t="s">
        <v>237</v>
      </c>
      <c r="G33" s="3" t="s">
        <v>238</v>
      </c>
    </row>
    <row r="34">
      <c r="C34" s="13"/>
    </row>
    <row r="36">
      <c r="B36" s="2"/>
    </row>
    <row r="40">
      <c r="B40" s="2" t="s">
        <v>16</v>
      </c>
      <c r="C40" s="3" t="s">
        <v>239</v>
      </c>
    </row>
    <row r="41">
      <c r="C41" s="41" t="s">
        <v>240</v>
      </c>
    </row>
    <row r="42">
      <c r="C42" s="3" t="s">
        <v>242</v>
      </c>
    </row>
  </sheetData>
  <hyperlinks>
    <hyperlink display="Choisir une nation ou organisation" location="Nations!A1" ref="C11"/>
    <hyperlink r:id="rId1" ref="C4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  <col customWidth="1" min="3" max="3" width="29.57"/>
    <col customWidth="1" min="4" max="4" width="45.86"/>
    <col customWidth="1" min="7" max="7" width="11.0"/>
  </cols>
  <sheetData>
    <row r="3">
      <c r="B3" s="3" t="s">
        <v>0</v>
      </c>
      <c r="F3" s="3" t="s">
        <v>6</v>
      </c>
    </row>
    <row r="4">
      <c r="B4" s="3" t="s">
        <v>11</v>
      </c>
    </row>
    <row r="5">
      <c r="B5" s="3" t="s">
        <v>14</v>
      </c>
      <c r="F5" s="2" t="s">
        <v>17</v>
      </c>
      <c r="G5" s="3" t="s">
        <v>19</v>
      </c>
      <c r="H5" s="9" t="s">
        <v>21</v>
      </c>
    </row>
    <row r="6">
      <c r="G6" s="3" t="s">
        <v>28</v>
      </c>
      <c r="H6" s="3" t="s">
        <v>29</v>
      </c>
    </row>
    <row r="7">
      <c r="C7" s="2" t="s">
        <v>30</v>
      </c>
      <c r="D7" s="2" t="s">
        <v>32</v>
      </c>
      <c r="G7" s="3" t="s">
        <v>33</v>
      </c>
      <c r="H7" s="9" t="s">
        <v>34</v>
      </c>
    </row>
    <row r="8">
      <c r="A8" s="2" t="s">
        <v>37</v>
      </c>
      <c r="B8" s="3" t="s">
        <v>39</v>
      </c>
      <c r="C8" s="3" t="s">
        <v>42</v>
      </c>
      <c r="D8" s="9" t="s">
        <v>44</v>
      </c>
      <c r="G8" s="3" t="s">
        <v>46</v>
      </c>
      <c r="H8" s="3" t="s">
        <v>48</v>
      </c>
    </row>
    <row r="9">
      <c r="B9" s="3" t="s">
        <v>51</v>
      </c>
      <c r="C9" s="3" t="s">
        <v>53</v>
      </c>
      <c r="D9" s="9" t="s">
        <v>55</v>
      </c>
      <c r="G9" s="3" t="s">
        <v>57</v>
      </c>
      <c r="H9" s="3" t="s">
        <v>59</v>
      </c>
    </row>
    <row r="10">
      <c r="B10" s="3" t="s">
        <v>62</v>
      </c>
      <c r="C10" s="3" t="s">
        <v>65</v>
      </c>
      <c r="D10" s="9" t="s">
        <v>70</v>
      </c>
      <c r="G10" s="3" t="s">
        <v>73</v>
      </c>
      <c r="H10" s="3" t="s">
        <v>77</v>
      </c>
    </row>
    <row r="11">
      <c r="B11" s="3" t="s">
        <v>80</v>
      </c>
      <c r="C11" s="3" t="s">
        <v>83</v>
      </c>
      <c r="D11" s="3" t="s">
        <v>48</v>
      </c>
    </row>
    <row r="12">
      <c r="B12" s="3" t="s">
        <v>89</v>
      </c>
      <c r="C12" s="3" t="s">
        <v>91</v>
      </c>
      <c r="D12" s="3" t="s">
        <v>48</v>
      </c>
      <c r="F12" s="2" t="s">
        <v>94</v>
      </c>
      <c r="G12" s="3" t="s">
        <v>96</v>
      </c>
      <c r="H12" s="3" t="s">
        <v>100</v>
      </c>
    </row>
    <row r="13">
      <c r="B13" s="3" t="s">
        <v>102</v>
      </c>
      <c r="C13" s="3" t="s">
        <v>105</v>
      </c>
      <c r="D13" s="3" t="s">
        <v>107</v>
      </c>
      <c r="G13" s="3" t="s">
        <v>108</v>
      </c>
      <c r="H13" s="3" t="s">
        <v>111</v>
      </c>
    </row>
    <row r="14">
      <c r="B14" s="3" t="s">
        <v>114</v>
      </c>
      <c r="C14" s="3" t="s">
        <v>116</v>
      </c>
      <c r="D14" s="3" t="s">
        <v>119</v>
      </c>
      <c r="G14" s="3" t="s">
        <v>121</v>
      </c>
      <c r="H14" s="9" t="s">
        <v>123</v>
      </c>
    </row>
    <row r="16">
      <c r="A16" s="2" t="s">
        <v>126</v>
      </c>
      <c r="B16" s="3" t="s">
        <v>127</v>
      </c>
      <c r="C16" s="3" t="s">
        <v>128</v>
      </c>
      <c r="D16" s="3" t="s">
        <v>130</v>
      </c>
      <c r="F16" s="2" t="s">
        <v>131</v>
      </c>
      <c r="G16" s="3" t="s">
        <v>132</v>
      </c>
    </row>
    <row r="17">
      <c r="B17" s="3" t="s">
        <v>134</v>
      </c>
      <c r="C17" s="3" t="s">
        <v>136</v>
      </c>
      <c r="D17" s="3" t="s">
        <v>138</v>
      </c>
      <c r="G17" s="3" t="s">
        <v>140</v>
      </c>
    </row>
    <row r="18">
      <c r="B18" s="3" t="s">
        <v>142</v>
      </c>
      <c r="C18" s="3" t="s">
        <v>144</v>
      </c>
      <c r="D18" s="3" t="s">
        <v>145</v>
      </c>
      <c r="G18" s="3" t="s">
        <v>147</v>
      </c>
    </row>
    <row r="19">
      <c r="B19" s="3" t="s">
        <v>148</v>
      </c>
      <c r="C19" s="3" t="s">
        <v>150</v>
      </c>
      <c r="D19" s="3" t="s">
        <v>152</v>
      </c>
      <c r="G19" s="3" t="s">
        <v>153</v>
      </c>
    </row>
    <row r="20">
      <c r="B20" s="3" t="s">
        <v>155</v>
      </c>
      <c r="C20" s="3" t="s">
        <v>156</v>
      </c>
      <c r="D20" s="3" t="s">
        <v>158</v>
      </c>
      <c r="G20" s="3" t="s">
        <v>160</v>
      </c>
    </row>
    <row r="21">
      <c r="B21" s="3" t="s">
        <v>162</v>
      </c>
      <c r="D21" s="3" t="s">
        <v>164</v>
      </c>
      <c r="G21" s="3" t="s">
        <v>166</v>
      </c>
    </row>
    <row r="23">
      <c r="A23" s="2" t="s">
        <v>167</v>
      </c>
      <c r="B23" s="3" t="s">
        <v>168</v>
      </c>
      <c r="D23" s="3" t="s">
        <v>170</v>
      </c>
    </row>
    <row r="24">
      <c r="B24" s="3" t="s">
        <v>172</v>
      </c>
      <c r="D24" s="3" t="s">
        <v>173</v>
      </c>
    </row>
    <row r="25">
      <c r="B25" s="3" t="s">
        <v>175</v>
      </c>
    </row>
    <row r="26">
      <c r="B26" s="3" t="s">
        <v>178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.29"/>
    <col customWidth="1" min="4" max="4" width="7.57"/>
    <col customWidth="1" min="10" max="10" width="16.14"/>
    <col customWidth="1" min="11" max="11" width="9.14"/>
    <col customWidth="1" min="12" max="12" width="11.86"/>
  </cols>
  <sheetData>
    <row r="2">
      <c r="B2" s="2" t="s">
        <v>2</v>
      </c>
      <c r="C2" s="2" t="s">
        <v>7</v>
      </c>
      <c r="J2" s="2" t="s">
        <v>9</v>
      </c>
      <c r="K2" s="2" t="s">
        <v>12</v>
      </c>
    </row>
    <row r="3">
      <c r="B3" s="8" t="s">
        <v>15</v>
      </c>
      <c r="C3" s="10" t="s">
        <v>24</v>
      </c>
      <c r="D3" s="12"/>
      <c r="E3" s="12"/>
      <c r="F3" s="12"/>
      <c r="J3" s="14" t="s">
        <v>35</v>
      </c>
      <c r="K3" s="10" t="s">
        <v>40</v>
      </c>
      <c r="L3" s="12"/>
    </row>
    <row r="4">
      <c r="B4" s="20" t="s">
        <v>45</v>
      </c>
      <c r="C4" s="3" t="s">
        <v>50</v>
      </c>
      <c r="J4" s="22" t="s">
        <v>52</v>
      </c>
      <c r="K4" s="3" t="s">
        <v>60</v>
      </c>
    </row>
    <row r="5">
      <c r="B5" s="20" t="s">
        <v>64</v>
      </c>
      <c r="C5" s="3" t="s">
        <v>68</v>
      </c>
      <c r="J5" s="22" t="s">
        <v>72</v>
      </c>
      <c r="K5" s="3" t="s">
        <v>76</v>
      </c>
    </row>
    <row r="6">
      <c r="B6" s="20" t="s">
        <v>79</v>
      </c>
      <c r="C6" s="3" t="s">
        <v>82</v>
      </c>
      <c r="J6" s="22" t="s">
        <v>85</v>
      </c>
      <c r="K6" s="3" t="s">
        <v>86</v>
      </c>
    </row>
    <row r="7">
      <c r="J7" s="22" t="s">
        <v>90</v>
      </c>
      <c r="K7" s="3" t="s">
        <v>93</v>
      </c>
    </row>
    <row r="8">
      <c r="B8" s="2" t="s">
        <v>95</v>
      </c>
      <c r="C8" s="3" t="s">
        <v>97</v>
      </c>
      <c r="J8" s="22" t="s">
        <v>98</v>
      </c>
      <c r="K8" s="3" t="s">
        <v>99</v>
      </c>
    </row>
    <row r="9">
      <c r="C9" s="3" t="s">
        <v>101</v>
      </c>
      <c r="J9" s="22" t="s">
        <v>103</v>
      </c>
      <c r="K9" s="3" t="s">
        <v>106</v>
      </c>
    </row>
    <row r="10">
      <c r="D10" s="3" t="s">
        <v>109</v>
      </c>
      <c r="J10" s="22" t="s">
        <v>110</v>
      </c>
      <c r="K10" s="3" t="s">
        <v>112</v>
      </c>
    </row>
    <row r="11">
      <c r="D11" s="3" t="s">
        <v>115</v>
      </c>
      <c r="J11" s="22" t="s">
        <v>118</v>
      </c>
      <c r="K11" s="3" t="s">
        <v>120</v>
      </c>
    </row>
    <row r="12">
      <c r="C12" s="3" t="s">
        <v>122</v>
      </c>
      <c r="J12" s="22" t="s">
        <v>124</v>
      </c>
      <c r="K12" s="3" t="s">
        <v>125</v>
      </c>
    </row>
    <row r="13">
      <c r="D13" s="3" t="s">
        <v>129</v>
      </c>
    </row>
    <row r="14">
      <c r="J14" s="2" t="s">
        <v>52</v>
      </c>
      <c r="K14" s="3" t="s">
        <v>133</v>
      </c>
    </row>
    <row r="15">
      <c r="B15" s="2" t="s">
        <v>135</v>
      </c>
      <c r="C15" s="3" t="s">
        <v>137</v>
      </c>
      <c r="K15" s="3" t="s">
        <v>139</v>
      </c>
    </row>
    <row r="16">
      <c r="D16" s="3" t="s">
        <v>141</v>
      </c>
      <c r="K16" s="3" t="s">
        <v>143</v>
      </c>
    </row>
    <row r="17">
      <c r="D17" s="3" t="s">
        <v>146</v>
      </c>
    </row>
    <row r="20">
      <c r="B20" s="2" t="s">
        <v>149</v>
      </c>
      <c r="C20" s="3" t="s">
        <v>151</v>
      </c>
    </row>
    <row r="21">
      <c r="C21" s="3" t="s">
        <v>154</v>
      </c>
    </row>
    <row r="23">
      <c r="D23" s="6" t="s">
        <v>157</v>
      </c>
      <c r="E23" s="6" t="s">
        <v>159</v>
      </c>
    </row>
    <row r="24">
      <c r="D24" s="13">
        <v>5.0</v>
      </c>
      <c r="E24" s="13" t="s">
        <v>163</v>
      </c>
      <c r="N24" s="38" t="s">
        <v>165</v>
      </c>
    </row>
    <row r="25">
      <c r="D25" s="13">
        <v>10.0</v>
      </c>
      <c r="E25" s="13" t="s">
        <v>169</v>
      </c>
      <c r="N25" s="39" t="s">
        <v>171</v>
      </c>
    </row>
    <row r="26">
      <c r="D26" s="13">
        <v>15.0</v>
      </c>
      <c r="E26" s="13" t="s">
        <v>174</v>
      </c>
      <c r="F26" s="6"/>
      <c r="N26" s="39" t="s">
        <v>176</v>
      </c>
    </row>
    <row r="27">
      <c r="D27" s="13" t="s">
        <v>177</v>
      </c>
      <c r="E27" s="13" t="s">
        <v>179</v>
      </c>
      <c r="F27" s="13"/>
      <c r="N27" s="39" t="s">
        <v>180</v>
      </c>
    </row>
    <row r="28">
      <c r="F28" s="27"/>
      <c r="N28" s="39" t="s">
        <v>181</v>
      </c>
    </row>
    <row r="29">
      <c r="F29" s="13"/>
    </row>
    <row r="30">
      <c r="F30" s="27"/>
    </row>
    <row r="31">
      <c r="B31" s="2" t="s">
        <v>182</v>
      </c>
      <c r="C31" s="3" t="s">
        <v>183</v>
      </c>
      <c r="F31" s="13"/>
    </row>
    <row r="32">
      <c r="C32" s="3" t="s">
        <v>184</v>
      </c>
    </row>
    <row r="34">
      <c r="B34" s="2" t="s">
        <v>186</v>
      </c>
      <c r="C34" s="3" t="s">
        <v>187</v>
      </c>
    </row>
    <row r="35">
      <c r="D35" s="2" t="s">
        <v>159</v>
      </c>
      <c r="E35" s="2" t="s">
        <v>188</v>
      </c>
    </row>
    <row r="36">
      <c r="D36" s="13" t="s">
        <v>189</v>
      </c>
      <c r="E36" s="13">
        <v>0.0</v>
      </c>
    </row>
    <row r="37">
      <c r="D37" s="13" t="s">
        <v>191</v>
      </c>
      <c r="E37" s="42">
        <v>45659.0</v>
      </c>
    </row>
    <row r="38">
      <c r="D38" s="13" t="s">
        <v>194</v>
      </c>
      <c r="E38" s="13">
        <v>1.0</v>
      </c>
    </row>
    <row r="51">
      <c r="J51" s="2" t="s">
        <v>198</v>
      </c>
      <c r="K51" s="3" t="s">
        <v>200</v>
      </c>
    </row>
    <row r="52">
      <c r="K52" s="3" t="s">
        <v>202</v>
      </c>
    </row>
    <row r="53">
      <c r="K53" s="3" t="s">
        <v>204</v>
      </c>
    </row>
    <row r="54">
      <c r="K54" s="3" t="s">
        <v>207</v>
      </c>
    </row>
    <row r="56">
      <c r="J56" s="2" t="s">
        <v>209</v>
      </c>
      <c r="K56" s="3" t="s">
        <v>211</v>
      </c>
    </row>
    <row r="57">
      <c r="L57" s="3" t="s">
        <v>213</v>
      </c>
    </row>
    <row r="58">
      <c r="L58" s="3" t="s">
        <v>215</v>
      </c>
    </row>
    <row r="59">
      <c r="L59" s="3" t="s">
        <v>217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4" width="4.43"/>
    <col customWidth="1" min="5" max="5" width="4.57"/>
    <col customWidth="1" min="6" max="6" width="6.57"/>
    <col customWidth="1" min="7" max="7" width="6.29"/>
    <col customWidth="1" min="8" max="8" width="7.0"/>
    <col customWidth="1" min="16" max="16" width="16.57"/>
  </cols>
  <sheetData>
    <row r="2">
      <c r="B2" s="3" t="s">
        <v>245</v>
      </c>
    </row>
    <row r="3">
      <c r="P3" s="2"/>
    </row>
    <row r="4">
      <c r="B4" s="2" t="s">
        <v>246</v>
      </c>
      <c r="C4" s="76"/>
      <c r="D4" s="76"/>
      <c r="E4" s="3"/>
      <c r="H4" s="3" t="s">
        <v>247</v>
      </c>
      <c r="P4" s="2" t="s">
        <v>248</v>
      </c>
      <c r="Q4" s="3" t="s">
        <v>249</v>
      </c>
    </row>
    <row r="5">
      <c r="C5" s="2"/>
      <c r="H5" s="3" t="s">
        <v>251</v>
      </c>
      <c r="Q5" s="3" t="s">
        <v>252</v>
      </c>
    </row>
    <row r="6">
      <c r="E6" s="76"/>
      <c r="I6" s="3" t="s">
        <v>253</v>
      </c>
    </row>
    <row r="7">
      <c r="E7" s="76"/>
      <c r="H7" s="3" t="s">
        <v>254</v>
      </c>
      <c r="P7" s="2" t="s">
        <v>255</v>
      </c>
      <c r="Q7" s="9" t="s">
        <v>256</v>
      </c>
    </row>
    <row r="8">
      <c r="C8" s="2" t="s">
        <v>257</v>
      </c>
      <c r="E8" s="76"/>
      <c r="H8" s="3" t="s">
        <v>258</v>
      </c>
    </row>
    <row r="9">
      <c r="C9" s="76"/>
      <c r="D9" s="2"/>
      <c r="E9" s="2"/>
      <c r="I9" s="3" t="s">
        <v>259</v>
      </c>
      <c r="P9" s="2" t="s">
        <v>260</v>
      </c>
      <c r="Q9" s="3" t="s">
        <v>261</v>
      </c>
    </row>
    <row r="10">
      <c r="C10" s="2"/>
      <c r="E10" s="2"/>
      <c r="I10" s="3" t="s">
        <v>262</v>
      </c>
    </row>
    <row r="11">
      <c r="C11" s="2"/>
      <c r="E11" s="2"/>
      <c r="I11" s="3" t="s">
        <v>263</v>
      </c>
      <c r="P11" s="2" t="s">
        <v>113</v>
      </c>
      <c r="Q11" s="3" t="s">
        <v>264</v>
      </c>
    </row>
    <row r="12">
      <c r="C12" s="2" t="s">
        <v>265</v>
      </c>
      <c r="E12" s="76"/>
      <c r="H12" s="3" t="s">
        <v>266</v>
      </c>
      <c r="P12" s="2"/>
      <c r="Q12" s="3"/>
    </row>
    <row r="13">
      <c r="I13" s="3" t="s">
        <v>267</v>
      </c>
      <c r="P13" s="2" t="s">
        <v>268</v>
      </c>
      <c r="Q13" s="3" t="s">
        <v>269</v>
      </c>
    </row>
    <row r="14">
      <c r="I14" s="3" t="s">
        <v>270</v>
      </c>
      <c r="Q14" s="3" t="s">
        <v>271</v>
      </c>
    </row>
    <row r="15">
      <c r="D15" s="2" t="s">
        <v>272</v>
      </c>
      <c r="H15" s="3" t="s">
        <v>273</v>
      </c>
    </row>
    <row r="16">
      <c r="P16" s="2" t="s">
        <v>274</v>
      </c>
      <c r="Q16" s="3" t="s">
        <v>275</v>
      </c>
    </row>
    <row r="17">
      <c r="C17" s="2" t="s">
        <v>276</v>
      </c>
      <c r="E17" s="2"/>
      <c r="H17" s="3" t="s">
        <v>278</v>
      </c>
    </row>
    <row r="18">
      <c r="D18" s="2" t="s">
        <v>281</v>
      </c>
      <c r="E18" s="2"/>
      <c r="H18" s="3" t="s">
        <v>283</v>
      </c>
      <c r="P18" s="2" t="s">
        <v>284</v>
      </c>
      <c r="Q18" s="3" t="s">
        <v>285</v>
      </c>
    </row>
    <row r="19">
      <c r="D19" s="2" t="s">
        <v>287</v>
      </c>
      <c r="F19" s="2"/>
      <c r="H19" s="3" t="s">
        <v>289</v>
      </c>
    </row>
    <row r="20">
      <c r="D20" s="2"/>
      <c r="H20" s="3"/>
      <c r="I20" s="3" t="s">
        <v>292</v>
      </c>
      <c r="P20" s="2" t="s">
        <v>295</v>
      </c>
      <c r="Q20" s="3" t="s">
        <v>297</v>
      </c>
    </row>
    <row r="21">
      <c r="D21" s="2"/>
      <c r="H21" s="3"/>
      <c r="I21" s="3" t="s">
        <v>300</v>
      </c>
      <c r="Q21" s="3" t="s">
        <v>301</v>
      </c>
    </row>
    <row r="22">
      <c r="D22" s="2"/>
      <c r="H22" s="3" t="s">
        <v>305</v>
      </c>
      <c r="Q22" s="3" t="s">
        <v>307</v>
      </c>
    </row>
    <row r="23">
      <c r="D23" s="2"/>
      <c r="H23" s="3" t="s">
        <v>309</v>
      </c>
      <c r="Q23" s="3" t="s">
        <v>310</v>
      </c>
    </row>
    <row r="24">
      <c r="D24" s="2" t="s">
        <v>313</v>
      </c>
      <c r="H24" s="3" t="s">
        <v>315</v>
      </c>
    </row>
    <row r="25">
      <c r="H25" s="3" t="s">
        <v>317</v>
      </c>
    </row>
    <row r="26">
      <c r="C26" s="76"/>
      <c r="D26" s="76"/>
      <c r="E26" s="2"/>
      <c r="F26" s="2"/>
      <c r="I26" s="3" t="s">
        <v>322</v>
      </c>
    </row>
    <row r="27">
      <c r="C27" s="76"/>
      <c r="D27" s="76"/>
      <c r="E27" s="2"/>
      <c r="H27" s="3" t="s">
        <v>327</v>
      </c>
    </row>
    <row r="28">
      <c r="D28" s="76"/>
      <c r="E28" s="2"/>
      <c r="F28" s="2"/>
      <c r="I28" s="3" t="s">
        <v>329</v>
      </c>
    </row>
    <row r="29">
      <c r="I29" s="3" t="s">
        <v>333</v>
      </c>
    </row>
    <row r="30">
      <c r="I30" s="3" t="s">
        <v>336</v>
      </c>
    </row>
    <row r="31">
      <c r="F31" s="2"/>
      <c r="I31" s="3" t="s">
        <v>337</v>
      </c>
    </row>
    <row r="32">
      <c r="E32" s="2" t="s">
        <v>339</v>
      </c>
      <c r="H32" s="3" t="s">
        <v>342</v>
      </c>
    </row>
    <row r="33">
      <c r="D33" s="2"/>
      <c r="F33" s="2" t="s">
        <v>287</v>
      </c>
      <c r="H33" s="3" t="s">
        <v>344</v>
      </c>
    </row>
    <row r="34">
      <c r="I34" s="3" t="s">
        <v>346</v>
      </c>
    </row>
    <row r="35">
      <c r="B35" s="2"/>
      <c r="I35" s="3" t="s">
        <v>348</v>
      </c>
    </row>
    <row r="36">
      <c r="I36" s="3" t="s">
        <v>352</v>
      </c>
    </row>
    <row r="37">
      <c r="I37" s="3" t="s">
        <v>354</v>
      </c>
    </row>
    <row r="38">
      <c r="B38" s="2"/>
      <c r="F38" s="2" t="s">
        <v>313</v>
      </c>
      <c r="H38" s="3" t="s">
        <v>356</v>
      </c>
    </row>
    <row r="39">
      <c r="C39" s="2"/>
      <c r="D39" s="2" t="s">
        <v>359</v>
      </c>
      <c r="H39" s="3" t="s">
        <v>361</v>
      </c>
    </row>
    <row r="40">
      <c r="C40" s="2" t="s">
        <v>363</v>
      </c>
      <c r="H40" s="3" t="s">
        <v>365</v>
      </c>
    </row>
    <row r="41">
      <c r="B41" s="2" t="s">
        <v>366</v>
      </c>
      <c r="H41" s="3" t="s">
        <v>368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7.43"/>
    <col customWidth="1" min="4" max="4" width="10.71"/>
    <col customWidth="1" min="5" max="5" width="11.86"/>
    <col customWidth="1" min="6" max="6" width="13.0"/>
    <col customWidth="1" min="7" max="7" width="12.14"/>
    <col customWidth="1" min="8" max="9" width="10.14"/>
    <col customWidth="1" min="10" max="10" width="10.29"/>
    <col customWidth="1" min="11" max="11" width="12.14"/>
    <col customWidth="1" min="17" max="17" width="13.14"/>
    <col customWidth="1" min="18" max="18" width="11.0"/>
    <col customWidth="1" min="19" max="19" width="11.29"/>
  </cols>
  <sheetData>
    <row r="2">
      <c r="B2" s="2" t="s">
        <v>277</v>
      </c>
      <c r="C2" s="3" t="s">
        <v>279</v>
      </c>
    </row>
    <row r="3">
      <c r="H3" s="13" t="s">
        <v>282</v>
      </c>
      <c r="I3" s="13" t="s">
        <v>282</v>
      </c>
    </row>
    <row r="4">
      <c r="C4" s="6" t="s">
        <v>113</v>
      </c>
      <c r="D4" s="6" t="s">
        <v>286</v>
      </c>
      <c r="G4" s="6" t="s">
        <v>288</v>
      </c>
      <c r="H4" s="6" t="s">
        <v>290</v>
      </c>
      <c r="I4" s="6" t="s">
        <v>291</v>
      </c>
      <c r="J4" s="6" t="s">
        <v>294</v>
      </c>
      <c r="K4" s="6" t="s">
        <v>296</v>
      </c>
      <c r="L4" s="6" t="s">
        <v>298</v>
      </c>
      <c r="M4" s="2"/>
    </row>
    <row r="5">
      <c r="C5" s="13">
        <v>-5.0</v>
      </c>
      <c r="D5" s="13" t="s">
        <v>302</v>
      </c>
      <c r="E5" s="13" t="s">
        <v>303</v>
      </c>
      <c r="F5" s="13" t="s">
        <v>304</v>
      </c>
      <c r="G5" s="13" t="s">
        <v>306</v>
      </c>
      <c r="H5" s="93" t="s">
        <v>308</v>
      </c>
      <c r="I5" s="13" t="s">
        <v>311</v>
      </c>
      <c r="J5" s="13" t="s">
        <v>312</v>
      </c>
      <c r="K5" s="13" t="s">
        <v>314</v>
      </c>
      <c r="L5" s="13" t="s">
        <v>316</v>
      </c>
      <c r="M5" s="13"/>
    </row>
    <row r="6">
      <c r="C6" s="13">
        <v>-4.0</v>
      </c>
      <c r="D6" s="13" t="s">
        <v>318</v>
      </c>
      <c r="E6" s="13" t="s">
        <v>319</v>
      </c>
      <c r="F6" s="13" t="s">
        <v>320</v>
      </c>
      <c r="G6" s="13" t="s">
        <v>321</v>
      </c>
      <c r="H6" s="93" t="s">
        <v>323</v>
      </c>
      <c r="I6" s="13" t="s">
        <v>324</v>
      </c>
      <c r="J6" s="13" t="s">
        <v>325</v>
      </c>
      <c r="K6" s="13" t="s">
        <v>326</v>
      </c>
      <c r="L6" s="27"/>
      <c r="M6" s="27"/>
    </row>
    <row r="7">
      <c r="C7" s="13">
        <v>-3.0</v>
      </c>
      <c r="D7" s="13" t="s">
        <v>328</v>
      </c>
      <c r="E7" s="13" t="s">
        <v>330</v>
      </c>
      <c r="F7" s="13" t="s">
        <v>331</v>
      </c>
      <c r="G7" s="13" t="s">
        <v>332</v>
      </c>
      <c r="H7" s="93" t="s">
        <v>334</v>
      </c>
      <c r="I7" s="13" t="s">
        <v>335</v>
      </c>
      <c r="J7" s="13" t="s">
        <v>325</v>
      </c>
      <c r="K7" s="27"/>
      <c r="L7" s="27"/>
      <c r="M7" s="27"/>
    </row>
    <row r="8">
      <c r="C8" s="13">
        <v>-2.0</v>
      </c>
      <c r="D8" s="13" t="s">
        <v>338</v>
      </c>
      <c r="E8" s="13" t="s">
        <v>340</v>
      </c>
      <c r="F8" s="13" t="s">
        <v>341</v>
      </c>
      <c r="G8" s="13" t="s">
        <v>343</v>
      </c>
      <c r="H8" s="13"/>
      <c r="I8" s="13">
        <v>1.0</v>
      </c>
      <c r="J8" s="13" t="s">
        <v>312</v>
      </c>
      <c r="K8" s="13"/>
      <c r="L8" s="13" t="s">
        <v>345</v>
      </c>
      <c r="M8" s="27"/>
    </row>
    <row r="9">
      <c r="C9" s="13">
        <v>-1.0</v>
      </c>
      <c r="D9" s="13" t="s">
        <v>347</v>
      </c>
      <c r="E9" s="13" t="s">
        <v>349</v>
      </c>
      <c r="F9" s="13" t="s">
        <v>350</v>
      </c>
      <c r="G9" s="13" t="s">
        <v>351</v>
      </c>
      <c r="H9" s="13"/>
      <c r="I9" s="13">
        <v>1.0</v>
      </c>
      <c r="J9" s="13" t="s">
        <v>312</v>
      </c>
      <c r="K9" s="13" t="s">
        <v>353</v>
      </c>
      <c r="L9" s="27"/>
      <c r="M9" s="27"/>
    </row>
    <row r="10">
      <c r="C10" s="13">
        <v>0.0</v>
      </c>
      <c r="D10" s="13" t="s">
        <v>355</v>
      </c>
      <c r="E10" s="13" t="s">
        <v>357</v>
      </c>
      <c r="F10" s="13" t="s">
        <v>358</v>
      </c>
      <c r="G10" s="13" t="s">
        <v>360</v>
      </c>
      <c r="H10" s="13"/>
      <c r="I10" s="13">
        <v>1.0</v>
      </c>
      <c r="J10" s="13" t="s">
        <v>362</v>
      </c>
      <c r="K10" s="27"/>
      <c r="L10" s="13" t="s">
        <v>364</v>
      </c>
      <c r="M10" s="27"/>
    </row>
    <row r="11">
      <c r="C11" s="13">
        <v>1.0</v>
      </c>
      <c r="D11" s="13" t="s">
        <v>367</v>
      </c>
      <c r="E11" s="13" t="s">
        <v>369</v>
      </c>
      <c r="F11" s="13" t="s">
        <v>370</v>
      </c>
      <c r="G11" s="13" t="s">
        <v>371</v>
      </c>
      <c r="H11" s="93" t="s">
        <v>334</v>
      </c>
      <c r="I11" s="13">
        <v>1.0</v>
      </c>
      <c r="J11" s="13" t="s">
        <v>362</v>
      </c>
      <c r="K11" s="13" t="s">
        <v>372</v>
      </c>
      <c r="L11" s="13" t="s">
        <v>373</v>
      </c>
      <c r="M11" s="27"/>
    </row>
    <row r="12">
      <c r="C12" s="13">
        <v>2.0</v>
      </c>
      <c r="D12" s="13" t="s">
        <v>374</v>
      </c>
      <c r="E12" s="13" t="s">
        <v>375</v>
      </c>
      <c r="F12" s="13" t="s">
        <v>376</v>
      </c>
      <c r="G12" s="13" t="s">
        <v>377</v>
      </c>
      <c r="H12" s="93" t="s">
        <v>323</v>
      </c>
      <c r="I12" s="13">
        <v>10.0</v>
      </c>
      <c r="J12" s="13" t="s">
        <v>362</v>
      </c>
      <c r="K12" s="27"/>
      <c r="M12" s="27"/>
    </row>
    <row r="13">
      <c r="C13" s="13">
        <v>3.0</v>
      </c>
      <c r="D13" s="13" t="s">
        <v>378</v>
      </c>
      <c r="E13" s="13" t="s">
        <v>379</v>
      </c>
      <c r="F13" s="13" t="s">
        <v>380</v>
      </c>
      <c r="G13" s="13" t="s">
        <v>381</v>
      </c>
      <c r="H13" s="13" t="s">
        <v>308</v>
      </c>
      <c r="I13" s="13">
        <v>100.0</v>
      </c>
      <c r="J13" s="13" t="s">
        <v>382</v>
      </c>
      <c r="K13" s="13" t="s">
        <v>383</v>
      </c>
      <c r="L13" s="13" t="s">
        <v>384</v>
      </c>
    </row>
    <row r="14">
      <c r="C14" s="13">
        <v>4.0</v>
      </c>
      <c r="D14" s="13" t="s">
        <v>385</v>
      </c>
      <c r="E14" s="27"/>
      <c r="F14" s="13" t="s">
        <v>386</v>
      </c>
      <c r="G14" s="13" t="s">
        <v>387</v>
      </c>
      <c r="H14" s="13" t="s">
        <v>388</v>
      </c>
      <c r="I14" s="13" t="s">
        <v>389</v>
      </c>
      <c r="K14" s="27"/>
      <c r="L14" s="27"/>
      <c r="M14" s="27"/>
    </row>
    <row r="15">
      <c r="C15" s="13">
        <v>5.0</v>
      </c>
      <c r="D15" s="13" t="s">
        <v>390</v>
      </c>
      <c r="E15" s="27"/>
      <c r="F15" s="13" t="s">
        <v>391</v>
      </c>
      <c r="G15" s="13" t="s">
        <v>392</v>
      </c>
      <c r="H15" s="13" t="s">
        <v>393</v>
      </c>
      <c r="I15" s="13" t="s">
        <v>394</v>
      </c>
      <c r="K15" s="27"/>
      <c r="L15" s="27"/>
      <c r="M15" s="27"/>
    </row>
    <row r="16">
      <c r="C16" s="13">
        <v>6.0</v>
      </c>
      <c r="D16" s="13" t="s">
        <v>395</v>
      </c>
      <c r="E16" s="27"/>
      <c r="F16" s="13" t="s">
        <v>396</v>
      </c>
      <c r="G16" s="13" t="s">
        <v>397</v>
      </c>
      <c r="H16" s="13" t="s">
        <v>398</v>
      </c>
      <c r="I16" s="13" t="s">
        <v>400</v>
      </c>
      <c r="J16" s="13" t="s">
        <v>401</v>
      </c>
      <c r="K16" s="27"/>
      <c r="L16" s="27"/>
      <c r="M16" s="27"/>
    </row>
    <row r="17">
      <c r="C17" s="13">
        <v>7.0</v>
      </c>
      <c r="D17" s="13" t="s">
        <v>403</v>
      </c>
      <c r="E17" s="13" t="s">
        <v>404</v>
      </c>
      <c r="F17" s="13" t="s">
        <v>405</v>
      </c>
      <c r="G17" s="13" t="s">
        <v>407</v>
      </c>
      <c r="H17" s="13" t="s">
        <v>409</v>
      </c>
      <c r="I17" s="13" t="s">
        <v>411</v>
      </c>
      <c r="K17" s="27"/>
      <c r="L17" s="27"/>
      <c r="M17" s="13"/>
    </row>
    <row r="18">
      <c r="C18" s="13">
        <v>8.0</v>
      </c>
      <c r="D18" s="13" t="s">
        <v>415</v>
      </c>
      <c r="E18" s="27"/>
      <c r="F18" s="13" t="s">
        <v>416</v>
      </c>
      <c r="G18" s="27"/>
      <c r="H18" s="13" t="s">
        <v>418</v>
      </c>
      <c r="I18" s="13" t="s">
        <v>420</v>
      </c>
      <c r="K18" s="27"/>
      <c r="L18" s="27"/>
      <c r="M18" s="27"/>
    </row>
    <row r="19">
      <c r="C19" s="13">
        <v>9.0</v>
      </c>
      <c r="D19" s="13" t="s">
        <v>423</v>
      </c>
      <c r="E19" s="27"/>
      <c r="F19" s="13" t="s">
        <v>425</v>
      </c>
      <c r="G19" s="13" t="s">
        <v>426</v>
      </c>
      <c r="H19" s="13" t="s">
        <v>428</v>
      </c>
      <c r="I19" s="13" t="s">
        <v>430</v>
      </c>
      <c r="K19" s="27"/>
      <c r="L19" s="27"/>
      <c r="M19" s="27"/>
    </row>
    <row r="20">
      <c r="C20" s="13">
        <v>10.0</v>
      </c>
      <c r="D20" s="13" t="s">
        <v>433</v>
      </c>
      <c r="E20" s="27"/>
      <c r="F20" s="13" t="s">
        <v>436</v>
      </c>
      <c r="G20" s="13" t="s">
        <v>439</v>
      </c>
      <c r="H20" s="13" t="s">
        <v>441</v>
      </c>
      <c r="I20" s="13" t="s">
        <v>442</v>
      </c>
      <c r="K20" s="27"/>
      <c r="L20" s="27"/>
      <c r="M20" s="27"/>
    </row>
    <row r="22">
      <c r="B22" s="2" t="s">
        <v>446</v>
      </c>
      <c r="C22" s="3" t="s">
        <v>448</v>
      </c>
      <c r="E22" s="3" t="s">
        <v>450</v>
      </c>
    </row>
    <row r="23">
      <c r="C23" s="3" t="s">
        <v>452</v>
      </c>
      <c r="E23" s="3" t="s">
        <v>454</v>
      </c>
    </row>
    <row r="27">
      <c r="B27" s="2" t="s">
        <v>457</v>
      </c>
      <c r="C27" s="6" t="s">
        <v>458</v>
      </c>
      <c r="D27" s="6" t="s">
        <v>460</v>
      </c>
      <c r="E27" s="6" t="s">
        <v>461</v>
      </c>
      <c r="F27" s="2" t="s">
        <v>465</v>
      </c>
    </row>
    <row r="28">
      <c r="C28" s="13">
        <v>-1.0</v>
      </c>
      <c r="D28" s="13" t="s">
        <v>468</v>
      </c>
      <c r="E28" s="13">
        <v>3.0</v>
      </c>
      <c r="F28" s="3" t="s">
        <v>326</v>
      </c>
    </row>
    <row r="29">
      <c r="C29" s="13">
        <v>0.0</v>
      </c>
      <c r="D29" s="13" t="s">
        <v>471</v>
      </c>
      <c r="E29" s="13">
        <v>4.0</v>
      </c>
      <c r="F29" s="3" t="s">
        <v>473</v>
      </c>
    </row>
    <row r="30">
      <c r="C30" s="13">
        <v>1.0</v>
      </c>
      <c r="D30" s="13" t="s">
        <v>476</v>
      </c>
      <c r="E30" s="13">
        <v>5.0</v>
      </c>
      <c r="F30" s="3" t="s">
        <v>481</v>
      </c>
    </row>
    <row r="31">
      <c r="C31" s="13">
        <v>6.0</v>
      </c>
      <c r="D31" s="13" t="s">
        <v>485</v>
      </c>
      <c r="E31" s="13">
        <v>6.0</v>
      </c>
      <c r="F31" s="3" t="s">
        <v>488</v>
      </c>
    </row>
    <row r="33">
      <c r="B33" s="2" t="s">
        <v>491</v>
      </c>
      <c r="C33" s="3" t="s">
        <v>494</v>
      </c>
    </row>
    <row r="38">
      <c r="D38" s="3" t="s">
        <v>499</v>
      </c>
    </row>
    <row r="39">
      <c r="D39" s="3" t="s">
        <v>502</v>
      </c>
    </row>
    <row r="40">
      <c r="E40" s="3" t="s">
        <v>505</v>
      </c>
    </row>
    <row r="41">
      <c r="E41" s="3" t="s">
        <v>506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2.14"/>
    <col customWidth="1" min="9" max="9" width="8.29"/>
    <col customWidth="1" min="10" max="10" width="21.43"/>
    <col customWidth="1" min="11" max="11" width="8.57"/>
  </cols>
  <sheetData>
    <row r="2">
      <c r="A2" s="2" t="s">
        <v>399</v>
      </c>
      <c r="I2" s="2"/>
    </row>
    <row r="3">
      <c r="B3" s="3" t="s">
        <v>402</v>
      </c>
      <c r="I3" s="2"/>
    </row>
    <row r="4">
      <c r="C4" s="3" t="s">
        <v>406</v>
      </c>
      <c r="I4" s="2" t="s">
        <v>408</v>
      </c>
      <c r="J4" s="3" t="s">
        <v>410</v>
      </c>
    </row>
    <row r="5">
      <c r="C5" s="3" t="s">
        <v>412</v>
      </c>
      <c r="I5" s="2" t="s">
        <v>413</v>
      </c>
      <c r="J5" s="3" t="s">
        <v>414</v>
      </c>
    </row>
    <row r="6">
      <c r="C6" s="3" t="s">
        <v>417</v>
      </c>
      <c r="I6" s="2" t="s">
        <v>419</v>
      </c>
      <c r="J6" s="3" t="s">
        <v>421</v>
      </c>
    </row>
    <row r="7">
      <c r="C7" s="3" t="s">
        <v>422</v>
      </c>
    </row>
    <row r="9">
      <c r="A9" s="2" t="s">
        <v>424</v>
      </c>
    </row>
    <row r="10">
      <c r="B10" s="3" t="s">
        <v>427</v>
      </c>
      <c r="I10" s="2" t="s">
        <v>429</v>
      </c>
      <c r="J10" s="2" t="s">
        <v>431</v>
      </c>
    </row>
    <row r="11">
      <c r="C11" s="3" t="s">
        <v>432</v>
      </c>
      <c r="I11" s="3" t="s">
        <v>434</v>
      </c>
      <c r="J11" s="3" t="s">
        <v>435</v>
      </c>
    </row>
    <row r="12">
      <c r="C12" s="3" t="s">
        <v>437</v>
      </c>
      <c r="I12" s="3" t="s">
        <v>438</v>
      </c>
      <c r="J12" s="3" t="s">
        <v>440</v>
      </c>
    </row>
    <row r="13">
      <c r="C13" s="3" t="s">
        <v>443</v>
      </c>
      <c r="I13" s="3" t="s">
        <v>444</v>
      </c>
      <c r="J13" s="3" t="s">
        <v>445</v>
      </c>
    </row>
    <row r="14">
      <c r="B14" s="3" t="s">
        <v>447</v>
      </c>
    </row>
    <row r="15">
      <c r="C15" s="3" t="s">
        <v>449</v>
      </c>
      <c r="I15" s="2" t="s">
        <v>451</v>
      </c>
    </row>
    <row r="16">
      <c r="C16" s="3" t="s">
        <v>453</v>
      </c>
      <c r="J16" s="38" t="s">
        <v>408</v>
      </c>
      <c r="K16" s="6" t="s">
        <v>124</v>
      </c>
      <c r="L16" s="6" t="s">
        <v>455</v>
      </c>
      <c r="M16" s="2" t="s">
        <v>456</v>
      </c>
    </row>
    <row r="17">
      <c r="J17" s="3" t="s">
        <v>459</v>
      </c>
      <c r="K17" s="13">
        <v>2.0</v>
      </c>
      <c r="L17" s="13" t="s">
        <v>462</v>
      </c>
    </row>
    <row r="18">
      <c r="A18" s="2" t="s">
        <v>463</v>
      </c>
      <c r="J18" s="3" t="s">
        <v>464</v>
      </c>
      <c r="K18" s="13">
        <v>3.0</v>
      </c>
      <c r="L18" s="13" t="s">
        <v>466</v>
      </c>
    </row>
    <row r="19">
      <c r="J19" s="3" t="s">
        <v>467</v>
      </c>
      <c r="K19" s="13">
        <v>4.0</v>
      </c>
      <c r="L19" s="13" t="s">
        <v>469</v>
      </c>
    </row>
    <row r="20">
      <c r="B20" s="3" t="s">
        <v>470</v>
      </c>
      <c r="J20" s="3" t="s">
        <v>472</v>
      </c>
      <c r="K20" s="13">
        <v>5.0</v>
      </c>
      <c r="L20" s="13" t="s">
        <v>474</v>
      </c>
      <c r="M20" s="3" t="s">
        <v>475</v>
      </c>
    </row>
    <row r="21">
      <c r="B21" s="3" t="s">
        <v>477</v>
      </c>
      <c r="J21" s="3" t="s">
        <v>478</v>
      </c>
      <c r="K21" s="13">
        <v>6.0</v>
      </c>
      <c r="L21" s="13" t="s">
        <v>479</v>
      </c>
      <c r="M21" s="3" t="s">
        <v>480</v>
      </c>
    </row>
    <row r="22">
      <c r="B22" s="3" t="s">
        <v>482</v>
      </c>
      <c r="D22" s="3" t="s">
        <v>483</v>
      </c>
      <c r="J22" s="3" t="s">
        <v>484</v>
      </c>
      <c r="K22" s="13">
        <v>7.0</v>
      </c>
      <c r="L22" s="13" t="s">
        <v>486</v>
      </c>
      <c r="M22" s="3" t="s">
        <v>487</v>
      </c>
    </row>
    <row r="23">
      <c r="B23" s="3" t="s">
        <v>489</v>
      </c>
      <c r="D23" s="3" t="s">
        <v>490</v>
      </c>
    </row>
    <row r="24">
      <c r="B24" s="3" t="s">
        <v>492</v>
      </c>
      <c r="D24" s="3" t="s">
        <v>493</v>
      </c>
      <c r="I24" s="2" t="s">
        <v>495</v>
      </c>
    </row>
    <row r="25">
      <c r="B25" s="3" t="s">
        <v>496</v>
      </c>
      <c r="D25" s="3" t="s">
        <v>497</v>
      </c>
      <c r="J25" s="3" t="s">
        <v>498</v>
      </c>
    </row>
    <row r="26">
      <c r="B26" s="3" t="s">
        <v>500</v>
      </c>
      <c r="J26" s="3" t="s">
        <v>501</v>
      </c>
    </row>
    <row r="27">
      <c r="B27" s="3" t="s">
        <v>503</v>
      </c>
    </row>
    <row r="28">
      <c r="I28" s="2" t="s">
        <v>504</v>
      </c>
    </row>
    <row r="29">
      <c r="A29" s="2" t="s">
        <v>276</v>
      </c>
      <c r="J29" s="3" t="s">
        <v>507</v>
      </c>
    </row>
    <row r="30">
      <c r="B30" s="3" t="s">
        <v>508</v>
      </c>
      <c r="J30" s="3" t="s">
        <v>509</v>
      </c>
    </row>
    <row r="31">
      <c r="B31" s="3" t="s">
        <v>510</v>
      </c>
    </row>
    <row r="32">
      <c r="C32" s="3" t="s">
        <v>511</v>
      </c>
    </row>
    <row r="33">
      <c r="C33" s="3" t="s">
        <v>512</v>
      </c>
    </row>
    <row r="34">
      <c r="C34" s="3" t="s">
        <v>513</v>
      </c>
    </row>
    <row r="35">
      <c r="C35" s="3" t="s">
        <v>514</v>
      </c>
    </row>
    <row r="37">
      <c r="A37" s="2" t="s">
        <v>483</v>
      </c>
      <c r="I37" s="2"/>
    </row>
    <row r="38">
      <c r="B38" s="3" t="s">
        <v>515</v>
      </c>
    </row>
    <row r="39">
      <c r="B39" s="3" t="s">
        <v>516</v>
      </c>
    </row>
    <row r="40">
      <c r="B40" s="3" t="s">
        <v>517</v>
      </c>
    </row>
    <row r="42">
      <c r="A42" s="2" t="s">
        <v>519</v>
      </c>
    </row>
    <row r="43">
      <c r="B43" s="3" t="s">
        <v>520</v>
      </c>
    </row>
    <row r="44">
      <c r="C44" s="3" t="s">
        <v>521</v>
      </c>
    </row>
    <row r="45">
      <c r="C45" s="3" t="s">
        <v>523</v>
      </c>
    </row>
    <row r="46">
      <c r="C46" s="3" t="s">
        <v>524</v>
      </c>
    </row>
    <row r="47">
      <c r="B47" s="3" t="s">
        <v>525</v>
      </c>
    </row>
    <row r="48">
      <c r="C48" s="3" t="s">
        <v>527</v>
      </c>
    </row>
    <row r="49">
      <c r="C49" s="3" t="s">
        <v>529</v>
      </c>
    </row>
    <row r="50">
      <c r="C50" s="3" t="s">
        <v>530</v>
      </c>
    </row>
    <row r="51">
      <c r="D51" s="3" t="s">
        <v>531</v>
      </c>
    </row>
    <row r="52">
      <c r="D52" s="3" t="s">
        <v>533</v>
      </c>
    </row>
    <row r="53">
      <c r="C53" s="3" t="s">
        <v>536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7.0"/>
    <col customWidth="1" min="10" max="10" width="6.0"/>
    <col customWidth="1" min="11" max="11" width="7.43"/>
    <col customWidth="1" min="12" max="12" width="11.29"/>
    <col customWidth="1" min="15" max="15" width="8.0"/>
  </cols>
  <sheetData>
    <row r="2">
      <c r="B2" s="2" t="s">
        <v>541</v>
      </c>
      <c r="C2" s="3" t="s">
        <v>542</v>
      </c>
      <c r="J2" s="41" t="s">
        <v>240</v>
      </c>
    </row>
    <row r="3">
      <c r="C3" s="3" t="s">
        <v>544</v>
      </c>
    </row>
    <row r="4">
      <c r="B4" s="2" t="s">
        <v>545</v>
      </c>
      <c r="C4" s="3" t="s">
        <v>546</v>
      </c>
      <c r="J4" s="2"/>
    </row>
    <row r="5">
      <c r="C5" s="3" t="s">
        <v>547</v>
      </c>
      <c r="K5" s="2"/>
      <c r="L5" s="2"/>
    </row>
    <row r="6">
      <c r="B6" s="2" t="s">
        <v>548</v>
      </c>
      <c r="C6" s="3" t="s">
        <v>549</v>
      </c>
    </row>
    <row r="7">
      <c r="C7" s="3" t="s">
        <v>550</v>
      </c>
    </row>
    <row r="8">
      <c r="B8" s="2" t="s">
        <v>552</v>
      </c>
      <c r="C8" s="3" t="s">
        <v>553</v>
      </c>
    </row>
    <row r="9">
      <c r="C9" s="3" t="s">
        <v>554</v>
      </c>
    </row>
    <row r="11">
      <c r="B11" s="2" t="s">
        <v>16</v>
      </c>
    </row>
    <row r="12">
      <c r="C12" s="3" t="s">
        <v>555</v>
      </c>
    </row>
    <row r="13">
      <c r="C13" s="3" t="s">
        <v>556</v>
      </c>
    </row>
    <row r="14">
      <c r="C14" s="3" t="s">
        <v>557</v>
      </c>
    </row>
    <row r="16">
      <c r="B16" s="2" t="s">
        <v>558</v>
      </c>
    </row>
    <row r="17">
      <c r="C17" s="3" t="s">
        <v>560</v>
      </c>
    </row>
    <row r="18">
      <c r="C18" s="3" t="s">
        <v>561</v>
      </c>
    </row>
    <row r="19">
      <c r="D19" s="3" t="s">
        <v>562</v>
      </c>
    </row>
    <row r="21">
      <c r="B21" s="2" t="s">
        <v>563</v>
      </c>
    </row>
    <row r="22">
      <c r="C22" s="3" t="s">
        <v>564</v>
      </c>
    </row>
    <row r="23">
      <c r="C23" s="3" t="s">
        <v>565</v>
      </c>
    </row>
    <row r="24">
      <c r="C24" s="3" t="s">
        <v>566</v>
      </c>
    </row>
  </sheetData>
  <hyperlinks>
    <hyperlink r:id="rId1" ref="J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.43"/>
    <col customWidth="1" min="3" max="3" width="7.29"/>
    <col customWidth="1" min="4" max="4" width="28.0"/>
    <col customWidth="1" min="5" max="5" width="17.71"/>
    <col customWidth="1" min="6" max="6" width="4.43"/>
    <col customWidth="1" min="7" max="7" width="14.57"/>
    <col customWidth="1" min="8" max="8" width="16.86"/>
    <col customWidth="1" min="9" max="9" width="7.57"/>
    <col customWidth="1" min="10" max="10" width="16.86"/>
    <col customWidth="1" min="12" max="12" width="16.14"/>
  </cols>
  <sheetData>
    <row r="2">
      <c r="A2" s="2" t="s">
        <v>578</v>
      </c>
      <c r="G2" s="2" t="s">
        <v>579</v>
      </c>
      <c r="L2" s="2" t="s">
        <v>581</v>
      </c>
    </row>
    <row r="4">
      <c r="A4" s="2" t="s">
        <v>541</v>
      </c>
      <c r="B4" s="3" t="s">
        <v>582</v>
      </c>
      <c r="G4" s="3" t="s">
        <v>583</v>
      </c>
      <c r="H4" s="3" t="s">
        <v>584</v>
      </c>
      <c r="L4" s="2" t="s">
        <v>585</v>
      </c>
      <c r="M4" s="3" t="s">
        <v>586</v>
      </c>
    </row>
    <row r="5">
      <c r="C5" s="3" t="s">
        <v>587</v>
      </c>
      <c r="G5" s="3" t="s">
        <v>588</v>
      </c>
      <c r="H5" s="3" t="s">
        <v>589</v>
      </c>
    </row>
    <row r="6">
      <c r="C6" s="3" t="s">
        <v>590</v>
      </c>
      <c r="G6" s="3" t="s">
        <v>591</v>
      </c>
      <c r="H6" s="3" t="s">
        <v>592</v>
      </c>
      <c r="L6" s="2" t="s">
        <v>593</v>
      </c>
      <c r="M6" s="3" t="s">
        <v>594</v>
      </c>
    </row>
    <row r="7">
      <c r="C7" s="3" t="s">
        <v>595</v>
      </c>
      <c r="G7" s="3" t="s">
        <v>596</v>
      </c>
      <c r="H7" s="3" t="s">
        <v>90</v>
      </c>
      <c r="M7" s="3" t="s">
        <v>597</v>
      </c>
    </row>
    <row r="8">
      <c r="C8" s="3" t="s">
        <v>598</v>
      </c>
      <c r="G8" s="3" t="s">
        <v>599</v>
      </c>
      <c r="H8" s="3" t="s">
        <v>600</v>
      </c>
    </row>
    <row r="9">
      <c r="C9" s="3" t="s">
        <v>601</v>
      </c>
      <c r="D9" s="3" t="s">
        <v>602</v>
      </c>
      <c r="G9" s="3" t="s">
        <v>603</v>
      </c>
      <c r="H9" s="3" t="s">
        <v>604</v>
      </c>
      <c r="L9" s="2" t="s">
        <v>605</v>
      </c>
      <c r="M9" s="3" t="s">
        <v>606</v>
      </c>
    </row>
    <row r="10">
      <c r="C10" s="3" t="s">
        <v>607</v>
      </c>
      <c r="D10" s="3" t="s">
        <v>608</v>
      </c>
      <c r="G10" s="2"/>
    </row>
    <row r="11">
      <c r="G11" s="2"/>
    </row>
    <row r="12">
      <c r="G12" s="2"/>
    </row>
    <row r="13">
      <c r="A13" s="2" t="s">
        <v>545</v>
      </c>
      <c r="B13" s="3" t="s">
        <v>609</v>
      </c>
      <c r="G13" s="3" t="s">
        <v>610</v>
      </c>
      <c r="H13" s="3" t="s">
        <v>611</v>
      </c>
      <c r="L13" s="2" t="s">
        <v>612</v>
      </c>
      <c r="M13" s="3" t="s">
        <v>613</v>
      </c>
    </row>
    <row r="14">
      <c r="C14" s="3" t="s">
        <v>614</v>
      </c>
      <c r="G14" s="3" t="s">
        <v>615</v>
      </c>
      <c r="H14" s="3" t="s">
        <v>616</v>
      </c>
    </row>
    <row r="15">
      <c r="C15" s="3" t="s">
        <v>617</v>
      </c>
      <c r="G15" s="3" t="s">
        <v>618</v>
      </c>
      <c r="H15" s="3" t="s">
        <v>619</v>
      </c>
      <c r="L15" s="2" t="s">
        <v>620</v>
      </c>
      <c r="M15" s="3" t="s">
        <v>621</v>
      </c>
    </row>
    <row r="16">
      <c r="C16" s="3" t="s">
        <v>622</v>
      </c>
      <c r="G16" s="3" t="s">
        <v>623</v>
      </c>
      <c r="H16" s="3" t="s">
        <v>624</v>
      </c>
    </row>
    <row r="17">
      <c r="C17" s="3" t="s">
        <v>625</v>
      </c>
      <c r="G17" s="3" t="s">
        <v>626</v>
      </c>
      <c r="H17" s="3" t="s">
        <v>627</v>
      </c>
      <c r="L17" s="2" t="s">
        <v>628</v>
      </c>
      <c r="M17" s="3" t="s">
        <v>629</v>
      </c>
    </row>
    <row r="18">
      <c r="C18" s="3" t="s">
        <v>630</v>
      </c>
      <c r="G18" s="3" t="s">
        <v>631</v>
      </c>
      <c r="H18" s="3" t="s">
        <v>632</v>
      </c>
    </row>
    <row r="19">
      <c r="C19" s="3" t="s">
        <v>601</v>
      </c>
      <c r="D19" s="3" t="s">
        <v>633</v>
      </c>
      <c r="L19" s="2"/>
      <c r="M19" s="3"/>
    </row>
    <row r="20">
      <c r="C20" s="3" t="s">
        <v>607</v>
      </c>
      <c r="D20" s="3" t="s">
        <v>634</v>
      </c>
      <c r="L20" s="2"/>
      <c r="M20" s="3"/>
    </row>
    <row r="21">
      <c r="L21" s="2" t="s">
        <v>635</v>
      </c>
      <c r="M21" s="3" t="s">
        <v>637</v>
      </c>
    </row>
    <row r="22">
      <c r="A22" s="2" t="s">
        <v>548</v>
      </c>
      <c r="B22" s="3" t="s">
        <v>640</v>
      </c>
      <c r="G22" s="3" t="s">
        <v>643</v>
      </c>
      <c r="H22" s="3" t="s">
        <v>644</v>
      </c>
    </row>
    <row r="23">
      <c r="C23" s="3" t="s">
        <v>646</v>
      </c>
      <c r="G23" s="3" t="s">
        <v>648</v>
      </c>
      <c r="H23" s="3" t="s">
        <v>650</v>
      </c>
      <c r="L23" s="2" t="s">
        <v>652</v>
      </c>
      <c r="M23" s="3" t="s">
        <v>653</v>
      </c>
    </row>
    <row r="24">
      <c r="C24" s="3" t="s">
        <v>655</v>
      </c>
      <c r="G24" s="3" t="s">
        <v>657</v>
      </c>
      <c r="H24" s="3" t="s">
        <v>659</v>
      </c>
    </row>
    <row r="25">
      <c r="C25" s="3" t="s">
        <v>660</v>
      </c>
      <c r="G25" s="3" t="s">
        <v>661</v>
      </c>
      <c r="H25" s="3" t="s">
        <v>573</v>
      </c>
    </row>
    <row r="26">
      <c r="C26" s="3" t="s">
        <v>664</v>
      </c>
      <c r="G26" s="3" t="s">
        <v>666</v>
      </c>
      <c r="H26" s="3" t="s">
        <v>35</v>
      </c>
    </row>
    <row r="27">
      <c r="C27" s="3" t="s">
        <v>669</v>
      </c>
    </row>
    <row r="28">
      <c r="C28" s="3" t="s">
        <v>601</v>
      </c>
      <c r="D28" s="3" t="s">
        <v>672</v>
      </c>
      <c r="G28" s="2"/>
    </row>
    <row r="29">
      <c r="C29" s="3" t="s">
        <v>607</v>
      </c>
      <c r="D29" s="3" t="s">
        <v>675</v>
      </c>
      <c r="G29" s="2"/>
    </row>
    <row r="30">
      <c r="G30" s="2"/>
    </row>
    <row r="31">
      <c r="A31" s="2" t="s">
        <v>552</v>
      </c>
      <c r="B31" s="3" t="s">
        <v>679</v>
      </c>
      <c r="G31" s="3" t="s">
        <v>680</v>
      </c>
      <c r="H31" s="3" t="s">
        <v>681</v>
      </c>
    </row>
    <row r="32">
      <c r="C32" s="3" t="s">
        <v>682</v>
      </c>
      <c r="G32" s="3" t="s">
        <v>683</v>
      </c>
      <c r="H32" s="3" t="s">
        <v>684</v>
      </c>
    </row>
    <row r="33">
      <c r="A33" s="2"/>
      <c r="C33" s="3" t="s">
        <v>685</v>
      </c>
      <c r="G33" s="3" t="s">
        <v>686</v>
      </c>
      <c r="H33" s="3" t="s">
        <v>687</v>
      </c>
    </row>
    <row r="34">
      <c r="C34" s="3" t="s">
        <v>688</v>
      </c>
      <c r="G34" s="3" t="s">
        <v>689</v>
      </c>
      <c r="H34" s="3" t="s">
        <v>690</v>
      </c>
    </row>
    <row r="35">
      <c r="C35" s="3" t="s">
        <v>691</v>
      </c>
      <c r="G35" s="3" t="s">
        <v>692</v>
      </c>
      <c r="H35" s="3" t="s">
        <v>693</v>
      </c>
    </row>
    <row r="36">
      <c r="C36" s="3" t="s">
        <v>694</v>
      </c>
      <c r="G36" s="3" t="s">
        <v>695</v>
      </c>
      <c r="H36" s="3" t="s">
        <v>85</v>
      </c>
    </row>
    <row r="37">
      <c r="C37" s="3" t="s">
        <v>696</v>
      </c>
    </row>
    <row r="38">
      <c r="C38" s="3" t="s">
        <v>601</v>
      </c>
      <c r="D38" s="3" t="s">
        <v>697</v>
      </c>
    </row>
    <row r="39">
      <c r="C39" s="3" t="s">
        <v>607</v>
      </c>
      <c r="D39" s="3" t="s">
        <v>698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3" max="3" width="48.57"/>
    <col customWidth="1" min="4" max="4" width="5.43"/>
    <col customWidth="1" min="5" max="5" width="55.43"/>
    <col customWidth="1" min="6" max="6" width="4.29"/>
  </cols>
  <sheetData>
    <row r="4">
      <c r="B4" s="6" t="s">
        <v>636</v>
      </c>
      <c r="C4" s="2" t="s">
        <v>638</v>
      </c>
      <c r="E4" s="2" t="s">
        <v>639</v>
      </c>
      <c r="G4" s="2" t="s">
        <v>641</v>
      </c>
      <c r="H4" s="2" t="s">
        <v>642</v>
      </c>
    </row>
    <row r="5">
      <c r="B5" s="13">
        <v>21.0</v>
      </c>
      <c r="C5" s="3" t="s">
        <v>645</v>
      </c>
      <c r="E5" s="3" t="s">
        <v>647</v>
      </c>
      <c r="G5" s="3" t="s">
        <v>649</v>
      </c>
      <c r="H5" s="3" t="s">
        <v>651</v>
      </c>
    </row>
    <row r="6">
      <c r="B6" s="13">
        <v>22.0</v>
      </c>
      <c r="C6" s="3" t="s">
        <v>654</v>
      </c>
      <c r="E6" s="3" t="s">
        <v>656</v>
      </c>
      <c r="G6" s="3" t="s">
        <v>658</v>
      </c>
      <c r="H6" s="3" t="s">
        <v>651</v>
      </c>
    </row>
    <row r="7">
      <c r="B7" s="13">
        <v>23.0</v>
      </c>
      <c r="C7" s="3" t="s">
        <v>662</v>
      </c>
      <c r="D7" s="3"/>
      <c r="E7" s="3" t="s">
        <v>663</v>
      </c>
      <c r="G7" s="3" t="s">
        <v>665</v>
      </c>
      <c r="H7" s="3" t="s">
        <v>667</v>
      </c>
    </row>
    <row r="8">
      <c r="A8" s="3" t="s">
        <v>668</v>
      </c>
      <c r="B8" s="13">
        <v>24.0</v>
      </c>
      <c r="C8" s="3" t="s">
        <v>670</v>
      </c>
      <c r="E8" s="3" t="s">
        <v>671</v>
      </c>
      <c r="G8" s="3" t="s">
        <v>673</v>
      </c>
      <c r="H8" s="3" t="s">
        <v>674</v>
      </c>
    </row>
    <row r="9">
      <c r="B9" s="13">
        <v>25.0</v>
      </c>
      <c r="C9" s="3" t="s">
        <v>676</v>
      </c>
      <c r="E9" s="3" t="s">
        <v>677</v>
      </c>
      <c r="G9" s="3" t="s">
        <v>678</v>
      </c>
      <c r="H9" s="3" t="s">
        <v>674</v>
      </c>
    </row>
    <row r="10">
      <c r="B10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0"/>
    <col customWidth="1" min="4" max="4" width="5.57"/>
    <col customWidth="1" min="7" max="7" width="6.14"/>
    <col customWidth="1" min="8" max="8" width="19.71"/>
    <col customWidth="1" min="12" max="12" width="4.71"/>
    <col customWidth="1" min="13" max="13" width="49.86"/>
  </cols>
  <sheetData>
    <row r="1">
      <c r="M1" s="171"/>
      <c r="N1" s="171"/>
    </row>
    <row r="2">
      <c r="L2" s="2" t="s">
        <v>699</v>
      </c>
      <c r="M2" s="171"/>
      <c r="N2" s="171"/>
    </row>
    <row r="3">
      <c r="B3" s="172" t="s">
        <v>700</v>
      </c>
      <c r="M3" s="3" t="s">
        <v>701</v>
      </c>
      <c r="N3" s="171"/>
    </row>
    <row r="4">
      <c r="M4" s="3" t="s">
        <v>702</v>
      </c>
    </row>
    <row r="5">
      <c r="B5" s="3" t="s">
        <v>703</v>
      </c>
      <c r="M5" s="3" t="s">
        <v>704</v>
      </c>
    </row>
    <row r="6">
      <c r="B6" s="3" t="s">
        <v>705</v>
      </c>
      <c r="M6" s="3" t="s">
        <v>706</v>
      </c>
    </row>
    <row r="7">
      <c r="B7" s="3" t="s">
        <v>708</v>
      </c>
      <c r="M7" s="3" t="s">
        <v>709</v>
      </c>
    </row>
    <row r="9">
      <c r="B9" s="2" t="s">
        <v>710</v>
      </c>
      <c r="D9" s="3" t="s">
        <v>711</v>
      </c>
      <c r="K9" s="3">
        <v>1.0</v>
      </c>
      <c r="L9" s="174" t="s">
        <v>712</v>
      </c>
      <c r="M9" s="175"/>
      <c r="N9" s="175"/>
    </row>
    <row r="10">
      <c r="C10" s="3" t="s">
        <v>257</v>
      </c>
      <c r="E10" s="3"/>
      <c r="L10" s="176" t="s">
        <v>713</v>
      </c>
      <c r="M10" s="177" t="s">
        <v>714</v>
      </c>
      <c r="N10" s="177" t="s">
        <v>715</v>
      </c>
    </row>
    <row r="11">
      <c r="C11" s="3" t="s">
        <v>135</v>
      </c>
      <c r="L11" s="178">
        <v>1.0</v>
      </c>
      <c r="M11" s="175" t="s">
        <v>716</v>
      </c>
      <c r="N11" s="175" t="s">
        <v>717</v>
      </c>
    </row>
    <row r="12">
      <c r="B12" s="2" t="s">
        <v>155</v>
      </c>
      <c r="D12" s="3" t="s">
        <v>718</v>
      </c>
      <c r="L12" s="178">
        <v>2.0</v>
      </c>
      <c r="M12" s="175" t="s">
        <v>719</v>
      </c>
      <c r="N12" s="175" t="s">
        <v>720</v>
      </c>
    </row>
    <row r="13">
      <c r="C13" s="3" t="s">
        <v>721</v>
      </c>
      <c r="E13" s="3" t="s">
        <v>722</v>
      </c>
      <c r="L13" s="178">
        <v>3.0</v>
      </c>
      <c r="M13" s="175" t="s">
        <v>723</v>
      </c>
      <c r="N13" s="175" t="s">
        <v>724</v>
      </c>
    </row>
    <row r="14">
      <c r="C14" s="3" t="s">
        <v>725</v>
      </c>
      <c r="E14" s="3" t="s">
        <v>726</v>
      </c>
      <c r="L14" s="178">
        <v>4.0</v>
      </c>
      <c r="M14" s="175" t="s">
        <v>727</v>
      </c>
      <c r="N14" s="175" t="s">
        <v>728</v>
      </c>
    </row>
    <row r="15">
      <c r="B15" s="2" t="s">
        <v>729</v>
      </c>
      <c r="D15" s="3" t="s">
        <v>730</v>
      </c>
      <c r="L15" s="178">
        <v>5.0</v>
      </c>
      <c r="M15" s="175" t="s">
        <v>731</v>
      </c>
      <c r="N15" s="175" t="s">
        <v>732</v>
      </c>
    </row>
    <row r="16">
      <c r="C16" s="3" t="s">
        <v>733</v>
      </c>
      <c r="D16" s="3" t="s">
        <v>734</v>
      </c>
      <c r="E16" s="3" t="s">
        <v>735</v>
      </c>
      <c r="L16" s="178">
        <v>6.0</v>
      </c>
      <c r="M16" s="175" t="s">
        <v>736</v>
      </c>
      <c r="N16" s="175" t="s">
        <v>737</v>
      </c>
    </row>
    <row r="17">
      <c r="C17" s="3" t="s">
        <v>738</v>
      </c>
      <c r="E17" s="3" t="s">
        <v>739</v>
      </c>
      <c r="L17" s="179"/>
      <c r="M17" s="175"/>
      <c r="N17" s="175"/>
    </row>
    <row r="18">
      <c r="C18" s="3" t="s">
        <v>740</v>
      </c>
      <c r="D18" s="3"/>
      <c r="E18" s="3" t="s">
        <v>741</v>
      </c>
      <c r="K18" s="3">
        <v>2.0</v>
      </c>
      <c r="L18" s="174" t="s">
        <v>742</v>
      </c>
      <c r="M18" s="175"/>
      <c r="N18" s="175"/>
    </row>
    <row r="19">
      <c r="B19" s="2" t="s">
        <v>743</v>
      </c>
      <c r="D19" s="3" t="s">
        <v>744</v>
      </c>
      <c r="L19" s="176" t="s">
        <v>713</v>
      </c>
      <c r="M19" s="177" t="s">
        <v>714</v>
      </c>
      <c r="N19" s="177" t="s">
        <v>715</v>
      </c>
    </row>
    <row r="20">
      <c r="C20" s="3" t="s">
        <v>745</v>
      </c>
      <c r="D20" s="3"/>
      <c r="L20" s="178">
        <v>1.0</v>
      </c>
      <c r="M20" s="175" t="s">
        <v>746</v>
      </c>
      <c r="N20" s="175" t="s">
        <v>747</v>
      </c>
    </row>
    <row r="21">
      <c r="L21" s="178">
        <v>2.0</v>
      </c>
      <c r="M21" s="175" t="s">
        <v>748</v>
      </c>
      <c r="N21" s="175" t="s">
        <v>749</v>
      </c>
    </row>
    <row r="22">
      <c r="B22" s="2" t="s">
        <v>750</v>
      </c>
      <c r="C22" s="2" t="s">
        <v>751</v>
      </c>
      <c r="D22" s="9" t="s">
        <v>752</v>
      </c>
      <c r="H22" s="2" t="s">
        <v>753</v>
      </c>
      <c r="I22" s="3" t="s">
        <v>754</v>
      </c>
      <c r="L22" s="178">
        <v>3.0</v>
      </c>
      <c r="M22" s="175" t="s">
        <v>755</v>
      </c>
      <c r="N22" s="175" t="s">
        <v>756</v>
      </c>
    </row>
    <row r="23">
      <c r="E23" s="3" t="s">
        <v>757</v>
      </c>
      <c r="I23" s="3" t="s">
        <v>758</v>
      </c>
      <c r="L23" s="178">
        <v>4.0</v>
      </c>
      <c r="M23" s="175" t="s">
        <v>759</v>
      </c>
      <c r="N23" s="175" t="s">
        <v>760</v>
      </c>
    </row>
    <row r="24">
      <c r="E24" s="3" t="s">
        <v>761</v>
      </c>
      <c r="I24" s="3" t="s">
        <v>762</v>
      </c>
      <c r="L24" s="178">
        <v>5.0</v>
      </c>
      <c r="M24" s="175" t="s">
        <v>763</v>
      </c>
      <c r="N24" s="175" t="s">
        <v>764</v>
      </c>
    </row>
    <row r="25">
      <c r="E25" s="3" t="s">
        <v>765</v>
      </c>
      <c r="I25" s="3" t="s">
        <v>766</v>
      </c>
      <c r="L25" s="178">
        <v>6.0</v>
      </c>
      <c r="M25" s="175" t="s">
        <v>767</v>
      </c>
      <c r="N25" s="175" t="s">
        <v>768</v>
      </c>
    </row>
    <row r="26">
      <c r="E26" s="3" t="s">
        <v>769</v>
      </c>
      <c r="I26" s="3" t="s">
        <v>770</v>
      </c>
      <c r="L26" s="179"/>
      <c r="M26" s="175"/>
      <c r="N26" s="175"/>
    </row>
    <row r="27">
      <c r="E27" s="3" t="s">
        <v>771</v>
      </c>
      <c r="I27" s="3" t="s">
        <v>772</v>
      </c>
      <c r="K27" s="3">
        <v>3.0</v>
      </c>
      <c r="L27" s="174" t="s">
        <v>773</v>
      </c>
      <c r="M27" s="175"/>
      <c r="N27" s="175"/>
    </row>
    <row r="28">
      <c r="E28" s="3" t="s">
        <v>774</v>
      </c>
      <c r="I28" s="3" t="s">
        <v>775</v>
      </c>
      <c r="L28" s="176" t="s">
        <v>713</v>
      </c>
      <c r="M28" s="177" t="s">
        <v>714</v>
      </c>
      <c r="N28" s="177" t="s">
        <v>715</v>
      </c>
    </row>
    <row r="29">
      <c r="E29" s="3" t="s">
        <v>776</v>
      </c>
      <c r="I29" s="3" t="s">
        <v>777</v>
      </c>
      <c r="L29" s="178">
        <v>1.0</v>
      </c>
      <c r="M29" s="175" t="s">
        <v>778</v>
      </c>
      <c r="N29" s="175" t="s">
        <v>779</v>
      </c>
    </row>
    <row r="30">
      <c r="E30" s="3" t="s">
        <v>780</v>
      </c>
      <c r="I30" s="3" t="s">
        <v>781</v>
      </c>
      <c r="L30" s="178">
        <v>2.0</v>
      </c>
      <c r="M30" s="175" t="s">
        <v>782</v>
      </c>
      <c r="N30" s="175" t="s">
        <v>783</v>
      </c>
    </row>
    <row r="31">
      <c r="I31" s="3" t="s">
        <v>784</v>
      </c>
      <c r="L31" s="178">
        <v>3.0</v>
      </c>
      <c r="M31" s="175" t="s">
        <v>785</v>
      </c>
      <c r="N31" s="175" t="s">
        <v>786</v>
      </c>
    </row>
    <row r="32">
      <c r="C32" s="2" t="s">
        <v>787</v>
      </c>
      <c r="D32" s="3" t="s">
        <v>788</v>
      </c>
      <c r="L32" s="178">
        <v>4.0</v>
      </c>
      <c r="M32" s="175" t="s">
        <v>789</v>
      </c>
      <c r="N32" s="175" t="s">
        <v>790</v>
      </c>
    </row>
    <row r="33">
      <c r="D33" s="3">
        <v>1.0</v>
      </c>
      <c r="E33" s="3" t="s">
        <v>791</v>
      </c>
      <c r="H33" s="2" t="s">
        <v>792</v>
      </c>
      <c r="I33" s="3" t="s">
        <v>793</v>
      </c>
      <c r="L33" s="178">
        <v>5.0</v>
      </c>
      <c r="M33" s="175" t="s">
        <v>794</v>
      </c>
      <c r="N33" s="175" t="s">
        <v>795</v>
      </c>
    </row>
    <row r="34">
      <c r="D34" s="3">
        <v>2.0</v>
      </c>
      <c r="E34" s="3" t="s">
        <v>796</v>
      </c>
      <c r="I34" s="3" t="s">
        <v>797</v>
      </c>
      <c r="L34" s="178">
        <v>6.0</v>
      </c>
      <c r="M34" s="175" t="s">
        <v>798</v>
      </c>
      <c r="N34" s="175" t="s">
        <v>799</v>
      </c>
    </row>
    <row r="35">
      <c r="D35" s="3">
        <v>3.0</v>
      </c>
      <c r="E35" s="3" t="s">
        <v>800</v>
      </c>
      <c r="I35" s="3" t="s">
        <v>801</v>
      </c>
    </row>
    <row r="36">
      <c r="D36" s="3">
        <v>4.0</v>
      </c>
      <c r="E36" s="3" t="s">
        <v>802</v>
      </c>
      <c r="I36" s="3" t="s">
        <v>803</v>
      </c>
      <c r="K36" s="3">
        <v>4.0</v>
      </c>
      <c r="L36" s="174" t="s">
        <v>804</v>
      </c>
      <c r="M36" s="175"/>
      <c r="N36" s="175"/>
    </row>
    <row r="37">
      <c r="D37" s="3">
        <v>5.0</v>
      </c>
      <c r="E37" s="3" t="s">
        <v>805</v>
      </c>
      <c r="I37" s="3" t="s">
        <v>806</v>
      </c>
      <c r="L37" s="176" t="s">
        <v>713</v>
      </c>
      <c r="M37" s="177" t="s">
        <v>714</v>
      </c>
      <c r="N37" s="177" t="s">
        <v>715</v>
      </c>
    </row>
    <row r="38">
      <c r="D38" s="3">
        <v>6.0</v>
      </c>
      <c r="E38" s="3" t="s">
        <v>807</v>
      </c>
      <c r="I38" s="3" t="s">
        <v>808</v>
      </c>
      <c r="L38" s="178">
        <v>1.0</v>
      </c>
      <c r="M38" s="175" t="s">
        <v>809</v>
      </c>
      <c r="N38" s="175" t="s">
        <v>810</v>
      </c>
    </row>
    <row r="39">
      <c r="D39" s="3">
        <v>7.0</v>
      </c>
      <c r="E39" s="3" t="s">
        <v>811</v>
      </c>
      <c r="I39" s="3" t="s">
        <v>812</v>
      </c>
      <c r="L39" s="178">
        <v>2.0</v>
      </c>
      <c r="M39" s="175" t="s">
        <v>813</v>
      </c>
      <c r="N39" s="175" t="s">
        <v>814</v>
      </c>
    </row>
    <row r="40">
      <c r="I40" s="3" t="s">
        <v>815</v>
      </c>
      <c r="L40" s="178">
        <v>3.0</v>
      </c>
      <c r="M40" s="175" t="s">
        <v>816</v>
      </c>
      <c r="N40" s="175" t="s">
        <v>817</v>
      </c>
    </row>
    <row r="41">
      <c r="I41" s="3" t="s">
        <v>818</v>
      </c>
      <c r="L41" s="178">
        <v>4.0</v>
      </c>
      <c r="M41" s="175" t="s">
        <v>819</v>
      </c>
      <c r="N41" s="175" t="s">
        <v>820</v>
      </c>
    </row>
    <row r="42">
      <c r="I42" s="3" t="s">
        <v>821</v>
      </c>
      <c r="L42" s="178">
        <v>5.0</v>
      </c>
      <c r="M42" s="175" t="s">
        <v>822</v>
      </c>
      <c r="N42" s="175" t="s">
        <v>823</v>
      </c>
    </row>
    <row r="43">
      <c r="I43" s="3" t="s">
        <v>824</v>
      </c>
      <c r="L43" s="178">
        <v>6.0</v>
      </c>
      <c r="M43" s="175" t="s">
        <v>825</v>
      </c>
      <c r="N43" s="175" t="s">
        <v>826</v>
      </c>
    </row>
    <row r="44">
      <c r="N44" s="171"/>
    </row>
    <row r="45">
      <c r="K45" s="59" t="s">
        <v>827</v>
      </c>
      <c r="L45" s="180" t="s">
        <v>828</v>
      </c>
      <c r="M45" s="175"/>
    </row>
    <row r="46">
      <c r="L46" s="176" t="s">
        <v>713</v>
      </c>
      <c r="M46" s="177" t="s">
        <v>714</v>
      </c>
      <c r="N46" s="177" t="s">
        <v>715</v>
      </c>
    </row>
    <row r="47">
      <c r="L47" s="178">
        <v>1.0</v>
      </c>
      <c r="M47" s="181" t="s">
        <v>829</v>
      </c>
    </row>
    <row r="48">
      <c r="L48" s="178">
        <v>2.0</v>
      </c>
      <c r="M48" s="181" t="s">
        <v>830</v>
      </c>
    </row>
    <row r="49">
      <c r="L49" s="178">
        <v>3.0</v>
      </c>
      <c r="M49" s="39" t="s">
        <v>831</v>
      </c>
    </row>
    <row r="50">
      <c r="L50" s="178">
        <v>4.0</v>
      </c>
      <c r="M50" s="39" t="s">
        <v>832</v>
      </c>
    </row>
    <row r="51">
      <c r="L51" s="178">
        <v>5.0</v>
      </c>
      <c r="M51" s="39" t="s">
        <v>833</v>
      </c>
    </row>
    <row r="52">
      <c r="L52" s="178">
        <v>6.0</v>
      </c>
      <c r="M52" s="39" t="s">
        <v>834</v>
      </c>
    </row>
    <row r="60">
      <c r="M60" s="171"/>
      <c r="N60" s="171"/>
    </row>
    <row r="61">
      <c r="M61" s="171"/>
      <c r="N61" s="171"/>
    </row>
    <row r="62">
      <c r="M62" s="171"/>
      <c r="N62" s="171"/>
    </row>
    <row r="63">
      <c r="M63" s="171"/>
      <c r="N63" s="171"/>
    </row>
    <row r="64">
      <c r="M64" s="171"/>
      <c r="N64" s="171"/>
    </row>
    <row r="65">
      <c r="M65" s="171"/>
      <c r="N65" s="171"/>
    </row>
    <row r="66">
      <c r="M66" s="171"/>
      <c r="N66" s="171"/>
    </row>
    <row r="67">
      <c r="M67" s="171"/>
      <c r="N67" s="171"/>
    </row>
    <row r="68">
      <c r="M68" s="171"/>
      <c r="N68" s="171"/>
    </row>
    <row r="69">
      <c r="M69" s="171"/>
      <c r="N69" s="171"/>
    </row>
    <row r="70">
      <c r="M70" s="171"/>
      <c r="N70" s="171"/>
    </row>
    <row r="71">
      <c r="M71" s="171"/>
      <c r="N71" s="171"/>
    </row>
    <row r="72">
      <c r="M72" s="171"/>
      <c r="N72" s="171"/>
    </row>
    <row r="73">
      <c r="M73" s="171"/>
      <c r="N73" s="171"/>
    </row>
    <row r="74">
      <c r="M74" s="171"/>
      <c r="N74" s="171"/>
    </row>
    <row r="75">
      <c r="M75" s="171"/>
      <c r="N75" s="171"/>
    </row>
    <row r="76">
      <c r="M76" s="171"/>
      <c r="N76" s="171"/>
    </row>
    <row r="77">
      <c r="M77" s="171"/>
      <c r="N77" s="171"/>
    </row>
    <row r="78">
      <c r="M78" s="171"/>
      <c r="N78" s="171"/>
    </row>
    <row r="79">
      <c r="M79" s="171"/>
      <c r="N79" s="171"/>
    </row>
    <row r="80">
      <c r="M80" s="171"/>
      <c r="N80" s="171"/>
    </row>
    <row r="81">
      <c r="M81" s="171"/>
      <c r="N81" s="171"/>
    </row>
    <row r="82">
      <c r="M82" s="171"/>
      <c r="N82" s="171"/>
    </row>
    <row r="83">
      <c r="M83" s="171"/>
      <c r="N83" s="171"/>
    </row>
    <row r="84">
      <c r="M84" s="171"/>
      <c r="N84" s="171"/>
    </row>
    <row r="85">
      <c r="M85" s="171"/>
      <c r="N85" s="171"/>
    </row>
    <row r="86">
      <c r="M86" s="171"/>
      <c r="N86" s="171"/>
    </row>
    <row r="87">
      <c r="M87" s="171"/>
      <c r="N87" s="171"/>
    </row>
    <row r="88">
      <c r="M88" s="171"/>
      <c r="N88" s="171"/>
    </row>
    <row r="89">
      <c r="M89" s="171"/>
      <c r="N89" s="171"/>
    </row>
    <row r="90">
      <c r="M90" s="171"/>
      <c r="N90" s="171"/>
    </row>
    <row r="91">
      <c r="M91" s="171"/>
      <c r="N91" s="171"/>
    </row>
    <row r="92">
      <c r="M92" s="171"/>
      <c r="N92" s="171"/>
    </row>
    <row r="93">
      <c r="M93" s="171"/>
      <c r="N93" s="171"/>
    </row>
    <row r="94">
      <c r="M94" s="171"/>
      <c r="N94" s="171"/>
    </row>
    <row r="95">
      <c r="M95" s="171"/>
      <c r="N95" s="171"/>
    </row>
    <row r="96">
      <c r="M96" s="171"/>
      <c r="N96" s="171"/>
    </row>
    <row r="97">
      <c r="M97" s="171"/>
      <c r="N97" s="171"/>
    </row>
    <row r="98">
      <c r="M98" s="171"/>
      <c r="N98" s="171"/>
    </row>
    <row r="99">
      <c r="M99" s="171"/>
      <c r="N99" s="171"/>
    </row>
    <row r="100">
      <c r="M100" s="171"/>
      <c r="N100" s="171"/>
    </row>
    <row r="101">
      <c r="M101" s="171"/>
      <c r="N101" s="171"/>
    </row>
    <row r="102">
      <c r="M102" s="171"/>
      <c r="N102" s="171"/>
    </row>
    <row r="103">
      <c r="M103" s="171"/>
      <c r="N103" s="171"/>
    </row>
    <row r="104">
      <c r="M104" s="171"/>
      <c r="N104" s="171"/>
    </row>
    <row r="105">
      <c r="M105" s="171"/>
      <c r="N105" s="171"/>
    </row>
    <row r="106">
      <c r="M106" s="171"/>
      <c r="N106" s="171"/>
    </row>
    <row r="107">
      <c r="M107" s="171"/>
      <c r="N107" s="171"/>
    </row>
    <row r="108">
      <c r="M108" s="171"/>
      <c r="N108" s="171"/>
    </row>
    <row r="109">
      <c r="M109" s="171"/>
      <c r="N109" s="171"/>
    </row>
    <row r="110">
      <c r="M110" s="171"/>
      <c r="N110" s="171"/>
    </row>
    <row r="111">
      <c r="M111" s="171"/>
      <c r="N111" s="171"/>
    </row>
    <row r="112">
      <c r="M112" s="171"/>
      <c r="N112" s="171"/>
    </row>
    <row r="113">
      <c r="M113" s="171"/>
      <c r="N113" s="171"/>
    </row>
    <row r="114">
      <c r="M114" s="171"/>
      <c r="N114" s="171"/>
    </row>
    <row r="115">
      <c r="M115" s="171"/>
      <c r="N115" s="171"/>
    </row>
    <row r="116">
      <c r="M116" s="171"/>
      <c r="N116" s="171"/>
    </row>
    <row r="117">
      <c r="M117" s="171"/>
      <c r="N117" s="171"/>
    </row>
    <row r="118">
      <c r="M118" s="171"/>
      <c r="N118" s="171"/>
    </row>
    <row r="119">
      <c r="M119" s="171"/>
      <c r="N119" s="171"/>
    </row>
    <row r="120">
      <c r="M120" s="171"/>
      <c r="N120" s="171"/>
    </row>
    <row r="121">
      <c r="M121" s="171"/>
      <c r="N121" s="171"/>
    </row>
    <row r="122">
      <c r="M122" s="171"/>
      <c r="N122" s="171"/>
    </row>
    <row r="123">
      <c r="M123" s="171"/>
      <c r="N123" s="171"/>
    </row>
    <row r="124">
      <c r="M124" s="171"/>
      <c r="N124" s="171"/>
    </row>
    <row r="125">
      <c r="M125" s="171"/>
      <c r="N125" s="171"/>
    </row>
    <row r="126">
      <c r="M126" s="171"/>
      <c r="N126" s="171"/>
    </row>
    <row r="127">
      <c r="M127" s="171"/>
      <c r="N127" s="171"/>
    </row>
    <row r="128">
      <c r="M128" s="171"/>
      <c r="N128" s="171"/>
    </row>
    <row r="129">
      <c r="M129" s="171"/>
      <c r="N129" s="171"/>
    </row>
    <row r="130">
      <c r="M130" s="171"/>
      <c r="N130" s="171"/>
    </row>
    <row r="131">
      <c r="M131" s="171"/>
      <c r="N131" s="171"/>
    </row>
    <row r="132">
      <c r="M132" s="171"/>
      <c r="N132" s="171"/>
    </row>
    <row r="133">
      <c r="M133" s="171"/>
      <c r="N133" s="171"/>
    </row>
    <row r="134">
      <c r="M134" s="171"/>
      <c r="N134" s="171"/>
    </row>
    <row r="135">
      <c r="M135" s="171"/>
      <c r="N135" s="171"/>
    </row>
    <row r="136">
      <c r="M136" s="171"/>
      <c r="N136" s="171"/>
    </row>
    <row r="137">
      <c r="M137" s="171"/>
      <c r="N137" s="171"/>
    </row>
    <row r="138">
      <c r="M138" s="171"/>
      <c r="N138" s="171"/>
    </row>
    <row r="139">
      <c r="M139" s="171"/>
      <c r="N139" s="171"/>
    </row>
    <row r="140">
      <c r="M140" s="171"/>
      <c r="N140" s="171"/>
    </row>
    <row r="141">
      <c r="M141" s="171"/>
      <c r="N141" s="171"/>
    </row>
    <row r="142">
      <c r="M142" s="171"/>
      <c r="N142" s="171"/>
    </row>
    <row r="143">
      <c r="M143" s="171"/>
      <c r="N143" s="171"/>
    </row>
    <row r="144">
      <c r="M144" s="171"/>
      <c r="N144" s="171"/>
    </row>
    <row r="145">
      <c r="M145" s="171"/>
      <c r="N145" s="171"/>
    </row>
    <row r="146">
      <c r="M146" s="171"/>
      <c r="N146" s="171"/>
    </row>
    <row r="147">
      <c r="M147" s="171"/>
      <c r="N147" s="171"/>
    </row>
    <row r="148">
      <c r="M148" s="171"/>
      <c r="N148" s="171"/>
    </row>
    <row r="149">
      <c r="M149" s="171"/>
      <c r="N149" s="171"/>
    </row>
    <row r="150">
      <c r="M150" s="171"/>
      <c r="N150" s="171"/>
    </row>
    <row r="151">
      <c r="M151" s="171"/>
      <c r="N151" s="171"/>
    </row>
    <row r="152">
      <c r="M152" s="171"/>
      <c r="N152" s="171"/>
    </row>
    <row r="153">
      <c r="M153" s="171"/>
      <c r="N153" s="171"/>
    </row>
    <row r="154">
      <c r="M154" s="171"/>
      <c r="N154" s="171"/>
    </row>
    <row r="155">
      <c r="M155" s="171"/>
      <c r="N155" s="171"/>
    </row>
    <row r="156">
      <c r="M156" s="171"/>
      <c r="N156" s="171"/>
    </row>
    <row r="157">
      <c r="M157" s="171"/>
      <c r="N157" s="171"/>
    </row>
    <row r="158">
      <c r="M158" s="171"/>
      <c r="N158" s="171"/>
    </row>
    <row r="159">
      <c r="M159" s="171"/>
      <c r="N159" s="171"/>
    </row>
    <row r="160">
      <c r="M160" s="171"/>
      <c r="N160" s="171"/>
    </row>
    <row r="161">
      <c r="M161" s="171"/>
      <c r="N161" s="171"/>
    </row>
    <row r="162">
      <c r="M162" s="171"/>
      <c r="N162" s="171"/>
    </row>
    <row r="163">
      <c r="M163" s="171"/>
      <c r="N163" s="171"/>
    </row>
    <row r="164">
      <c r="M164" s="171"/>
      <c r="N164" s="171"/>
    </row>
    <row r="165">
      <c r="M165" s="171"/>
      <c r="N165" s="171"/>
    </row>
    <row r="166">
      <c r="M166" s="171"/>
      <c r="N166" s="171"/>
    </row>
    <row r="167">
      <c r="M167" s="171"/>
      <c r="N167" s="171"/>
    </row>
    <row r="168">
      <c r="M168" s="171"/>
      <c r="N168" s="171"/>
    </row>
    <row r="169">
      <c r="M169" s="171"/>
      <c r="N169" s="171"/>
    </row>
    <row r="170">
      <c r="M170" s="171"/>
      <c r="N170" s="171"/>
    </row>
    <row r="171">
      <c r="M171" s="171"/>
      <c r="N171" s="171"/>
    </row>
    <row r="172">
      <c r="M172" s="171"/>
      <c r="N172" s="171"/>
    </row>
    <row r="173">
      <c r="M173" s="171"/>
      <c r="N173" s="171"/>
    </row>
    <row r="174">
      <c r="M174" s="171"/>
      <c r="N174" s="171"/>
    </row>
    <row r="175">
      <c r="M175" s="171"/>
      <c r="N175" s="171"/>
    </row>
    <row r="176">
      <c r="M176" s="171"/>
      <c r="N176" s="171"/>
    </row>
    <row r="177">
      <c r="M177" s="171"/>
      <c r="N177" s="171"/>
    </row>
    <row r="178">
      <c r="M178" s="171"/>
      <c r="N178" s="171"/>
    </row>
    <row r="179">
      <c r="M179" s="171"/>
      <c r="N179" s="171"/>
    </row>
    <row r="180">
      <c r="M180" s="171"/>
      <c r="N180" s="171"/>
    </row>
    <row r="181">
      <c r="M181" s="171"/>
      <c r="N181" s="171"/>
    </row>
    <row r="182">
      <c r="M182" s="171"/>
      <c r="N182" s="171"/>
    </row>
    <row r="183">
      <c r="M183" s="171"/>
      <c r="N183" s="171"/>
    </row>
    <row r="184">
      <c r="M184" s="171"/>
      <c r="N184" s="171"/>
    </row>
    <row r="185">
      <c r="M185" s="171"/>
      <c r="N185" s="171"/>
    </row>
    <row r="186">
      <c r="M186" s="171"/>
      <c r="N186" s="171"/>
    </row>
    <row r="187">
      <c r="M187" s="171"/>
      <c r="N187" s="171"/>
    </row>
    <row r="188">
      <c r="M188" s="171"/>
      <c r="N188" s="171"/>
    </row>
    <row r="189">
      <c r="M189" s="171"/>
      <c r="N189" s="171"/>
    </row>
    <row r="190">
      <c r="M190" s="171"/>
      <c r="N190" s="171"/>
    </row>
    <row r="191">
      <c r="M191" s="171"/>
      <c r="N191" s="171"/>
    </row>
    <row r="192">
      <c r="M192" s="171"/>
      <c r="N192" s="171"/>
    </row>
    <row r="193">
      <c r="M193" s="171"/>
      <c r="N193" s="171"/>
    </row>
    <row r="194">
      <c r="M194" s="171"/>
      <c r="N194" s="171"/>
    </row>
    <row r="195">
      <c r="M195" s="171"/>
      <c r="N195" s="171"/>
    </row>
    <row r="196">
      <c r="M196" s="171"/>
      <c r="N196" s="171"/>
    </row>
    <row r="197">
      <c r="M197" s="171"/>
      <c r="N197" s="171"/>
    </row>
    <row r="198">
      <c r="M198" s="171"/>
      <c r="N198" s="171"/>
    </row>
    <row r="199">
      <c r="M199" s="171"/>
      <c r="N199" s="171"/>
    </row>
    <row r="200">
      <c r="M200" s="171"/>
      <c r="N200" s="171"/>
    </row>
    <row r="201">
      <c r="M201" s="171"/>
      <c r="N201" s="171"/>
    </row>
    <row r="202">
      <c r="M202" s="171"/>
      <c r="N202" s="171"/>
    </row>
    <row r="203">
      <c r="M203" s="171"/>
      <c r="N203" s="171"/>
    </row>
    <row r="204">
      <c r="M204" s="171"/>
      <c r="N204" s="171"/>
    </row>
    <row r="205">
      <c r="M205" s="171"/>
      <c r="N205" s="171"/>
    </row>
    <row r="206">
      <c r="M206" s="171"/>
      <c r="N206" s="171"/>
    </row>
    <row r="207">
      <c r="M207" s="171"/>
      <c r="N207" s="171"/>
    </row>
    <row r="208">
      <c r="M208" s="171"/>
      <c r="N208" s="171"/>
    </row>
    <row r="209">
      <c r="M209" s="171"/>
      <c r="N209" s="171"/>
    </row>
    <row r="210">
      <c r="M210" s="171"/>
      <c r="N210" s="171"/>
    </row>
    <row r="211">
      <c r="M211" s="171"/>
      <c r="N211" s="171"/>
    </row>
    <row r="212">
      <c r="M212" s="171"/>
      <c r="N212" s="171"/>
    </row>
    <row r="213">
      <c r="M213" s="171"/>
      <c r="N213" s="171"/>
    </row>
    <row r="214">
      <c r="M214" s="171"/>
      <c r="N214" s="171"/>
    </row>
    <row r="215">
      <c r="M215" s="171"/>
      <c r="N215" s="171"/>
    </row>
    <row r="216">
      <c r="M216" s="171"/>
      <c r="N216" s="171"/>
    </row>
    <row r="217">
      <c r="M217" s="171"/>
      <c r="N217" s="171"/>
    </row>
    <row r="218">
      <c r="M218" s="171"/>
      <c r="N218" s="171"/>
    </row>
    <row r="219">
      <c r="M219" s="171"/>
      <c r="N219" s="171"/>
    </row>
    <row r="220">
      <c r="M220" s="171"/>
      <c r="N220" s="171"/>
    </row>
    <row r="221">
      <c r="M221" s="171"/>
      <c r="N221" s="171"/>
    </row>
    <row r="222">
      <c r="M222" s="171"/>
      <c r="N222" s="171"/>
    </row>
    <row r="223">
      <c r="M223" s="171"/>
      <c r="N223" s="171"/>
    </row>
    <row r="224">
      <c r="M224" s="171"/>
      <c r="N224" s="171"/>
    </row>
    <row r="225">
      <c r="M225" s="171"/>
      <c r="N225" s="171"/>
    </row>
    <row r="226">
      <c r="M226" s="171"/>
      <c r="N226" s="171"/>
    </row>
    <row r="227">
      <c r="M227" s="171"/>
      <c r="N227" s="171"/>
    </row>
    <row r="228">
      <c r="M228" s="171"/>
      <c r="N228" s="171"/>
    </row>
    <row r="229">
      <c r="M229" s="171"/>
      <c r="N229" s="171"/>
    </row>
    <row r="230">
      <c r="M230" s="171"/>
      <c r="N230" s="171"/>
    </row>
    <row r="231">
      <c r="M231" s="171"/>
      <c r="N231" s="171"/>
    </row>
    <row r="232">
      <c r="M232" s="171"/>
      <c r="N232" s="171"/>
    </row>
    <row r="233">
      <c r="M233" s="171"/>
      <c r="N233" s="171"/>
    </row>
    <row r="234">
      <c r="M234" s="171"/>
      <c r="N234" s="171"/>
    </row>
    <row r="235">
      <c r="M235" s="171"/>
      <c r="N235" s="171"/>
    </row>
    <row r="236">
      <c r="M236" s="171"/>
      <c r="N236" s="171"/>
    </row>
    <row r="237">
      <c r="M237" s="171"/>
      <c r="N237" s="171"/>
    </row>
    <row r="238">
      <c r="M238" s="171"/>
      <c r="N238" s="171"/>
    </row>
    <row r="239">
      <c r="M239" s="171"/>
      <c r="N239" s="171"/>
    </row>
    <row r="240">
      <c r="M240" s="171"/>
      <c r="N240" s="171"/>
    </row>
    <row r="241">
      <c r="M241" s="171"/>
      <c r="N241" s="171"/>
    </row>
    <row r="242">
      <c r="M242" s="171"/>
      <c r="N242" s="171"/>
    </row>
    <row r="243">
      <c r="M243" s="171"/>
      <c r="N243" s="171"/>
    </row>
    <row r="244">
      <c r="M244" s="171"/>
      <c r="N244" s="171"/>
    </row>
    <row r="245">
      <c r="M245" s="171"/>
      <c r="N245" s="171"/>
    </row>
    <row r="246">
      <c r="M246" s="171"/>
      <c r="N246" s="171"/>
    </row>
    <row r="247">
      <c r="M247" s="171"/>
      <c r="N247" s="171"/>
    </row>
    <row r="248">
      <c r="M248" s="171"/>
      <c r="N248" s="171"/>
    </row>
    <row r="249">
      <c r="M249" s="171"/>
      <c r="N249" s="171"/>
    </row>
    <row r="250">
      <c r="M250" s="171"/>
      <c r="N250" s="171"/>
    </row>
    <row r="251">
      <c r="M251" s="171"/>
      <c r="N251" s="171"/>
    </row>
    <row r="252">
      <c r="M252" s="171"/>
      <c r="N252" s="171"/>
    </row>
    <row r="253">
      <c r="M253" s="171"/>
      <c r="N253" s="171"/>
    </row>
    <row r="254">
      <c r="M254" s="171"/>
      <c r="N254" s="171"/>
    </row>
    <row r="255">
      <c r="M255" s="171"/>
      <c r="N255" s="171"/>
    </row>
    <row r="256">
      <c r="M256" s="171"/>
      <c r="N256" s="171"/>
    </row>
    <row r="257">
      <c r="M257" s="171"/>
      <c r="N257" s="171"/>
    </row>
    <row r="258">
      <c r="M258" s="171"/>
      <c r="N258" s="171"/>
    </row>
    <row r="259">
      <c r="M259" s="171"/>
      <c r="N259" s="171"/>
    </row>
    <row r="260">
      <c r="M260" s="171"/>
      <c r="N260" s="171"/>
    </row>
    <row r="261">
      <c r="M261" s="171"/>
      <c r="N261" s="171"/>
    </row>
    <row r="262">
      <c r="M262" s="171"/>
      <c r="N262" s="171"/>
    </row>
    <row r="263">
      <c r="M263" s="171"/>
      <c r="N263" s="171"/>
    </row>
    <row r="264">
      <c r="M264" s="171"/>
      <c r="N264" s="171"/>
    </row>
    <row r="265">
      <c r="M265" s="171"/>
      <c r="N265" s="171"/>
    </row>
    <row r="266">
      <c r="M266" s="171"/>
      <c r="N266" s="171"/>
    </row>
    <row r="267">
      <c r="M267" s="171"/>
      <c r="N267" s="171"/>
    </row>
    <row r="268">
      <c r="M268" s="171"/>
      <c r="N268" s="171"/>
    </row>
    <row r="269">
      <c r="M269" s="171"/>
      <c r="N269" s="171"/>
    </row>
    <row r="270">
      <c r="M270" s="171"/>
      <c r="N270" s="171"/>
    </row>
    <row r="271">
      <c r="M271" s="171"/>
      <c r="N271" s="171"/>
    </row>
    <row r="272">
      <c r="M272" s="171"/>
      <c r="N272" s="171"/>
    </row>
    <row r="273">
      <c r="M273" s="171"/>
      <c r="N273" s="171"/>
    </row>
    <row r="274">
      <c r="M274" s="171"/>
      <c r="N274" s="171"/>
    </row>
    <row r="275">
      <c r="M275" s="171"/>
      <c r="N275" s="171"/>
    </row>
    <row r="276">
      <c r="M276" s="171"/>
      <c r="N276" s="171"/>
    </row>
    <row r="277">
      <c r="M277" s="171"/>
      <c r="N277" s="171"/>
    </row>
    <row r="278">
      <c r="M278" s="171"/>
      <c r="N278" s="171"/>
    </row>
    <row r="279">
      <c r="M279" s="171"/>
      <c r="N279" s="171"/>
    </row>
    <row r="280">
      <c r="M280" s="171"/>
      <c r="N280" s="171"/>
    </row>
    <row r="281">
      <c r="M281" s="171"/>
      <c r="N281" s="171"/>
    </row>
    <row r="282">
      <c r="M282" s="171"/>
      <c r="N282" s="171"/>
    </row>
    <row r="283">
      <c r="M283" s="171"/>
      <c r="N283" s="171"/>
    </row>
    <row r="284">
      <c r="M284" s="171"/>
      <c r="N284" s="171"/>
    </row>
    <row r="285">
      <c r="M285" s="171"/>
      <c r="N285" s="171"/>
    </row>
    <row r="286">
      <c r="M286" s="171"/>
      <c r="N286" s="171"/>
    </row>
    <row r="287">
      <c r="M287" s="171"/>
      <c r="N287" s="171"/>
    </row>
    <row r="288">
      <c r="M288" s="171"/>
      <c r="N288" s="171"/>
    </row>
    <row r="289">
      <c r="M289" s="171"/>
      <c r="N289" s="171"/>
    </row>
    <row r="290">
      <c r="M290" s="171"/>
      <c r="N290" s="171"/>
    </row>
    <row r="291">
      <c r="M291" s="171"/>
      <c r="N291" s="171"/>
    </row>
    <row r="292">
      <c r="M292" s="171"/>
      <c r="N292" s="171"/>
    </row>
    <row r="293">
      <c r="M293" s="171"/>
      <c r="N293" s="171"/>
    </row>
    <row r="294">
      <c r="M294" s="171"/>
      <c r="N294" s="171"/>
    </row>
    <row r="295">
      <c r="M295" s="171"/>
      <c r="N295" s="171"/>
    </row>
    <row r="296">
      <c r="M296" s="171"/>
      <c r="N296" s="171"/>
    </row>
    <row r="297">
      <c r="M297" s="171"/>
      <c r="N297" s="171"/>
    </row>
    <row r="298">
      <c r="M298" s="171"/>
      <c r="N298" s="171"/>
    </row>
    <row r="299">
      <c r="M299" s="171"/>
      <c r="N299" s="171"/>
    </row>
    <row r="300">
      <c r="M300" s="171"/>
      <c r="N300" s="171"/>
    </row>
    <row r="301">
      <c r="M301" s="171"/>
      <c r="N301" s="171"/>
    </row>
    <row r="302">
      <c r="M302" s="171"/>
      <c r="N302" s="171"/>
    </row>
    <row r="303">
      <c r="M303" s="171"/>
      <c r="N303" s="171"/>
    </row>
    <row r="304">
      <c r="M304" s="171"/>
      <c r="N304" s="171"/>
    </row>
    <row r="305">
      <c r="M305" s="171"/>
      <c r="N305" s="171"/>
    </row>
    <row r="306">
      <c r="M306" s="171"/>
      <c r="N306" s="171"/>
    </row>
    <row r="307">
      <c r="M307" s="171"/>
      <c r="N307" s="171"/>
    </row>
    <row r="308">
      <c r="M308" s="171"/>
      <c r="N308" s="171"/>
    </row>
    <row r="309">
      <c r="M309" s="171"/>
      <c r="N309" s="171"/>
    </row>
    <row r="310">
      <c r="M310" s="171"/>
      <c r="N310" s="171"/>
    </row>
    <row r="311">
      <c r="M311" s="171"/>
      <c r="N311" s="171"/>
    </row>
    <row r="312">
      <c r="M312" s="171"/>
      <c r="N312" s="171"/>
    </row>
    <row r="313">
      <c r="M313" s="171"/>
      <c r="N313" s="171"/>
    </row>
    <row r="314">
      <c r="M314" s="171"/>
      <c r="N314" s="171"/>
    </row>
    <row r="315">
      <c r="M315" s="171"/>
      <c r="N315" s="171"/>
    </row>
    <row r="316">
      <c r="M316" s="171"/>
      <c r="N316" s="171"/>
    </row>
    <row r="317">
      <c r="M317" s="171"/>
      <c r="N317" s="171"/>
    </row>
    <row r="318">
      <c r="M318" s="171"/>
      <c r="N318" s="171"/>
    </row>
    <row r="319">
      <c r="M319" s="171"/>
      <c r="N319" s="171"/>
    </row>
    <row r="320">
      <c r="M320" s="171"/>
      <c r="N320" s="171"/>
    </row>
    <row r="321">
      <c r="M321" s="171"/>
      <c r="N321" s="171"/>
    </row>
    <row r="322">
      <c r="M322" s="171"/>
      <c r="N322" s="171"/>
    </row>
    <row r="323">
      <c r="M323" s="171"/>
      <c r="N323" s="171"/>
    </row>
    <row r="324">
      <c r="M324" s="171"/>
      <c r="N324" s="171"/>
    </row>
    <row r="325">
      <c r="M325" s="171"/>
      <c r="N325" s="171"/>
    </row>
    <row r="326">
      <c r="M326" s="171"/>
      <c r="N326" s="171"/>
    </row>
    <row r="327">
      <c r="M327" s="171"/>
      <c r="N327" s="171"/>
    </row>
    <row r="328">
      <c r="M328" s="171"/>
      <c r="N328" s="171"/>
    </row>
    <row r="329">
      <c r="M329" s="171"/>
      <c r="N329" s="171"/>
    </row>
    <row r="330">
      <c r="M330" s="171"/>
      <c r="N330" s="171"/>
    </row>
    <row r="331">
      <c r="M331" s="171"/>
      <c r="N331" s="171"/>
    </row>
    <row r="332">
      <c r="M332" s="171"/>
      <c r="N332" s="171"/>
    </row>
    <row r="333">
      <c r="M333" s="171"/>
      <c r="N333" s="171"/>
    </row>
    <row r="334">
      <c r="M334" s="171"/>
      <c r="N334" s="171"/>
    </row>
    <row r="335">
      <c r="M335" s="171"/>
      <c r="N335" s="171"/>
    </row>
    <row r="336">
      <c r="M336" s="171"/>
      <c r="N336" s="171"/>
    </row>
    <row r="337">
      <c r="M337" s="171"/>
      <c r="N337" s="171"/>
    </row>
    <row r="338">
      <c r="M338" s="171"/>
      <c r="N338" s="171"/>
    </row>
    <row r="339">
      <c r="M339" s="171"/>
      <c r="N339" s="171"/>
    </row>
    <row r="340">
      <c r="M340" s="171"/>
      <c r="N340" s="171"/>
    </row>
    <row r="341">
      <c r="M341" s="171"/>
      <c r="N341" s="171"/>
    </row>
    <row r="342">
      <c r="M342" s="171"/>
      <c r="N342" s="171"/>
    </row>
    <row r="343">
      <c r="M343" s="171"/>
      <c r="N343" s="171"/>
    </row>
    <row r="344">
      <c r="M344" s="171"/>
      <c r="N344" s="171"/>
    </row>
    <row r="345">
      <c r="M345" s="171"/>
      <c r="N345" s="171"/>
    </row>
    <row r="346">
      <c r="M346" s="171"/>
      <c r="N346" s="171"/>
    </row>
    <row r="347">
      <c r="M347" s="171"/>
      <c r="N347" s="171"/>
    </row>
    <row r="348">
      <c r="M348" s="171"/>
      <c r="N348" s="171"/>
    </row>
    <row r="349">
      <c r="M349" s="171"/>
      <c r="N349" s="171"/>
    </row>
    <row r="350">
      <c r="M350" s="171"/>
      <c r="N350" s="171"/>
    </row>
    <row r="351">
      <c r="M351" s="171"/>
      <c r="N351" s="171"/>
    </row>
    <row r="352">
      <c r="M352" s="171"/>
      <c r="N352" s="171"/>
    </row>
    <row r="353">
      <c r="M353" s="171"/>
      <c r="N353" s="171"/>
    </row>
    <row r="354">
      <c r="M354" s="171"/>
      <c r="N354" s="171"/>
    </row>
    <row r="355">
      <c r="M355" s="171"/>
      <c r="N355" s="171"/>
    </row>
    <row r="356">
      <c r="M356" s="171"/>
      <c r="N356" s="171"/>
    </row>
    <row r="357">
      <c r="M357" s="171"/>
      <c r="N357" s="171"/>
    </row>
    <row r="358">
      <c r="M358" s="171"/>
      <c r="N358" s="171"/>
    </row>
    <row r="359">
      <c r="M359" s="171"/>
      <c r="N359" s="171"/>
    </row>
    <row r="360">
      <c r="M360" s="171"/>
      <c r="N360" s="171"/>
    </row>
    <row r="361">
      <c r="M361" s="171"/>
      <c r="N361" s="171"/>
    </row>
    <row r="362">
      <c r="M362" s="171"/>
      <c r="N362" s="171"/>
    </row>
    <row r="363">
      <c r="M363" s="171"/>
      <c r="N363" s="171"/>
    </row>
    <row r="364">
      <c r="M364" s="171"/>
      <c r="N364" s="171"/>
    </row>
    <row r="365">
      <c r="M365" s="171"/>
      <c r="N365" s="171"/>
    </row>
    <row r="366">
      <c r="M366" s="171"/>
      <c r="N366" s="171"/>
    </row>
    <row r="367">
      <c r="M367" s="171"/>
      <c r="N367" s="171"/>
    </row>
    <row r="368">
      <c r="M368" s="171"/>
      <c r="N368" s="171"/>
    </row>
    <row r="369">
      <c r="M369" s="171"/>
      <c r="N369" s="171"/>
    </row>
    <row r="370">
      <c r="M370" s="171"/>
      <c r="N370" s="171"/>
    </row>
    <row r="371">
      <c r="M371" s="171"/>
      <c r="N371" s="171"/>
    </row>
    <row r="372">
      <c r="M372" s="171"/>
      <c r="N372" s="171"/>
    </row>
    <row r="373">
      <c r="M373" s="171"/>
      <c r="N373" s="171"/>
    </row>
    <row r="374">
      <c r="M374" s="171"/>
      <c r="N374" s="171"/>
    </row>
    <row r="375">
      <c r="M375" s="171"/>
      <c r="N375" s="171"/>
    </row>
    <row r="376">
      <c r="M376" s="171"/>
      <c r="N376" s="171"/>
    </row>
    <row r="377">
      <c r="M377" s="171"/>
      <c r="N377" s="171"/>
    </row>
    <row r="378">
      <c r="M378" s="171"/>
      <c r="N378" s="171"/>
    </row>
    <row r="379">
      <c r="M379" s="171"/>
      <c r="N379" s="171"/>
    </row>
    <row r="380">
      <c r="M380" s="171"/>
      <c r="N380" s="171"/>
    </row>
    <row r="381">
      <c r="M381" s="171"/>
      <c r="N381" s="171"/>
    </row>
    <row r="382">
      <c r="M382" s="171"/>
      <c r="N382" s="171"/>
    </row>
    <row r="383">
      <c r="M383" s="171"/>
      <c r="N383" s="171"/>
    </row>
    <row r="384">
      <c r="M384" s="171"/>
      <c r="N384" s="171"/>
    </row>
    <row r="385">
      <c r="M385" s="171"/>
      <c r="N385" s="171"/>
    </row>
    <row r="386">
      <c r="M386" s="171"/>
      <c r="N386" s="171"/>
    </row>
    <row r="387">
      <c r="M387" s="171"/>
      <c r="N387" s="171"/>
    </row>
    <row r="388">
      <c r="M388" s="171"/>
      <c r="N388" s="171"/>
    </row>
    <row r="389">
      <c r="M389" s="171"/>
      <c r="N389" s="171"/>
    </row>
    <row r="390">
      <c r="M390" s="171"/>
      <c r="N390" s="171"/>
    </row>
    <row r="391">
      <c r="M391" s="171"/>
      <c r="N391" s="171"/>
    </row>
    <row r="392">
      <c r="M392" s="171"/>
      <c r="N392" s="171"/>
    </row>
    <row r="393">
      <c r="M393" s="171"/>
      <c r="N393" s="171"/>
    </row>
    <row r="394">
      <c r="M394" s="171"/>
      <c r="N394" s="171"/>
    </row>
    <row r="395">
      <c r="M395" s="171"/>
      <c r="N395" s="171"/>
    </row>
    <row r="396">
      <c r="M396" s="171"/>
      <c r="N396" s="171"/>
    </row>
    <row r="397">
      <c r="M397" s="171"/>
      <c r="N397" s="171"/>
    </row>
    <row r="398">
      <c r="M398" s="171"/>
      <c r="N398" s="171"/>
    </row>
    <row r="399">
      <c r="M399" s="171"/>
      <c r="N399" s="171"/>
    </row>
    <row r="400">
      <c r="M400" s="171"/>
      <c r="N400" s="171"/>
    </row>
    <row r="401">
      <c r="M401" s="171"/>
      <c r="N401" s="171"/>
    </row>
    <row r="402">
      <c r="M402" s="171"/>
      <c r="N402" s="171"/>
    </row>
    <row r="403">
      <c r="M403" s="171"/>
      <c r="N403" s="171"/>
    </row>
    <row r="404">
      <c r="M404" s="171"/>
      <c r="N404" s="171"/>
    </row>
    <row r="405">
      <c r="M405" s="171"/>
      <c r="N405" s="171"/>
    </row>
    <row r="406">
      <c r="M406" s="171"/>
      <c r="N406" s="171"/>
    </row>
    <row r="407">
      <c r="M407" s="171"/>
      <c r="N407" s="171"/>
    </row>
    <row r="408">
      <c r="M408" s="171"/>
      <c r="N408" s="171"/>
    </row>
    <row r="409">
      <c r="M409" s="171"/>
      <c r="N409" s="171"/>
    </row>
    <row r="410">
      <c r="M410" s="171"/>
      <c r="N410" s="171"/>
    </row>
    <row r="411">
      <c r="M411" s="171"/>
      <c r="N411" s="171"/>
    </row>
    <row r="412">
      <c r="M412" s="171"/>
      <c r="N412" s="171"/>
    </row>
    <row r="413">
      <c r="M413" s="171"/>
      <c r="N413" s="171"/>
    </row>
    <row r="414">
      <c r="M414" s="171"/>
      <c r="N414" s="171"/>
    </row>
    <row r="415">
      <c r="M415" s="171"/>
      <c r="N415" s="171"/>
    </row>
    <row r="416">
      <c r="M416" s="171"/>
      <c r="N416" s="171"/>
    </row>
    <row r="417">
      <c r="M417" s="171"/>
      <c r="N417" s="171"/>
    </row>
    <row r="418">
      <c r="M418" s="171"/>
      <c r="N418" s="171"/>
    </row>
    <row r="419">
      <c r="M419" s="171"/>
      <c r="N419" s="171"/>
    </row>
    <row r="420">
      <c r="M420" s="171"/>
      <c r="N420" s="171"/>
    </row>
    <row r="421">
      <c r="M421" s="171"/>
      <c r="N421" s="171"/>
    </row>
    <row r="422">
      <c r="M422" s="171"/>
      <c r="N422" s="171"/>
    </row>
    <row r="423">
      <c r="M423" s="171"/>
      <c r="N423" s="171"/>
    </row>
    <row r="424">
      <c r="M424" s="171"/>
      <c r="N424" s="171"/>
    </row>
    <row r="425">
      <c r="M425" s="171"/>
      <c r="N425" s="171"/>
    </row>
    <row r="426">
      <c r="M426" s="171"/>
      <c r="N426" s="171"/>
    </row>
    <row r="427">
      <c r="M427" s="171"/>
      <c r="N427" s="171"/>
    </row>
    <row r="428">
      <c r="M428" s="171"/>
      <c r="N428" s="171"/>
    </row>
    <row r="429">
      <c r="M429" s="171"/>
      <c r="N429" s="171"/>
    </row>
    <row r="430">
      <c r="M430" s="171"/>
      <c r="N430" s="171"/>
    </row>
    <row r="431">
      <c r="M431" s="171"/>
      <c r="N431" s="171"/>
    </row>
    <row r="432">
      <c r="M432" s="171"/>
      <c r="N432" s="171"/>
    </row>
    <row r="433">
      <c r="M433" s="171"/>
      <c r="N433" s="171"/>
    </row>
    <row r="434">
      <c r="M434" s="171"/>
      <c r="N434" s="171"/>
    </row>
    <row r="435">
      <c r="M435" s="171"/>
      <c r="N435" s="171"/>
    </row>
    <row r="436">
      <c r="M436" s="171"/>
      <c r="N436" s="171"/>
    </row>
    <row r="437">
      <c r="M437" s="171"/>
      <c r="N437" s="171"/>
    </row>
    <row r="438">
      <c r="M438" s="171"/>
      <c r="N438" s="171"/>
    </row>
    <row r="439">
      <c r="M439" s="171"/>
      <c r="N439" s="171"/>
    </row>
    <row r="440">
      <c r="M440" s="171"/>
      <c r="N440" s="171"/>
    </row>
    <row r="441">
      <c r="M441" s="171"/>
      <c r="N441" s="171"/>
    </row>
    <row r="442">
      <c r="M442" s="171"/>
      <c r="N442" s="171"/>
    </row>
    <row r="443">
      <c r="M443" s="171"/>
      <c r="N443" s="171"/>
    </row>
    <row r="444">
      <c r="M444" s="171"/>
      <c r="N444" s="171"/>
    </row>
    <row r="445">
      <c r="M445" s="171"/>
      <c r="N445" s="171"/>
    </row>
    <row r="446">
      <c r="M446" s="171"/>
      <c r="N446" s="171"/>
    </row>
    <row r="447">
      <c r="M447" s="171"/>
      <c r="N447" s="171"/>
    </row>
    <row r="448">
      <c r="M448" s="171"/>
      <c r="N448" s="171"/>
    </row>
    <row r="449">
      <c r="M449" s="171"/>
      <c r="N449" s="171"/>
    </row>
    <row r="450">
      <c r="M450" s="171"/>
      <c r="N450" s="171"/>
    </row>
    <row r="451">
      <c r="M451" s="171"/>
      <c r="N451" s="171"/>
    </row>
    <row r="452">
      <c r="M452" s="171"/>
      <c r="N452" s="171"/>
    </row>
    <row r="453">
      <c r="M453" s="171"/>
      <c r="N453" s="171"/>
    </row>
    <row r="454">
      <c r="M454" s="171"/>
      <c r="N454" s="171"/>
    </row>
    <row r="455">
      <c r="M455" s="171"/>
      <c r="N455" s="171"/>
    </row>
    <row r="456">
      <c r="M456" s="171"/>
      <c r="N456" s="171"/>
    </row>
    <row r="457">
      <c r="M457" s="171"/>
      <c r="N457" s="171"/>
    </row>
    <row r="458">
      <c r="M458" s="171"/>
      <c r="N458" s="171"/>
    </row>
    <row r="459">
      <c r="M459" s="171"/>
      <c r="N459" s="171"/>
    </row>
    <row r="460">
      <c r="M460" s="171"/>
      <c r="N460" s="171"/>
    </row>
    <row r="461">
      <c r="M461" s="171"/>
      <c r="N461" s="171"/>
    </row>
    <row r="462">
      <c r="M462" s="171"/>
      <c r="N462" s="171"/>
    </row>
    <row r="463">
      <c r="M463" s="171"/>
      <c r="N463" s="171"/>
    </row>
    <row r="464">
      <c r="M464" s="171"/>
      <c r="N464" s="171"/>
    </row>
    <row r="465">
      <c r="M465" s="171"/>
      <c r="N465" s="171"/>
    </row>
    <row r="466">
      <c r="M466" s="171"/>
      <c r="N466" s="171"/>
    </row>
    <row r="467">
      <c r="M467" s="171"/>
      <c r="N467" s="171"/>
    </row>
    <row r="468">
      <c r="M468" s="171"/>
      <c r="N468" s="171"/>
    </row>
    <row r="469">
      <c r="M469" s="171"/>
      <c r="N469" s="171"/>
    </row>
    <row r="470">
      <c r="M470" s="171"/>
      <c r="N470" s="171"/>
    </row>
    <row r="471">
      <c r="M471" s="171"/>
      <c r="N471" s="171"/>
    </row>
    <row r="472">
      <c r="M472" s="171"/>
      <c r="N472" s="171"/>
    </row>
    <row r="473">
      <c r="M473" s="171"/>
      <c r="N473" s="171"/>
    </row>
    <row r="474">
      <c r="M474" s="171"/>
      <c r="N474" s="171"/>
    </row>
    <row r="475">
      <c r="M475" s="171"/>
      <c r="N475" s="171"/>
    </row>
    <row r="476">
      <c r="M476" s="171"/>
      <c r="N476" s="171"/>
    </row>
    <row r="477">
      <c r="M477" s="171"/>
      <c r="N477" s="171"/>
    </row>
    <row r="478">
      <c r="M478" s="171"/>
      <c r="N478" s="171"/>
    </row>
    <row r="479">
      <c r="M479" s="171"/>
      <c r="N479" s="171"/>
    </row>
    <row r="480">
      <c r="M480" s="171"/>
      <c r="N480" s="171"/>
    </row>
    <row r="481">
      <c r="M481" s="171"/>
      <c r="N481" s="171"/>
    </row>
    <row r="482">
      <c r="M482" s="171"/>
      <c r="N482" s="171"/>
    </row>
    <row r="483">
      <c r="M483" s="171"/>
      <c r="N483" s="171"/>
    </row>
    <row r="484">
      <c r="M484" s="171"/>
      <c r="N484" s="171"/>
    </row>
    <row r="485">
      <c r="M485" s="171"/>
      <c r="N485" s="171"/>
    </row>
    <row r="486">
      <c r="M486" s="171"/>
      <c r="N486" s="171"/>
    </row>
    <row r="487">
      <c r="M487" s="171"/>
      <c r="N487" s="171"/>
    </row>
    <row r="488">
      <c r="M488" s="171"/>
      <c r="N488" s="171"/>
    </row>
    <row r="489">
      <c r="M489" s="171"/>
      <c r="N489" s="171"/>
    </row>
    <row r="490">
      <c r="M490" s="171"/>
      <c r="N490" s="171"/>
    </row>
    <row r="491">
      <c r="M491" s="171"/>
      <c r="N491" s="171"/>
    </row>
    <row r="492">
      <c r="M492" s="171"/>
      <c r="N492" s="171"/>
    </row>
    <row r="493">
      <c r="M493" s="171"/>
      <c r="N493" s="171"/>
    </row>
    <row r="494">
      <c r="M494" s="171"/>
      <c r="N494" s="171"/>
    </row>
    <row r="495">
      <c r="M495" s="171"/>
      <c r="N495" s="171"/>
    </row>
    <row r="496">
      <c r="M496" s="171"/>
      <c r="N496" s="171"/>
    </row>
    <row r="497">
      <c r="M497" s="171"/>
      <c r="N497" s="171"/>
    </row>
    <row r="498">
      <c r="M498" s="171"/>
      <c r="N498" s="171"/>
    </row>
    <row r="499">
      <c r="M499" s="171"/>
      <c r="N499" s="171"/>
    </row>
    <row r="500">
      <c r="M500" s="171"/>
      <c r="N500" s="171"/>
    </row>
    <row r="501">
      <c r="M501" s="171"/>
      <c r="N501" s="171"/>
    </row>
    <row r="502">
      <c r="M502" s="171"/>
      <c r="N502" s="171"/>
    </row>
    <row r="503">
      <c r="M503" s="171"/>
      <c r="N503" s="171"/>
    </row>
    <row r="504">
      <c r="M504" s="171"/>
      <c r="N504" s="171"/>
    </row>
    <row r="505">
      <c r="M505" s="171"/>
      <c r="N505" s="171"/>
    </row>
    <row r="506">
      <c r="M506" s="171"/>
      <c r="N506" s="171"/>
    </row>
    <row r="507">
      <c r="M507" s="171"/>
      <c r="N507" s="171"/>
    </row>
    <row r="508">
      <c r="M508" s="171"/>
      <c r="N508" s="171"/>
    </row>
    <row r="509">
      <c r="M509" s="171"/>
      <c r="N509" s="171"/>
    </row>
    <row r="510">
      <c r="M510" s="171"/>
      <c r="N510" s="171"/>
    </row>
    <row r="511">
      <c r="M511" s="171"/>
      <c r="N511" s="171"/>
    </row>
    <row r="512">
      <c r="M512" s="171"/>
      <c r="N512" s="171"/>
    </row>
    <row r="513">
      <c r="M513" s="171"/>
      <c r="N513" s="171"/>
    </row>
    <row r="514">
      <c r="M514" s="171"/>
      <c r="N514" s="171"/>
    </row>
    <row r="515">
      <c r="M515" s="171"/>
      <c r="N515" s="171"/>
    </row>
    <row r="516">
      <c r="M516" s="171"/>
      <c r="N516" s="171"/>
    </row>
    <row r="517">
      <c r="M517" s="171"/>
      <c r="N517" s="171"/>
    </row>
    <row r="518">
      <c r="M518" s="171"/>
      <c r="N518" s="171"/>
    </row>
    <row r="519">
      <c r="M519" s="171"/>
      <c r="N519" s="171"/>
    </row>
    <row r="520">
      <c r="M520" s="171"/>
      <c r="N520" s="171"/>
    </row>
    <row r="521">
      <c r="M521" s="171"/>
      <c r="N521" s="171"/>
    </row>
    <row r="522">
      <c r="M522" s="171"/>
      <c r="N522" s="171"/>
    </row>
    <row r="523">
      <c r="M523" s="171"/>
      <c r="N523" s="171"/>
    </row>
    <row r="524">
      <c r="M524" s="171"/>
      <c r="N524" s="171"/>
    </row>
    <row r="525">
      <c r="M525" s="171"/>
      <c r="N525" s="171"/>
    </row>
    <row r="526">
      <c r="M526" s="171"/>
      <c r="N526" s="171"/>
    </row>
    <row r="527">
      <c r="M527" s="171"/>
      <c r="N527" s="171"/>
    </row>
    <row r="528">
      <c r="M528" s="171"/>
      <c r="N528" s="171"/>
    </row>
    <row r="529">
      <c r="M529" s="171"/>
      <c r="N529" s="171"/>
    </row>
    <row r="530">
      <c r="M530" s="171"/>
      <c r="N530" s="171"/>
    </row>
    <row r="531">
      <c r="M531" s="171"/>
      <c r="N531" s="171"/>
    </row>
    <row r="532">
      <c r="M532" s="171"/>
      <c r="N532" s="171"/>
    </row>
    <row r="533">
      <c r="M533" s="171"/>
      <c r="N533" s="171"/>
    </row>
    <row r="534">
      <c r="M534" s="171"/>
      <c r="N534" s="171"/>
    </row>
    <row r="535">
      <c r="M535" s="171"/>
      <c r="N535" s="171"/>
    </row>
    <row r="536">
      <c r="M536" s="171"/>
      <c r="N536" s="171"/>
    </row>
    <row r="537">
      <c r="M537" s="171"/>
      <c r="N537" s="171"/>
    </row>
    <row r="538">
      <c r="M538" s="171"/>
      <c r="N538" s="171"/>
    </row>
    <row r="539">
      <c r="M539" s="171"/>
      <c r="N539" s="171"/>
    </row>
    <row r="540">
      <c r="M540" s="171"/>
      <c r="N540" s="171"/>
    </row>
    <row r="541">
      <c r="M541" s="171"/>
      <c r="N541" s="171"/>
    </row>
    <row r="542">
      <c r="M542" s="171"/>
      <c r="N542" s="171"/>
    </row>
    <row r="543">
      <c r="M543" s="171"/>
      <c r="N543" s="171"/>
    </row>
    <row r="544">
      <c r="M544" s="171"/>
      <c r="N544" s="171"/>
    </row>
    <row r="545">
      <c r="M545" s="171"/>
      <c r="N545" s="171"/>
    </row>
    <row r="546">
      <c r="M546" s="171"/>
      <c r="N546" s="171"/>
    </row>
    <row r="547">
      <c r="M547" s="171"/>
      <c r="N547" s="171"/>
    </row>
    <row r="548">
      <c r="M548" s="171"/>
      <c r="N548" s="171"/>
    </row>
    <row r="549">
      <c r="M549" s="171"/>
      <c r="N549" s="171"/>
    </row>
    <row r="550">
      <c r="M550" s="171"/>
      <c r="N550" s="171"/>
    </row>
    <row r="551">
      <c r="M551" s="171"/>
      <c r="N551" s="171"/>
    </row>
    <row r="552">
      <c r="M552" s="171"/>
      <c r="N552" s="171"/>
    </row>
    <row r="553">
      <c r="M553" s="171"/>
      <c r="N553" s="171"/>
    </row>
    <row r="554">
      <c r="M554" s="171"/>
      <c r="N554" s="171"/>
    </row>
    <row r="555">
      <c r="M555" s="171"/>
      <c r="N555" s="171"/>
    </row>
    <row r="556">
      <c r="M556" s="171"/>
      <c r="N556" s="171"/>
    </row>
    <row r="557">
      <c r="M557" s="171"/>
      <c r="N557" s="171"/>
    </row>
    <row r="558">
      <c r="M558" s="171"/>
      <c r="N558" s="171"/>
    </row>
    <row r="559">
      <c r="M559" s="171"/>
      <c r="N559" s="171"/>
    </row>
    <row r="560">
      <c r="M560" s="171"/>
      <c r="N560" s="171"/>
    </row>
    <row r="561">
      <c r="M561" s="171"/>
      <c r="N561" s="171"/>
    </row>
    <row r="562">
      <c r="M562" s="171"/>
      <c r="N562" s="171"/>
    </row>
    <row r="563">
      <c r="M563" s="171"/>
      <c r="N563" s="171"/>
    </row>
    <row r="564">
      <c r="M564" s="171"/>
      <c r="N564" s="171"/>
    </row>
    <row r="565">
      <c r="M565" s="171"/>
      <c r="N565" s="171"/>
    </row>
    <row r="566">
      <c r="M566" s="171"/>
      <c r="N566" s="171"/>
    </row>
    <row r="567">
      <c r="M567" s="171"/>
      <c r="N567" s="171"/>
    </row>
    <row r="568">
      <c r="M568" s="171"/>
      <c r="N568" s="171"/>
    </row>
    <row r="569">
      <c r="M569" s="171"/>
      <c r="N569" s="171"/>
    </row>
    <row r="570">
      <c r="M570" s="171"/>
      <c r="N570" s="171"/>
    </row>
    <row r="571">
      <c r="M571" s="171"/>
      <c r="N571" s="171"/>
    </row>
    <row r="572">
      <c r="M572" s="171"/>
      <c r="N572" s="171"/>
    </row>
    <row r="573">
      <c r="M573" s="171"/>
      <c r="N573" s="171"/>
    </row>
    <row r="574">
      <c r="M574" s="171"/>
      <c r="N574" s="171"/>
    </row>
    <row r="575">
      <c r="M575" s="171"/>
      <c r="N575" s="171"/>
    </row>
    <row r="576">
      <c r="M576" s="171"/>
      <c r="N576" s="171"/>
    </row>
    <row r="577">
      <c r="M577" s="171"/>
      <c r="N577" s="171"/>
    </row>
    <row r="578">
      <c r="M578" s="171"/>
      <c r="N578" s="171"/>
    </row>
    <row r="579">
      <c r="M579" s="171"/>
      <c r="N579" s="171"/>
    </row>
    <row r="580">
      <c r="M580" s="171"/>
      <c r="N580" s="171"/>
    </row>
    <row r="581">
      <c r="M581" s="171"/>
      <c r="N581" s="171"/>
    </row>
    <row r="582">
      <c r="M582" s="171"/>
      <c r="N582" s="171"/>
    </row>
    <row r="583">
      <c r="M583" s="171"/>
      <c r="N583" s="171"/>
    </row>
    <row r="584">
      <c r="M584" s="171"/>
      <c r="N584" s="171"/>
    </row>
    <row r="585">
      <c r="M585" s="171"/>
      <c r="N585" s="171"/>
    </row>
    <row r="586">
      <c r="M586" s="171"/>
      <c r="N586" s="171"/>
    </row>
    <row r="587">
      <c r="M587" s="171"/>
      <c r="N587" s="171"/>
    </row>
    <row r="588">
      <c r="M588" s="171"/>
      <c r="N588" s="171"/>
    </row>
    <row r="589">
      <c r="M589" s="171"/>
      <c r="N589" s="171"/>
    </row>
    <row r="590">
      <c r="M590" s="171"/>
      <c r="N590" s="171"/>
    </row>
    <row r="591">
      <c r="M591" s="171"/>
      <c r="N591" s="171"/>
    </row>
    <row r="592">
      <c r="M592" s="171"/>
      <c r="N592" s="171"/>
    </row>
    <row r="593">
      <c r="M593" s="171"/>
      <c r="N593" s="171"/>
    </row>
    <row r="594">
      <c r="M594" s="171"/>
      <c r="N594" s="171"/>
    </row>
    <row r="595">
      <c r="M595" s="171"/>
      <c r="N595" s="171"/>
    </row>
    <row r="596">
      <c r="M596" s="171"/>
      <c r="N596" s="171"/>
    </row>
    <row r="597">
      <c r="M597" s="171"/>
      <c r="N597" s="171"/>
    </row>
    <row r="598">
      <c r="M598" s="171"/>
      <c r="N598" s="171"/>
    </row>
    <row r="599">
      <c r="M599" s="171"/>
      <c r="N599" s="171"/>
    </row>
    <row r="600">
      <c r="M600" s="171"/>
      <c r="N600" s="171"/>
    </row>
    <row r="601">
      <c r="M601" s="171"/>
      <c r="N601" s="171"/>
    </row>
    <row r="602">
      <c r="M602" s="171"/>
      <c r="N602" s="171"/>
    </row>
    <row r="603">
      <c r="M603" s="171"/>
      <c r="N603" s="171"/>
    </row>
    <row r="604">
      <c r="M604" s="171"/>
      <c r="N604" s="171"/>
    </row>
    <row r="605">
      <c r="M605" s="171"/>
      <c r="N605" s="171"/>
    </row>
    <row r="606">
      <c r="M606" s="171"/>
      <c r="N606" s="171"/>
    </row>
    <row r="607">
      <c r="M607" s="171"/>
      <c r="N607" s="171"/>
    </row>
    <row r="608">
      <c r="M608" s="171"/>
      <c r="N608" s="171"/>
    </row>
    <row r="609">
      <c r="M609" s="171"/>
      <c r="N609" s="171"/>
    </row>
    <row r="610">
      <c r="M610" s="171"/>
      <c r="N610" s="171"/>
    </row>
    <row r="611">
      <c r="M611" s="171"/>
      <c r="N611" s="171"/>
    </row>
    <row r="612">
      <c r="M612" s="171"/>
      <c r="N612" s="171"/>
    </row>
    <row r="613">
      <c r="M613" s="171"/>
      <c r="N613" s="171"/>
    </row>
    <row r="614">
      <c r="M614" s="171"/>
      <c r="N614" s="171"/>
    </row>
    <row r="615">
      <c r="M615" s="171"/>
      <c r="N615" s="171"/>
    </row>
    <row r="616">
      <c r="M616" s="171"/>
      <c r="N616" s="171"/>
    </row>
    <row r="617">
      <c r="M617" s="171"/>
      <c r="N617" s="171"/>
    </row>
    <row r="618">
      <c r="M618" s="171"/>
      <c r="N618" s="171"/>
    </row>
    <row r="619">
      <c r="M619" s="171"/>
      <c r="N619" s="171"/>
    </row>
    <row r="620">
      <c r="M620" s="171"/>
      <c r="N620" s="171"/>
    </row>
    <row r="621">
      <c r="M621" s="171"/>
      <c r="N621" s="171"/>
    </row>
    <row r="622">
      <c r="M622" s="171"/>
      <c r="N622" s="171"/>
    </row>
    <row r="623">
      <c r="M623" s="171"/>
      <c r="N623" s="171"/>
    </row>
    <row r="624">
      <c r="M624" s="171"/>
      <c r="N624" s="171"/>
    </row>
    <row r="625">
      <c r="M625" s="171"/>
      <c r="N625" s="171"/>
    </row>
    <row r="626">
      <c r="M626" s="171"/>
      <c r="N626" s="171"/>
    </row>
    <row r="627">
      <c r="M627" s="171"/>
      <c r="N627" s="171"/>
    </row>
    <row r="628">
      <c r="M628" s="171"/>
      <c r="N628" s="171"/>
    </row>
    <row r="629">
      <c r="M629" s="171"/>
      <c r="N629" s="171"/>
    </row>
    <row r="630">
      <c r="M630" s="171"/>
      <c r="N630" s="171"/>
    </row>
    <row r="631">
      <c r="M631" s="171"/>
      <c r="N631" s="171"/>
    </row>
    <row r="632">
      <c r="M632" s="171"/>
      <c r="N632" s="171"/>
    </row>
    <row r="633">
      <c r="M633" s="171"/>
      <c r="N633" s="171"/>
    </row>
    <row r="634">
      <c r="M634" s="171"/>
      <c r="N634" s="171"/>
    </row>
    <row r="635">
      <c r="M635" s="171"/>
      <c r="N635" s="171"/>
    </row>
    <row r="636">
      <c r="M636" s="171"/>
      <c r="N636" s="171"/>
    </row>
    <row r="637">
      <c r="M637" s="171"/>
      <c r="N637" s="171"/>
    </row>
    <row r="638">
      <c r="M638" s="171"/>
      <c r="N638" s="171"/>
    </row>
    <row r="639">
      <c r="M639" s="171"/>
      <c r="N639" s="171"/>
    </row>
    <row r="640">
      <c r="M640" s="171"/>
      <c r="N640" s="171"/>
    </row>
    <row r="641">
      <c r="M641" s="171"/>
      <c r="N641" s="171"/>
    </row>
    <row r="642">
      <c r="M642" s="171"/>
      <c r="N642" s="171"/>
    </row>
    <row r="643">
      <c r="M643" s="171"/>
      <c r="N643" s="171"/>
    </row>
    <row r="644">
      <c r="M644" s="171"/>
      <c r="N644" s="171"/>
    </row>
    <row r="645">
      <c r="M645" s="171"/>
      <c r="N645" s="171"/>
    </row>
    <row r="646">
      <c r="M646" s="171"/>
      <c r="N646" s="171"/>
    </row>
    <row r="647">
      <c r="M647" s="171"/>
      <c r="N647" s="171"/>
    </row>
    <row r="648">
      <c r="M648" s="171"/>
      <c r="N648" s="171"/>
    </row>
    <row r="649">
      <c r="M649" s="171"/>
      <c r="N649" s="171"/>
    </row>
    <row r="650">
      <c r="M650" s="171"/>
      <c r="N650" s="171"/>
    </row>
    <row r="651">
      <c r="M651" s="171"/>
      <c r="N651" s="171"/>
    </row>
    <row r="652">
      <c r="M652" s="171"/>
      <c r="N652" s="171"/>
    </row>
    <row r="653">
      <c r="M653" s="171"/>
      <c r="N653" s="171"/>
    </row>
    <row r="654">
      <c r="M654" s="171"/>
      <c r="N654" s="171"/>
    </row>
    <row r="655">
      <c r="M655" s="171"/>
      <c r="N655" s="171"/>
    </row>
    <row r="656">
      <c r="M656" s="171"/>
      <c r="N656" s="171"/>
    </row>
    <row r="657">
      <c r="M657" s="171"/>
      <c r="N657" s="171"/>
    </row>
    <row r="658">
      <c r="M658" s="171"/>
      <c r="N658" s="171"/>
    </row>
    <row r="659">
      <c r="M659" s="171"/>
      <c r="N659" s="171"/>
    </row>
    <row r="660">
      <c r="M660" s="171"/>
      <c r="N660" s="171"/>
    </row>
    <row r="661">
      <c r="M661" s="171"/>
      <c r="N661" s="171"/>
    </row>
    <row r="662">
      <c r="M662" s="171"/>
      <c r="N662" s="171"/>
    </row>
    <row r="663">
      <c r="M663" s="171"/>
      <c r="N663" s="171"/>
    </row>
    <row r="664">
      <c r="M664" s="171"/>
      <c r="N664" s="171"/>
    </row>
    <row r="665">
      <c r="M665" s="171"/>
      <c r="N665" s="171"/>
    </row>
    <row r="666">
      <c r="M666" s="171"/>
      <c r="N666" s="171"/>
    </row>
    <row r="667">
      <c r="M667" s="171"/>
      <c r="N667" s="171"/>
    </row>
    <row r="668">
      <c r="M668" s="171"/>
      <c r="N668" s="171"/>
    </row>
    <row r="669">
      <c r="M669" s="171"/>
      <c r="N669" s="171"/>
    </row>
    <row r="670">
      <c r="M670" s="171"/>
      <c r="N670" s="171"/>
    </row>
    <row r="671">
      <c r="M671" s="171"/>
      <c r="N671" s="171"/>
    </row>
    <row r="672">
      <c r="M672" s="171"/>
      <c r="N672" s="171"/>
    </row>
    <row r="673">
      <c r="M673" s="171"/>
      <c r="N673" s="171"/>
    </row>
    <row r="674">
      <c r="M674" s="171"/>
      <c r="N674" s="171"/>
    </row>
    <row r="675">
      <c r="M675" s="171"/>
      <c r="N675" s="171"/>
    </row>
    <row r="676">
      <c r="M676" s="171"/>
      <c r="N676" s="171"/>
    </row>
    <row r="677">
      <c r="M677" s="171"/>
      <c r="N677" s="171"/>
    </row>
    <row r="678">
      <c r="M678" s="171"/>
      <c r="N678" s="171"/>
    </row>
    <row r="679">
      <c r="M679" s="171"/>
      <c r="N679" s="171"/>
    </row>
    <row r="680">
      <c r="M680" s="171"/>
      <c r="N680" s="171"/>
    </row>
    <row r="681">
      <c r="M681" s="171"/>
      <c r="N681" s="171"/>
    </row>
    <row r="682">
      <c r="M682" s="171"/>
      <c r="N682" s="171"/>
    </row>
    <row r="683">
      <c r="M683" s="171"/>
      <c r="N683" s="171"/>
    </row>
    <row r="684">
      <c r="M684" s="171"/>
      <c r="N684" s="171"/>
    </row>
    <row r="685">
      <c r="M685" s="171"/>
      <c r="N685" s="171"/>
    </row>
    <row r="686">
      <c r="M686" s="171"/>
      <c r="N686" s="171"/>
    </row>
    <row r="687">
      <c r="M687" s="171"/>
      <c r="N687" s="171"/>
    </row>
    <row r="688">
      <c r="M688" s="171"/>
      <c r="N688" s="171"/>
    </row>
    <row r="689">
      <c r="M689" s="171"/>
      <c r="N689" s="171"/>
    </row>
    <row r="690">
      <c r="M690" s="171"/>
      <c r="N690" s="171"/>
    </row>
    <row r="691">
      <c r="M691" s="171"/>
      <c r="N691" s="171"/>
    </row>
    <row r="692">
      <c r="M692" s="171"/>
      <c r="N692" s="171"/>
    </row>
    <row r="693">
      <c r="M693" s="171"/>
      <c r="N693" s="171"/>
    </row>
    <row r="694">
      <c r="M694" s="171"/>
      <c r="N694" s="171"/>
    </row>
    <row r="695">
      <c r="M695" s="171"/>
      <c r="N695" s="171"/>
    </row>
    <row r="696">
      <c r="M696" s="171"/>
      <c r="N696" s="171"/>
    </row>
    <row r="697">
      <c r="M697" s="171"/>
      <c r="N697" s="171"/>
    </row>
    <row r="698">
      <c r="M698" s="171"/>
      <c r="N698" s="171"/>
    </row>
    <row r="699">
      <c r="M699" s="171"/>
      <c r="N699" s="171"/>
    </row>
    <row r="700">
      <c r="M700" s="171"/>
      <c r="N700" s="171"/>
    </row>
    <row r="701">
      <c r="M701" s="171"/>
      <c r="N701" s="171"/>
    </row>
    <row r="702">
      <c r="M702" s="171"/>
      <c r="N702" s="171"/>
    </row>
    <row r="703">
      <c r="M703" s="171"/>
      <c r="N703" s="171"/>
    </row>
    <row r="704">
      <c r="M704" s="171"/>
      <c r="N704" s="171"/>
    </row>
    <row r="705">
      <c r="M705" s="171"/>
      <c r="N705" s="171"/>
    </row>
    <row r="706">
      <c r="M706" s="171"/>
      <c r="N706" s="171"/>
    </row>
    <row r="707">
      <c r="M707" s="171"/>
      <c r="N707" s="171"/>
    </row>
    <row r="708">
      <c r="M708" s="171"/>
      <c r="N708" s="171"/>
    </row>
    <row r="709">
      <c r="M709" s="171"/>
      <c r="N709" s="171"/>
    </row>
    <row r="710">
      <c r="M710" s="171"/>
      <c r="N710" s="171"/>
    </row>
    <row r="711">
      <c r="M711" s="171"/>
      <c r="N711" s="171"/>
    </row>
    <row r="712">
      <c r="M712" s="171"/>
      <c r="N712" s="171"/>
    </row>
    <row r="713">
      <c r="M713" s="171"/>
      <c r="N713" s="171"/>
    </row>
    <row r="714">
      <c r="M714" s="171"/>
      <c r="N714" s="171"/>
    </row>
    <row r="715">
      <c r="M715" s="171"/>
      <c r="N715" s="171"/>
    </row>
    <row r="716">
      <c r="M716" s="171"/>
      <c r="N716" s="171"/>
    </row>
    <row r="717">
      <c r="M717" s="171"/>
      <c r="N717" s="171"/>
    </row>
    <row r="718">
      <c r="M718" s="171"/>
      <c r="N718" s="171"/>
    </row>
    <row r="719">
      <c r="M719" s="171"/>
      <c r="N719" s="171"/>
    </row>
    <row r="720">
      <c r="M720" s="171"/>
      <c r="N720" s="171"/>
    </row>
    <row r="721">
      <c r="M721" s="171"/>
      <c r="N721" s="171"/>
    </row>
    <row r="722">
      <c r="M722" s="171"/>
      <c r="N722" s="171"/>
    </row>
    <row r="723">
      <c r="M723" s="171"/>
      <c r="N723" s="171"/>
    </row>
    <row r="724">
      <c r="M724" s="171"/>
      <c r="N724" s="171"/>
    </row>
    <row r="725">
      <c r="M725" s="171"/>
      <c r="N725" s="171"/>
    </row>
    <row r="726">
      <c r="M726" s="171"/>
      <c r="N726" s="171"/>
    </row>
    <row r="727">
      <c r="M727" s="171"/>
      <c r="N727" s="171"/>
    </row>
    <row r="728">
      <c r="M728" s="171"/>
      <c r="N728" s="171"/>
    </row>
    <row r="729">
      <c r="M729" s="171"/>
      <c r="N729" s="171"/>
    </row>
    <row r="730">
      <c r="M730" s="171"/>
      <c r="N730" s="171"/>
    </row>
    <row r="731">
      <c r="M731" s="171"/>
      <c r="N731" s="171"/>
    </row>
    <row r="732">
      <c r="M732" s="171"/>
      <c r="N732" s="171"/>
    </row>
    <row r="733">
      <c r="M733" s="171"/>
      <c r="N733" s="171"/>
    </row>
    <row r="734">
      <c r="M734" s="171"/>
      <c r="N734" s="171"/>
    </row>
    <row r="735">
      <c r="M735" s="171"/>
      <c r="N735" s="171"/>
    </row>
    <row r="736">
      <c r="M736" s="171"/>
      <c r="N736" s="171"/>
    </row>
    <row r="737">
      <c r="M737" s="171"/>
      <c r="N737" s="171"/>
    </row>
    <row r="738">
      <c r="M738" s="171"/>
      <c r="N738" s="171"/>
    </row>
    <row r="739">
      <c r="M739" s="171"/>
      <c r="N739" s="171"/>
    </row>
    <row r="740">
      <c r="M740" s="171"/>
      <c r="N740" s="171"/>
    </row>
    <row r="741">
      <c r="M741" s="171"/>
      <c r="N741" s="171"/>
    </row>
    <row r="742">
      <c r="M742" s="171"/>
      <c r="N742" s="171"/>
    </row>
    <row r="743">
      <c r="M743" s="171"/>
      <c r="N743" s="171"/>
    </row>
    <row r="744">
      <c r="M744" s="171"/>
      <c r="N744" s="171"/>
    </row>
    <row r="745">
      <c r="M745" s="171"/>
      <c r="N745" s="171"/>
    </row>
    <row r="746">
      <c r="M746" s="171"/>
      <c r="N746" s="171"/>
    </row>
    <row r="747">
      <c r="M747" s="171"/>
      <c r="N747" s="171"/>
    </row>
    <row r="748">
      <c r="M748" s="171"/>
      <c r="N748" s="171"/>
    </row>
    <row r="749">
      <c r="M749" s="171"/>
      <c r="N749" s="171"/>
    </row>
    <row r="750">
      <c r="M750" s="171"/>
      <c r="N750" s="171"/>
    </row>
    <row r="751">
      <c r="M751" s="171"/>
      <c r="N751" s="171"/>
    </row>
    <row r="752">
      <c r="M752" s="171"/>
      <c r="N752" s="171"/>
    </row>
    <row r="753">
      <c r="M753" s="171"/>
      <c r="N753" s="171"/>
    </row>
    <row r="754">
      <c r="M754" s="171"/>
      <c r="N754" s="171"/>
    </row>
    <row r="755">
      <c r="M755" s="171"/>
      <c r="N755" s="171"/>
    </row>
    <row r="756">
      <c r="M756" s="171"/>
      <c r="N756" s="171"/>
    </row>
    <row r="757">
      <c r="M757" s="171"/>
      <c r="N757" s="171"/>
    </row>
    <row r="758">
      <c r="M758" s="171"/>
      <c r="N758" s="171"/>
    </row>
    <row r="759">
      <c r="M759" s="171"/>
      <c r="N759" s="171"/>
    </row>
    <row r="760">
      <c r="M760" s="171"/>
      <c r="N760" s="171"/>
    </row>
    <row r="761">
      <c r="M761" s="171"/>
      <c r="N761" s="171"/>
    </row>
    <row r="762">
      <c r="M762" s="171"/>
      <c r="N762" s="171"/>
    </row>
    <row r="763">
      <c r="M763" s="171"/>
      <c r="N763" s="171"/>
    </row>
    <row r="764">
      <c r="M764" s="171"/>
      <c r="N764" s="171"/>
    </row>
    <row r="765">
      <c r="M765" s="171"/>
      <c r="N765" s="171"/>
    </row>
    <row r="766">
      <c r="M766" s="171"/>
      <c r="N766" s="171"/>
    </row>
    <row r="767">
      <c r="M767" s="171"/>
      <c r="N767" s="171"/>
    </row>
    <row r="768">
      <c r="M768" s="171"/>
      <c r="N768" s="171"/>
    </row>
    <row r="769">
      <c r="M769" s="171"/>
      <c r="N769" s="171"/>
    </row>
    <row r="770">
      <c r="M770" s="171"/>
      <c r="N770" s="171"/>
    </row>
    <row r="771">
      <c r="M771" s="171"/>
      <c r="N771" s="171"/>
    </row>
    <row r="772">
      <c r="M772" s="171"/>
      <c r="N772" s="171"/>
    </row>
    <row r="773">
      <c r="M773" s="171"/>
      <c r="N773" s="171"/>
    </row>
    <row r="774">
      <c r="M774" s="171"/>
      <c r="N774" s="171"/>
    </row>
    <row r="775">
      <c r="M775" s="171"/>
      <c r="N775" s="171"/>
    </row>
    <row r="776">
      <c r="M776" s="171"/>
      <c r="N776" s="171"/>
    </row>
    <row r="777">
      <c r="M777" s="171"/>
      <c r="N777" s="171"/>
    </row>
    <row r="778">
      <c r="M778" s="171"/>
      <c r="N778" s="171"/>
    </row>
    <row r="779">
      <c r="M779" s="171"/>
      <c r="N779" s="171"/>
    </row>
    <row r="780">
      <c r="M780" s="171"/>
      <c r="N780" s="171"/>
    </row>
    <row r="781">
      <c r="M781" s="171"/>
      <c r="N781" s="171"/>
    </row>
    <row r="782">
      <c r="M782" s="171"/>
      <c r="N782" s="171"/>
    </row>
    <row r="783">
      <c r="M783" s="171"/>
      <c r="N783" s="171"/>
    </row>
    <row r="784">
      <c r="M784" s="171"/>
      <c r="N784" s="171"/>
    </row>
    <row r="785">
      <c r="M785" s="171"/>
      <c r="N785" s="171"/>
    </row>
    <row r="786">
      <c r="M786" s="171"/>
      <c r="N786" s="171"/>
    </row>
    <row r="787">
      <c r="M787" s="171"/>
      <c r="N787" s="171"/>
    </row>
    <row r="788">
      <c r="M788" s="171"/>
      <c r="N788" s="171"/>
    </row>
    <row r="789">
      <c r="M789" s="171"/>
      <c r="N789" s="171"/>
    </row>
    <row r="790">
      <c r="M790" s="171"/>
      <c r="N790" s="171"/>
    </row>
    <row r="791">
      <c r="M791" s="171"/>
      <c r="N791" s="171"/>
    </row>
    <row r="792">
      <c r="M792" s="171"/>
      <c r="N792" s="171"/>
    </row>
    <row r="793">
      <c r="M793" s="171"/>
      <c r="N793" s="171"/>
    </row>
    <row r="794">
      <c r="M794" s="171"/>
      <c r="N794" s="171"/>
    </row>
    <row r="795">
      <c r="M795" s="171"/>
      <c r="N795" s="171"/>
    </row>
    <row r="796">
      <c r="M796" s="171"/>
      <c r="N796" s="171"/>
    </row>
    <row r="797">
      <c r="M797" s="171"/>
      <c r="N797" s="171"/>
    </row>
    <row r="798">
      <c r="M798" s="171"/>
      <c r="N798" s="171"/>
    </row>
    <row r="799">
      <c r="M799" s="171"/>
      <c r="N799" s="171"/>
    </row>
    <row r="800">
      <c r="M800" s="171"/>
      <c r="N800" s="171"/>
    </row>
    <row r="801">
      <c r="M801" s="171"/>
      <c r="N801" s="171"/>
    </row>
    <row r="802">
      <c r="M802" s="171"/>
      <c r="N802" s="171"/>
    </row>
    <row r="803">
      <c r="M803" s="171"/>
      <c r="N803" s="171"/>
    </row>
    <row r="804">
      <c r="M804" s="171"/>
      <c r="N804" s="171"/>
    </row>
    <row r="805">
      <c r="M805" s="171"/>
      <c r="N805" s="171"/>
    </row>
    <row r="806">
      <c r="M806" s="171"/>
      <c r="N806" s="171"/>
    </row>
    <row r="807">
      <c r="M807" s="171"/>
      <c r="N807" s="171"/>
    </row>
    <row r="808">
      <c r="M808" s="171"/>
      <c r="N808" s="171"/>
    </row>
    <row r="809">
      <c r="M809" s="171"/>
      <c r="N809" s="171"/>
    </row>
    <row r="810">
      <c r="M810" s="171"/>
      <c r="N810" s="171"/>
    </row>
    <row r="811">
      <c r="M811" s="171"/>
      <c r="N811" s="171"/>
    </row>
    <row r="812">
      <c r="M812" s="171"/>
      <c r="N812" s="171"/>
    </row>
    <row r="813">
      <c r="M813" s="171"/>
      <c r="N813" s="171"/>
    </row>
    <row r="814">
      <c r="M814" s="171"/>
      <c r="N814" s="171"/>
    </row>
    <row r="815">
      <c r="M815" s="171"/>
      <c r="N815" s="171"/>
    </row>
    <row r="816">
      <c r="M816" s="171"/>
      <c r="N816" s="171"/>
    </row>
    <row r="817">
      <c r="M817" s="171"/>
      <c r="N817" s="171"/>
    </row>
    <row r="818">
      <c r="M818" s="171"/>
      <c r="N818" s="171"/>
    </row>
    <row r="819">
      <c r="M819" s="171"/>
      <c r="N819" s="171"/>
    </row>
    <row r="820">
      <c r="M820" s="171"/>
      <c r="N820" s="171"/>
    </row>
    <row r="821">
      <c r="M821" s="171"/>
      <c r="N821" s="171"/>
    </row>
    <row r="822">
      <c r="M822" s="171"/>
      <c r="N822" s="171"/>
    </row>
    <row r="823">
      <c r="M823" s="171"/>
      <c r="N823" s="171"/>
    </row>
    <row r="824">
      <c r="M824" s="171"/>
      <c r="N824" s="171"/>
    </row>
    <row r="825">
      <c r="M825" s="171"/>
      <c r="N825" s="171"/>
    </row>
    <row r="826">
      <c r="M826" s="171"/>
      <c r="N826" s="171"/>
    </row>
    <row r="827">
      <c r="M827" s="171"/>
      <c r="N827" s="171"/>
    </row>
    <row r="828">
      <c r="M828" s="171"/>
      <c r="N828" s="171"/>
    </row>
    <row r="829">
      <c r="M829" s="171"/>
      <c r="N829" s="171"/>
    </row>
    <row r="830">
      <c r="M830" s="171"/>
      <c r="N830" s="171"/>
    </row>
    <row r="831">
      <c r="M831" s="171"/>
      <c r="N831" s="171"/>
    </row>
    <row r="832">
      <c r="M832" s="171"/>
      <c r="N832" s="171"/>
    </row>
    <row r="833">
      <c r="M833" s="171"/>
      <c r="N833" s="171"/>
    </row>
    <row r="834">
      <c r="M834" s="171"/>
      <c r="N834" s="171"/>
    </row>
    <row r="835">
      <c r="M835" s="171"/>
      <c r="N835" s="171"/>
    </row>
    <row r="836">
      <c r="M836" s="171"/>
      <c r="N836" s="171"/>
    </row>
    <row r="837">
      <c r="M837" s="171"/>
      <c r="N837" s="171"/>
    </row>
    <row r="838">
      <c r="M838" s="171"/>
      <c r="N838" s="171"/>
    </row>
    <row r="839">
      <c r="M839" s="171"/>
      <c r="N839" s="171"/>
    </row>
    <row r="840">
      <c r="M840" s="171"/>
      <c r="N840" s="171"/>
    </row>
    <row r="841">
      <c r="M841" s="171"/>
      <c r="N841" s="171"/>
    </row>
    <row r="842">
      <c r="M842" s="171"/>
      <c r="N842" s="171"/>
    </row>
    <row r="843">
      <c r="M843" s="171"/>
      <c r="N843" s="171"/>
    </row>
    <row r="844">
      <c r="M844" s="171"/>
      <c r="N844" s="171"/>
    </row>
    <row r="845">
      <c r="M845" s="171"/>
      <c r="N845" s="171"/>
    </row>
    <row r="846">
      <c r="M846" s="171"/>
      <c r="N846" s="171"/>
    </row>
    <row r="847">
      <c r="M847" s="171"/>
      <c r="N847" s="171"/>
    </row>
    <row r="848">
      <c r="M848" s="171"/>
      <c r="N848" s="171"/>
    </row>
    <row r="849">
      <c r="M849" s="171"/>
      <c r="N849" s="171"/>
    </row>
    <row r="850">
      <c r="M850" s="171"/>
      <c r="N850" s="171"/>
    </row>
    <row r="851">
      <c r="M851" s="171"/>
      <c r="N851" s="171"/>
    </row>
    <row r="852">
      <c r="M852" s="171"/>
      <c r="N852" s="171"/>
    </row>
    <row r="853">
      <c r="M853" s="171"/>
      <c r="N853" s="171"/>
    </row>
    <row r="854">
      <c r="M854" s="171"/>
      <c r="N854" s="171"/>
    </row>
    <row r="855">
      <c r="M855" s="171"/>
      <c r="N855" s="171"/>
    </row>
    <row r="856">
      <c r="M856" s="171"/>
      <c r="N856" s="171"/>
    </row>
    <row r="857">
      <c r="M857" s="171"/>
      <c r="N857" s="171"/>
    </row>
    <row r="858">
      <c r="M858" s="171"/>
      <c r="N858" s="171"/>
    </row>
    <row r="859">
      <c r="M859" s="171"/>
      <c r="N859" s="171"/>
    </row>
    <row r="860">
      <c r="M860" s="171"/>
      <c r="N860" s="171"/>
    </row>
    <row r="861">
      <c r="M861" s="171"/>
      <c r="N861" s="171"/>
    </row>
    <row r="862">
      <c r="M862" s="171"/>
      <c r="N862" s="171"/>
    </row>
    <row r="863">
      <c r="M863" s="171"/>
      <c r="N863" s="171"/>
    </row>
    <row r="864">
      <c r="M864" s="171"/>
      <c r="N864" s="171"/>
    </row>
    <row r="865">
      <c r="M865" s="171"/>
      <c r="N865" s="171"/>
    </row>
    <row r="866">
      <c r="M866" s="171"/>
      <c r="N866" s="171"/>
    </row>
    <row r="867">
      <c r="M867" s="171"/>
      <c r="N867" s="171"/>
    </row>
    <row r="868">
      <c r="M868" s="171"/>
      <c r="N868" s="171"/>
    </row>
    <row r="869">
      <c r="M869" s="171"/>
      <c r="N869" s="171"/>
    </row>
    <row r="870">
      <c r="M870" s="171"/>
      <c r="N870" s="171"/>
    </row>
    <row r="871">
      <c r="M871" s="171"/>
      <c r="N871" s="171"/>
    </row>
    <row r="872">
      <c r="M872" s="171"/>
      <c r="N872" s="171"/>
    </row>
    <row r="873">
      <c r="M873" s="171"/>
      <c r="N873" s="171"/>
    </row>
    <row r="874">
      <c r="M874" s="171"/>
      <c r="N874" s="171"/>
    </row>
    <row r="875">
      <c r="M875" s="171"/>
      <c r="N875" s="171"/>
    </row>
    <row r="876">
      <c r="M876" s="171"/>
      <c r="N876" s="171"/>
    </row>
    <row r="877">
      <c r="M877" s="171"/>
      <c r="N877" s="171"/>
    </row>
    <row r="878">
      <c r="M878" s="171"/>
      <c r="N878" s="171"/>
    </row>
    <row r="879">
      <c r="M879" s="171"/>
      <c r="N879" s="171"/>
    </row>
    <row r="880">
      <c r="M880" s="171"/>
      <c r="N880" s="171"/>
    </row>
    <row r="881">
      <c r="M881" s="171"/>
      <c r="N881" s="171"/>
    </row>
    <row r="882">
      <c r="M882" s="171"/>
      <c r="N882" s="171"/>
    </row>
    <row r="883">
      <c r="M883" s="171"/>
      <c r="N883" s="171"/>
    </row>
    <row r="884">
      <c r="M884" s="171"/>
      <c r="N884" s="171"/>
    </row>
    <row r="885">
      <c r="M885" s="171"/>
      <c r="N885" s="171"/>
    </row>
    <row r="886">
      <c r="M886" s="171"/>
      <c r="N886" s="171"/>
    </row>
    <row r="887">
      <c r="M887" s="171"/>
      <c r="N887" s="171"/>
    </row>
    <row r="888">
      <c r="M888" s="171"/>
      <c r="N888" s="171"/>
    </row>
    <row r="889">
      <c r="M889" s="171"/>
      <c r="N889" s="171"/>
    </row>
    <row r="890">
      <c r="M890" s="171"/>
      <c r="N890" s="171"/>
    </row>
    <row r="891">
      <c r="M891" s="171"/>
      <c r="N891" s="171"/>
    </row>
    <row r="892">
      <c r="M892" s="171"/>
      <c r="N892" s="171"/>
    </row>
    <row r="893">
      <c r="M893" s="171"/>
      <c r="N893" s="171"/>
    </row>
    <row r="894">
      <c r="M894" s="171"/>
      <c r="N894" s="171"/>
    </row>
    <row r="895">
      <c r="M895" s="171"/>
      <c r="N895" s="171"/>
    </row>
    <row r="896">
      <c r="M896" s="171"/>
      <c r="N896" s="171"/>
    </row>
    <row r="897">
      <c r="M897" s="171"/>
      <c r="N897" s="171"/>
    </row>
    <row r="898">
      <c r="M898" s="171"/>
      <c r="N898" s="171"/>
    </row>
    <row r="899">
      <c r="M899" s="171"/>
      <c r="N899" s="171"/>
    </row>
    <row r="900">
      <c r="M900" s="171"/>
      <c r="N900" s="171"/>
    </row>
    <row r="901">
      <c r="M901" s="171"/>
      <c r="N901" s="171"/>
    </row>
    <row r="902">
      <c r="M902" s="171"/>
      <c r="N902" s="171"/>
    </row>
    <row r="903">
      <c r="M903" s="171"/>
      <c r="N903" s="171"/>
    </row>
    <row r="904">
      <c r="M904" s="171"/>
      <c r="N904" s="171"/>
    </row>
    <row r="905">
      <c r="M905" s="171"/>
      <c r="N905" s="171"/>
    </row>
    <row r="906">
      <c r="M906" s="171"/>
      <c r="N906" s="171"/>
    </row>
    <row r="907">
      <c r="M907" s="171"/>
      <c r="N907" s="171"/>
    </row>
    <row r="908">
      <c r="M908" s="171"/>
      <c r="N908" s="171"/>
    </row>
    <row r="909">
      <c r="M909" s="171"/>
      <c r="N909" s="171"/>
    </row>
    <row r="910">
      <c r="M910" s="171"/>
      <c r="N910" s="171"/>
    </row>
    <row r="911">
      <c r="M911" s="171"/>
      <c r="N911" s="171"/>
    </row>
    <row r="912">
      <c r="M912" s="171"/>
      <c r="N912" s="171"/>
    </row>
    <row r="913">
      <c r="M913" s="171"/>
      <c r="N913" s="171"/>
    </row>
    <row r="914">
      <c r="M914" s="171"/>
      <c r="N914" s="171"/>
    </row>
    <row r="915">
      <c r="M915" s="171"/>
      <c r="N915" s="171"/>
    </row>
    <row r="916">
      <c r="M916" s="171"/>
      <c r="N916" s="171"/>
    </row>
    <row r="917">
      <c r="M917" s="171"/>
      <c r="N917" s="171"/>
    </row>
    <row r="918">
      <c r="M918" s="171"/>
      <c r="N918" s="171"/>
    </row>
    <row r="919">
      <c r="M919" s="171"/>
      <c r="N919" s="171"/>
    </row>
    <row r="920">
      <c r="M920" s="171"/>
      <c r="N920" s="171"/>
    </row>
    <row r="921">
      <c r="M921" s="171"/>
      <c r="N921" s="171"/>
    </row>
    <row r="922">
      <c r="M922" s="171"/>
      <c r="N922" s="171"/>
    </row>
    <row r="923">
      <c r="M923" s="171"/>
      <c r="N923" s="171"/>
    </row>
    <row r="924">
      <c r="M924" s="171"/>
      <c r="N924" s="171"/>
    </row>
    <row r="925">
      <c r="M925" s="171"/>
      <c r="N925" s="171"/>
    </row>
    <row r="926">
      <c r="M926" s="171"/>
      <c r="N926" s="171"/>
    </row>
    <row r="927">
      <c r="M927" s="171"/>
      <c r="N927" s="171"/>
    </row>
    <row r="928">
      <c r="M928" s="171"/>
      <c r="N928" s="171"/>
    </row>
    <row r="929">
      <c r="M929" s="171"/>
      <c r="N929" s="171"/>
    </row>
    <row r="930">
      <c r="M930" s="171"/>
      <c r="N930" s="171"/>
    </row>
    <row r="931">
      <c r="M931" s="171"/>
      <c r="N931" s="171"/>
    </row>
    <row r="932">
      <c r="M932" s="171"/>
      <c r="N932" s="171"/>
    </row>
    <row r="933">
      <c r="M933" s="171"/>
      <c r="N933" s="171"/>
    </row>
    <row r="934">
      <c r="M934" s="171"/>
      <c r="N934" s="171"/>
    </row>
    <row r="935">
      <c r="M935" s="171"/>
      <c r="N935" s="171"/>
    </row>
    <row r="936">
      <c r="M936" s="171"/>
      <c r="N936" s="171"/>
    </row>
    <row r="937">
      <c r="M937" s="171"/>
      <c r="N937" s="171"/>
    </row>
    <row r="938">
      <c r="M938" s="171"/>
      <c r="N938" s="171"/>
    </row>
    <row r="939">
      <c r="M939" s="171"/>
      <c r="N939" s="171"/>
    </row>
    <row r="940">
      <c r="M940" s="171"/>
      <c r="N940" s="171"/>
    </row>
    <row r="941">
      <c r="M941" s="171"/>
      <c r="N941" s="171"/>
    </row>
    <row r="942">
      <c r="M942" s="171"/>
      <c r="N942" s="171"/>
    </row>
    <row r="943">
      <c r="M943" s="171"/>
      <c r="N943" s="171"/>
    </row>
    <row r="944">
      <c r="M944" s="171"/>
      <c r="N944" s="171"/>
    </row>
    <row r="945">
      <c r="M945" s="171"/>
      <c r="N945" s="171"/>
    </row>
    <row r="946">
      <c r="M946" s="171"/>
      <c r="N946" s="171"/>
    </row>
    <row r="947">
      <c r="M947" s="171"/>
      <c r="N947" s="171"/>
    </row>
    <row r="948">
      <c r="M948" s="171"/>
      <c r="N948" s="171"/>
    </row>
    <row r="949">
      <c r="M949" s="171"/>
      <c r="N949" s="171"/>
    </row>
    <row r="950">
      <c r="M950" s="171"/>
      <c r="N950" s="171"/>
    </row>
    <row r="951">
      <c r="M951" s="171"/>
      <c r="N951" s="171"/>
    </row>
    <row r="952">
      <c r="M952" s="171"/>
      <c r="N952" s="171"/>
    </row>
    <row r="953">
      <c r="M953" s="171"/>
      <c r="N953" s="171"/>
    </row>
    <row r="954">
      <c r="M954" s="171"/>
      <c r="N954" s="171"/>
    </row>
    <row r="955">
      <c r="M955" s="171"/>
      <c r="N955" s="171"/>
    </row>
    <row r="956">
      <c r="M956" s="171"/>
      <c r="N956" s="171"/>
    </row>
    <row r="957">
      <c r="M957" s="171"/>
      <c r="N957" s="171"/>
    </row>
    <row r="958">
      <c r="M958" s="171"/>
      <c r="N958" s="171"/>
    </row>
    <row r="959">
      <c r="M959" s="171"/>
      <c r="N959" s="171"/>
    </row>
    <row r="960">
      <c r="M960" s="171"/>
      <c r="N960" s="171"/>
    </row>
    <row r="961">
      <c r="M961" s="171"/>
      <c r="N961" s="171"/>
    </row>
    <row r="962">
      <c r="M962" s="171"/>
      <c r="N962" s="171"/>
    </row>
    <row r="963">
      <c r="M963" s="171"/>
      <c r="N963" s="171"/>
    </row>
    <row r="964">
      <c r="M964" s="171"/>
      <c r="N964" s="171"/>
    </row>
    <row r="965">
      <c r="M965" s="171"/>
      <c r="N965" s="171"/>
    </row>
    <row r="966">
      <c r="M966" s="171"/>
      <c r="N966" s="171"/>
    </row>
    <row r="967">
      <c r="M967" s="171"/>
      <c r="N967" s="171"/>
    </row>
    <row r="968">
      <c r="M968" s="171"/>
      <c r="N968" s="171"/>
    </row>
    <row r="969">
      <c r="M969" s="171"/>
      <c r="N969" s="171"/>
    </row>
    <row r="970">
      <c r="M970" s="171"/>
      <c r="N970" s="171"/>
    </row>
    <row r="971">
      <c r="M971" s="171"/>
      <c r="N971" s="171"/>
    </row>
    <row r="972">
      <c r="M972" s="171"/>
      <c r="N972" s="171"/>
    </row>
    <row r="973">
      <c r="M973" s="171"/>
      <c r="N973" s="171"/>
    </row>
    <row r="974">
      <c r="M974" s="171"/>
      <c r="N974" s="171"/>
    </row>
    <row r="975">
      <c r="M975" s="171"/>
      <c r="N975" s="171"/>
    </row>
    <row r="976">
      <c r="M976" s="171"/>
      <c r="N976" s="171"/>
    </row>
    <row r="977">
      <c r="M977" s="171"/>
      <c r="N977" s="171"/>
    </row>
    <row r="978">
      <c r="M978" s="171"/>
      <c r="N978" s="171"/>
    </row>
    <row r="979">
      <c r="M979" s="171"/>
      <c r="N979" s="171"/>
    </row>
    <row r="980">
      <c r="M980" s="171"/>
      <c r="N980" s="171"/>
    </row>
    <row r="981">
      <c r="M981" s="171"/>
      <c r="N981" s="171"/>
    </row>
    <row r="982">
      <c r="M982" s="171"/>
      <c r="N982" s="171"/>
    </row>
    <row r="983">
      <c r="M983" s="171"/>
      <c r="N983" s="171"/>
    </row>
    <row r="984">
      <c r="M984" s="171"/>
      <c r="N984" s="171"/>
    </row>
    <row r="985">
      <c r="M985" s="171"/>
      <c r="N985" s="171"/>
    </row>
    <row r="986">
      <c r="M986" s="171"/>
      <c r="N986" s="171"/>
    </row>
    <row r="987">
      <c r="M987" s="171"/>
      <c r="N987" s="171"/>
    </row>
    <row r="988">
      <c r="M988" s="171"/>
      <c r="N988" s="171"/>
    </row>
    <row r="989">
      <c r="M989" s="171"/>
      <c r="N989" s="171"/>
    </row>
    <row r="990">
      <c r="M990" s="171"/>
      <c r="N990" s="171"/>
    </row>
    <row r="991">
      <c r="M991" s="171"/>
      <c r="N991" s="171"/>
    </row>
    <row r="992">
      <c r="M992" s="171"/>
      <c r="N992" s="171"/>
    </row>
    <row r="993">
      <c r="M993" s="171"/>
      <c r="N993" s="171"/>
    </row>
    <row r="994">
      <c r="M994" s="171"/>
      <c r="N994" s="171"/>
    </row>
    <row r="995">
      <c r="M995" s="171"/>
      <c r="N995" s="171"/>
    </row>
    <row r="996">
      <c r="M996" s="171"/>
      <c r="N996" s="171"/>
    </row>
    <row r="997">
      <c r="M997" s="171"/>
      <c r="N997" s="171"/>
    </row>
    <row r="998">
      <c r="M998" s="171"/>
      <c r="N998" s="171"/>
    </row>
    <row r="999">
      <c r="M999" s="171"/>
      <c r="N999" s="171"/>
    </row>
    <row r="1000">
      <c r="M1000" s="171"/>
      <c r="N1000" s="171"/>
    </row>
  </sheetData>
  <hyperlinks>
    <hyperlink r:id="rId1" ref="B3"/>
  </hyperlinks>
  <drawing r:id="rId2"/>
</worksheet>
</file>