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xima Centauri" sheetId="1" r:id="rId4"/>
    <sheet state="visible" name="Alpha Centauri" sheetId="2" r:id="rId5"/>
    <sheet state="visible" name="Tau Ceti" sheetId="3" r:id="rId6"/>
    <sheet state="visible" name="Epsilon Eridani" sheetId="4" r:id="rId7"/>
    <sheet state="visible" name="Trappist" sheetId="5" r:id="rId8"/>
    <sheet state="visible" name="YZ Ceti" sheetId="6" r:id="rId9"/>
    <sheet state="visible" name="Secteur CE" sheetId="7" r:id="rId10"/>
    <sheet state="visible" name="Milky Way" sheetId="8" r:id="rId11"/>
    <sheet state="visible" name="Vitesses interplanétaires" sheetId="9" r:id="rId12"/>
    <sheet state="visible" name="Colonies" sheetId="10" r:id="rId13"/>
    <sheet state="visible" name="Luyten" sheetId="11" r:id="rId14"/>
    <sheet state="visible" name="Ross 128" sheetId="12" r:id="rId15"/>
    <sheet state="visible" name="Wolf" sheetId="13" r:id="rId16"/>
    <sheet state="visible" name="Barnard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4">
      <text>
        <t xml:space="preserve">at cloudtop
at surface of true core, 100+g and enormous pressures</t>
      </text>
    </comment>
    <comment authorId="0" ref="K12">
      <text>
        <t xml:space="preserve">at cloudtop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A 0.2g, depuis l'étoile</t>
      </text>
    </comment>
  </commentList>
</comments>
</file>

<file path=xl/sharedStrings.xml><?xml version="1.0" encoding="utf-8"?>
<sst xmlns="http://schemas.openxmlformats.org/spreadsheetml/2006/main" count="668" uniqueCount="396">
  <si>
    <t>https://www.stellarcatalog.com/stars/epsilon-eridani</t>
  </si>
  <si>
    <t>https://www.stellarcatalog.com/stars/tau-ceti&amp;full=1</t>
  </si>
  <si>
    <t>PROXIMA CENTAURI</t>
  </si>
  <si>
    <t>ALPHA CENTAURI</t>
  </si>
  <si>
    <t>+ rocky planet in habitable zone</t>
  </si>
  <si>
    <t>Jeune étoile (&lt; 1 Gyr), bombardement d'astéroides reset la vie</t>
  </si>
  <si>
    <t>Humain &gt; dévient astéroide et boostent l'évolution</t>
  </si>
  <si>
    <t>200 ans plus tard, écosystème florissant</t>
  </si>
  <si>
    <t>Espace colonisé</t>
  </si>
  <si>
    <t xml:space="preserve">Planet </t>
  </si>
  <si>
    <t>g</t>
  </si>
  <si>
    <t>M(earth)</t>
  </si>
  <si>
    <t>real ?</t>
  </si>
  <si>
    <t>Metallica rankings (23e siecle)</t>
  </si>
  <si>
    <t>Légende</t>
  </si>
  <si>
    <t>Metallica rankings (24e siecle)</t>
  </si>
  <si>
    <t>Orbites stellaires</t>
  </si>
  <si>
    <t>AU</t>
  </si>
  <si>
    <t>Star</t>
  </si>
  <si>
    <t>Satellite</t>
  </si>
  <si>
    <t>Name</t>
  </si>
  <si>
    <t>Type</t>
  </si>
  <si>
    <t>Nation</t>
  </si>
  <si>
    <t>Sec</t>
  </si>
  <si>
    <t>Notes</t>
  </si>
  <si>
    <t>Grav</t>
  </si>
  <si>
    <t>Mass</t>
  </si>
  <si>
    <t>Interstellaire</t>
  </si>
  <si>
    <t>Guilde</t>
  </si>
  <si>
    <t>Civil</t>
  </si>
  <si>
    <t>Militaire</t>
  </si>
  <si>
    <t>Unmanned</t>
  </si>
  <si>
    <t>A</t>
  </si>
  <si>
    <t>Kugelblitz</t>
  </si>
  <si>
    <t>Tau Ceti</t>
  </si>
  <si>
    <t>Interplanétaire</t>
  </si>
  <si>
    <t>Vitesse</t>
  </si>
  <si>
    <t>Yellow dwarf</t>
  </si>
  <si>
    <t>0.2 c</t>
  </si>
  <si>
    <t>Luminosity 0.45 Sun</t>
  </si>
  <si>
    <t>0.8 Sun</t>
  </si>
  <si>
    <t>r</t>
  </si>
  <si>
    <t>0.4 c</t>
  </si>
  <si>
    <t>New Vegas</t>
  </si>
  <si>
    <t>0.6 c</t>
  </si>
  <si>
    <t>Reliance</t>
  </si>
  <si>
    <t>0.8 c</t>
  </si>
  <si>
    <t>0.9 c</t>
  </si>
  <si>
    <t>Dyson swarm</t>
  </si>
  <si>
    <t>Systeme</t>
  </si>
  <si>
    <t>ONU</t>
  </si>
  <si>
    <t>High</t>
  </si>
  <si>
    <t>Corps</t>
  </si>
  <si>
    <t>+ automated laser highway, factories, hydroponics and shipyard</t>
  </si>
  <si>
    <t>Statut</t>
  </si>
  <si>
    <t>Distance</t>
  </si>
  <si>
    <t>Réel</t>
  </si>
  <si>
    <t>Securité</t>
  </si>
  <si>
    <t>Propre</t>
  </si>
  <si>
    <t>Orbite</t>
  </si>
  <si>
    <t>b</t>
  </si>
  <si>
    <t>Lava planet</t>
  </si>
  <si>
    <t>Période</t>
  </si>
  <si>
    <t>u</t>
  </si>
  <si>
    <t>Hell</t>
  </si>
  <si>
    <t>0.3 c</t>
  </si>
  <si>
    <t>Alpha Cen</t>
  </si>
  <si>
    <t>0.21 ly</t>
  </si>
  <si>
    <t>Voodoos</t>
  </si>
  <si>
    <t>Templiers</t>
  </si>
  <si>
    <t>13 mois</t>
  </si>
  <si>
    <t>c</t>
  </si>
  <si>
    <t>Mercury</t>
  </si>
  <si>
    <t>e-2</t>
  </si>
  <si>
    <t>Harlequins</t>
  </si>
  <si>
    <t>Arabenian</t>
  </si>
  <si>
    <t>idem</t>
  </si>
  <si>
    <t>S A D</t>
  </si>
  <si>
    <t>B</t>
  </si>
  <si>
    <t>7 mois</t>
  </si>
  <si>
    <t>h</t>
  </si>
  <si>
    <t>Theta</t>
  </si>
  <si>
    <t>5 mois</t>
  </si>
  <si>
    <t>Rocky planet</t>
  </si>
  <si>
    <t>Dyson partiel</t>
  </si>
  <si>
    <t>Alpha</t>
  </si>
  <si>
    <t>Low</t>
  </si>
  <si>
    <t>4 mois</t>
  </si>
  <si>
    <t>Réseau de cristaux silicone</t>
  </si>
  <si>
    <t>2 mois</t>
  </si>
  <si>
    <t>3 mois</t>
  </si>
  <si>
    <t>3 sem</t>
  </si>
  <si>
    <t>Luhman</t>
  </si>
  <si>
    <t>Xenos</t>
  </si>
  <si>
    <t>e</t>
  </si>
  <si>
    <t>3.6 ly</t>
  </si>
  <si>
    <t>Rho</t>
  </si>
  <si>
    <t>15 ans</t>
  </si>
  <si>
    <t>Super-Venus</t>
  </si>
  <si>
    <t>7.5 ans</t>
  </si>
  <si>
    <t>Cités flottantes, dragon ballon</t>
  </si>
  <si>
    <t>5 ans</t>
  </si>
  <si>
    <t>4 ans</t>
  </si>
  <si>
    <t>1*</t>
  </si>
  <si>
    <t>3 ans</t>
  </si>
  <si>
    <t>Maelstorm</t>
  </si>
  <si>
    <t>Sol</t>
  </si>
  <si>
    <t>Totentanz</t>
  </si>
  <si>
    <t>4 ly</t>
  </si>
  <si>
    <t>Durée</t>
  </si>
  <si>
    <t>20 ans</t>
  </si>
  <si>
    <t>f</t>
  </si>
  <si>
    <t>10 ans</t>
  </si>
  <si>
    <t>Tau</t>
  </si>
  <si>
    <t>Super-Earth</t>
  </si>
  <si>
    <t>7 ans</t>
  </si>
  <si>
    <t>6 ans</t>
  </si>
  <si>
    <t>2g, tourisme, faune terrestre faible (météorites, maintenant déviées), corail (sentient ?)</t>
  </si>
  <si>
    <t>1 an</t>
  </si>
  <si>
    <t>Albio</t>
  </si>
  <si>
    <t>Wolf</t>
  </si>
  <si>
    <t>Planète volcanique</t>
  </si>
  <si>
    <t>5 ly</t>
  </si>
  <si>
    <t>Skavs</t>
  </si>
  <si>
    <t>25 ans</t>
  </si>
  <si>
    <t>Kleaners, Teks, Meks, Homonkuls</t>
  </si>
  <si>
    <t>12.5 ans</t>
  </si>
  <si>
    <t>Pokebots</t>
  </si>
  <si>
    <t>0.2 AU</t>
  </si>
  <si>
    <t>8 ans</t>
  </si>
  <si>
    <t>23 jours</t>
  </si>
  <si>
    <t>Spatioport</t>
  </si>
  <si>
    <t>Proxima (C)</t>
  </si>
  <si>
    <t>Hub interstellaire</t>
  </si>
  <si>
    <t>*</t>
  </si>
  <si>
    <t>100 Mt</t>
  </si>
  <si>
    <t>Barnard</t>
  </si>
  <si>
    <t>7 ly</t>
  </si>
  <si>
    <t>Red &amp; Pikashoot</t>
  </si>
  <si>
    <t>35 ans</t>
  </si>
  <si>
    <t>Poings de Shiva</t>
  </si>
  <si>
    <t>17.5 ans</t>
  </si>
  <si>
    <t>Rocky moon</t>
  </si>
  <si>
    <t>Union</t>
  </si>
  <si>
    <t>Arcology</t>
  </si>
  <si>
    <t>belt</t>
  </si>
  <si>
    <t>Asteroid belt</t>
  </si>
  <si>
    <t>Albiwan</t>
  </si>
  <si>
    <t xml:space="preserve">S'étend sur plusieurs AUs. Des trillions de drones la mine, parait quand même vide. </t>
  </si>
  <si>
    <t>Planète terraformée</t>
  </si>
  <si>
    <t>NO TRESPASS</t>
  </si>
  <si>
    <t>Garage</t>
  </si>
  <si>
    <t>~0.7 AU</t>
  </si>
  <si>
    <t>Ares</t>
  </si>
  <si>
    <t>193 jours</t>
  </si>
  <si>
    <t>SUR RENDEZ-VOUS</t>
  </si>
  <si>
    <t>1 kt</t>
  </si>
  <si>
    <t>i</t>
  </si>
  <si>
    <t>Ceres</t>
  </si>
  <si>
    <t>Pour satisfaire vos désirs les plus fous en toute anonymité</t>
  </si>
  <si>
    <t>e-4</t>
  </si>
  <si>
    <t>Metallica</t>
  </si>
  <si>
    <t>Mining station</t>
  </si>
  <si>
    <t>Kenobi</t>
  </si>
  <si>
    <t>Conglomérat d'astéroides habités</t>
  </si>
  <si>
    <t>Hub commercial</t>
  </si>
  <si>
    <t>10+ Mt</t>
  </si>
  <si>
    <t>Major corporation (Energy and telecoms)</t>
  </si>
  <si>
    <t>?</t>
  </si>
  <si>
    <t>Stadium</t>
  </si>
  <si>
    <t>Null</t>
  </si>
  <si>
    <t>Warning : prepare to die</t>
  </si>
  <si>
    <t>10 kt</t>
  </si>
  <si>
    <t>Albitu</t>
  </si>
  <si>
    <t>Géante gaseuse</t>
  </si>
  <si>
    <t>Station ??</t>
  </si>
  <si>
    <t>Maintenance, nettoyage, recyclage</t>
  </si>
  <si>
    <t>1 Mt</t>
  </si>
  <si>
    <t>2 - 3 AU</t>
  </si>
  <si>
    <t>120 ans</t>
  </si>
  <si>
    <t>Forteresse</t>
  </si>
  <si>
    <t>j</t>
  </si>
  <si>
    <t>Gas giant</t>
  </si>
  <si>
    <t>Warning : powerful EM field</t>
  </si>
  <si>
    <t>2.5*</t>
  </si>
  <si>
    <t>Stoner</t>
  </si>
  <si>
    <t>Enceladus</t>
  </si>
  <si>
    <t>Industrie lourde</t>
  </si>
  <si>
    <t>subsurface ocean, plumes, cryobactéries, pingouin pilon</t>
  </si>
  <si>
    <t>e−5</t>
  </si>
  <si>
    <t>Guide touristique</t>
  </si>
  <si>
    <t>Soupe à l'oeuf de dragon-ballon et champignons crieurs</t>
  </si>
  <si>
    <t>Pokebot World Cup</t>
  </si>
  <si>
    <t>Cures thérapeutiques</t>
  </si>
  <si>
    <t>Chutes de l'étrange</t>
  </si>
  <si>
    <t>Purge de printemps</t>
  </si>
  <si>
    <t>https://en.wikipedia.org/wiki/TRAPPIST-1</t>
  </si>
  <si>
    <t>Barrens</t>
  </si>
  <si>
    <t>Astéroides</t>
  </si>
  <si>
    <t>8-10 AU</t>
  </si>
  <si>
    <t>Naine jaune</t>
  </si>
  <si>
    <t>11-33 AU</t>
  </si>
  <si>
    <t>80 ans</t>
  </si>
  <si>
    <t>αa1</t>
  </si>
  <si>
    <t>0.5 AU</t>
  </si>
  <si>
    <t>0.5 ans</t>
  </si>
  <si>
    <t>αcloud</t>
  </si>
  <si>
    <t>AB</t>
  </si>
  <si>
    <t>40-50 AU</t>
  </si>
  <si>
    <t>α1</t>
  </si>
  <si>
    <t>Planète rocheuse</t>
  </si>
  <si>
    <t>60 AU</t>
  </si>
  <si>
    <t>300 ans</t>
  </si>
  <si>
    <t>https://www.stellarcatalog.com/stars/trappist-1</t>
  </si>
  <si>
    <t>naine rouge, 40 ly de Sol, hub</t>
  </si>
  <si>
    <t>Planètes très proches (0.01 AU, 10x terre-lune), Résonance orbitale, tidal locked</t>
  </si>
  <si>
    <t>Fortes marées, rotation d'axe à l'échelle d'années</t>
  </si>
  <si>
    <t>Planète e, seule habitée</t>
  </si>
  <si>
    <t>cyclone permanent, nuit éternelle, eau et atmosphère régulent</t>
  </si>
  <si>
    <t>cercle autour terminator zone habitable, volcanique (tidal forces)</t>
  </si>
  <si>
    <t>Forêt noire &gt; arcologie Ares (mines)</t>
  </si>
  <si>
    <t>Volcans, arbres démesurés et noirs pour collecter max de lumière</t>
  </si>
  <si>
    <t>Plages scintillantes &gt; Festival éternel Alpha</t>
  </si>
  <si>
    <t>Eco batiments immergés par moment (marées)</t>
  </si>
  <si>
    <t>Flore diverse spécialisée dans différents spectres</t>
  </si>
  <si>
    <t xml:space="preserve">Eau de source </t>
  </si>
  <si>
    <t>Sasquatch, Poisson rouge, Arasaka</t>
  </si>
  <si>
    <t>bc &gt;</t>
  </si>
  <si>
    <t>https://www.stellarcatalog.com/stars/yz-ceti&amp;full=1</t>
  </si>
  <si>
    <t>https://science.nasa.gov/exoplanet-catalog/yz-ceti-b/</t>
  </si>
  <si>
    <t>days</t>
  </si>
  <si>
    <t>°C</t>
  </si>
  <si>
    <t>Orbit</t>
  </si>
  <si>
    <t>Planet</t>
  </si>
  <si>
    <t>Period</t>
  </si>
  <si>
    <t>Temp</t>
  </si>
  <si>
    <t>Lock</t>
  </si>
  <si>
    <t>Transit</t>
  </si>
  <si>
    <t>YZ Ceti</t>
  </si>
  <si>
    <t>-</t>
  </si>
  <si>
    <t>Yes</t>
  </si>
  <si>
    <t>d &gt;</t>
  </si>
  <si>
    <t>Panneaux solaires</t>
  </si>
  <si>
    <t>d</t>
  </si>
  <si>
    <t>Eyeball planet</t>
  </si>
  <si>
    <t>Défense orbitale</t>
  </si>
  <si>
    <t>Ice planet</t>
  </si>
  <si>
    <t>No</t>
  </si>
  <si>
    <t>Chantier orbital</t>
  </si>
  <si>
    <t>Kuiper belt</t>
  </si>
  <si>
    <t>e &gt;</t>
  </si>
  <si>
    <t>Secteur CE</t>
  </si>
  <si>
    <t>Sécurité 4</t>
  </si>
  <si>
    <t>C / A / W / E</t>
  </si>
  <si>
    <t>Centre / Anticentre / West / East</t>
  </si>
  <si>
    <t>=</t>
  </si>
  <si>
    <t>1 ly (distance de Sol, années-lumières)</t>
  </si>
  <si>
    <t>Centre</t>
  </si>
  <si>
    <t>N / S</t>
  </si>
  <si>
    <t xml:space="preserve">Nord / Sud </t>
  </si>
  <si>
    <t>+30° par rapport à Sol</t>
  </si>
  <si>
    <t>13 ly</t>
  </si>
  <si>
    <t>Escier</t>
  </si>
  <si>
    <t>14 ly</t>
  </si>
  <si>
    <t>CS</t>
  </si>
  <si>
    <t>Struve</t>
  </si>
  <si>
    <t>11 ly</t>
  </si>
  <si>
    <t>CES2</t>
  </si>
  <si>
    <t>CN2</t>
  </si>
  <si>
    <t>C</t>
  </si>
  <si>
    <t>Sagiross</t>
  </si>
  <si>
    <t>10 ly</t>
  </si>
  <si>
    <t>CE</t>
  </si>
  <si>
    <t>Rex</t>
  </si>
  <si>
    <t>CN</t>
  </si>
  <si>
    <t>6 ly</t>
  </si>
  <si>
    <t>CENTRE (C)</t>
  </si>
  <si>
    <t>CES</t>
  </si>
  <si>
    <t>WEST (W)</t>
  </si>
  <si>
    <t>EST (E)</t>
  </si>
  <si>
    <t>EN</t>
  </si>
  <si>
    <t>Luyten</t>
  </si>
  <si>
    <t>ANTI CENTRE (A)</t>
  </si>
  <si>
    <t>E</t>
  </si>
  <si>
    <t>E2</t>
  </si>
  <si>
    <t>Virgiross</t>
  </si>
  <si>
    <t>Secteur W</t>
  </si>
  <si>
    <t>8 ly</t>
  </si>
  <si>
    <t>9 ly</t>
  </si>
  <si>
    <t>Est</t>
  </si>
  <si>
    <t>(Androross 10 ly)</t>
  </si>
  <si>
    <t>Secteur A</t>
  </si>
  <si>
    <t>jours</t>
  </si>
  <si>
    <t>AU/j</t>
  </si>
  <si>
    <t>km/s</t>
  </si>
  <si>
    <t>(Sirius 8 ly)</t>
  </si>
  <si>
    <t>Transit time</t>
  </si>
  <si>
    <t>ES</t>
  </si>
  <si>
    <t>Fuel</t>
  </si>
  <si>
    <t>Accélération</t>
  </si>
  <si>
    <t>deltaV</t>
  </si>
  <si>
    <t>Ion</t>
  </si>
  <si>
    <t>∞</t>
  </si>
  <si>
    <t>Jours</t>
  </si>
  <si>
    <t>Cargo</t>
  </si>
  <si>
    <t>Cargo + Voile</t>
  </si>
  <si>
    <t>Standard</t>
  </si>
  <si>
    <t>Standard + Voile</t>
  </si>
  <si>
    <t>Sport</t>
  </si>
  <si>
    <t>Voile laser</t>
  </si>
  <si>
    <t>Voile laser +</t>
  </si>
  <si>
    <t>Laser Express</t>
  </si>
  <si>
    <t>0.12c</t>
  </si>
  <si>
    <t>0.3c</t>
  </si>
  <si>
    <t>Lumière</t>
  </si>
  <si>
    <t>8 min / AU</t>
  </si>
  <si>
    <t>7 AU / h</t>
  </si>
  <si>
    <t>8m</t>
  </si>
  <si>
    <t>30m</t>
  </si>
  <si>
    <t>2h</t>
  </si>
  <si>
    <t>4h</t>
  </si>
  <si>
    <t>7h</t>
  </si>
  <si>
    <t>Orbites</t>
  </si>
  <si>
    <t>https://upload.wikimedia.org/wikipedia/commons/b/b4/Comparison_satellite_navigation_orbits.svg</t>
  </si>
  <si>
    <t>Calculateur</t>
  </si>
  <si>
    <t>DeltaV</t>
  </si>
  <si>
    <t>Accel</t>
  </si>
  <si>
    <t>https://www.stellarcatalog.com/stars.php</t>
  </si>
  <si>
    <t>Toutes les étoiles à moins de 50 années lumières sont reliées par l'autoroute solaire</t>
  </si>
  <si>
    <t>Secteur</t>
  </si>
  <si>
    <t>Longitude</t>
  </si>
  <si>
    <t>Latitude</t>
  </si>
  <si>
    <t>Centre galactique</t>
  </si>
  <si>
    <t>20k</t>
  </si>
  <si>
    <t>17h45</t>
  </si>
  <si>
    <t>Alpha Centauri</t>
  </si>
  <si>
    <t>-30°</t>
  </si>
  <si>
    <t>14h30</t>
  </si>
  <si>
    <t>30°</t>
  </si>
  <si>
    <t>18h</t>
  </si>
  <si>
    <t>-90°</t>
  </si>
  <si>
    <t>11h</t>
  </si>
  <si>
    <t>0°</t>
  </si>
  <si>
    <t>Lalande</t>
  </si>
  <si>
    <t>AS</t>
  </si>
  <si>
    <t>AU/jour</t>
  </si>
  <si>
    <t>6h45</t>
  </si>
  <si>
    <t>Sirius</t>
  </si>
  <si>
    <t>AE</t>
  </si>
  <si>
    <t>Parcouru</t>
  </si>
  <si>
    <t>19h</t>
  </si>
  <si>
    <t>Androross</t>
  </si>
  <si>
    <t>W</t>
  </si>
  <si>
    <t>23h40</t>
  </si>
  <si>
    <t>Eridani</t>
  </si>
  <si>
    <t>AWS</t>
  </si>
  <si>
    <t>3h30</t>
  </si>
  <si>
    <t>Lacaille</t>
  </si>
  <si>
    <t>WS</t>
  </si>
  <si>
    <t>23h</t>
  </si>
  <si>
    <t>12h</t>
  </si>
  <si>
    <t>Aquarii</t>
  </si>
  <si>
    <t>Procyon</t>
  </si>
  <si>
    <t>8h</t>
  </si>
  <si>
    <t>Cygni</t>
  </si>
  <si>
    <t>CWN</t>
  </si>
  <si>
    <t>21h</t>
  </si>
  <si>
    <t>Groombridge</t>
  </si>
  <si>
    <t>WN</t>
  </si>
  <si>
    <t>24h</t>
  </si>
  <si>
    <t>Indi</t>
  </si>
  <si>
    <t>CWS</t>
  </si>
  <si>
    <t>22h</t>
  </si>
  <si>
    <t>gj</t>
  </si>
  <si>
    <t>Cancri</t>
  </si>
  <si>
    <t>20h</t>
  </si>
  <si>
    <t>Neuten</t>
  </si>
  <si>
    <t>7h30</t>
  </si>
  <si>
    <t>Baristochrone (jours)</t>
  </si>
  <si>
    <t>Teegarden</t>
  </si>
  <si>
    <t>AW</t>
  </si>
  <si>
    <t>3h</t>
  </si>
  <si>
    <t>Kapteyn</t>
  </si>
  <si>
    <t>5h</t>
  </si>
  <si>
    <t>Van Maanen</t>
  </si>
  <si>
    <t>Altair</t>
  </si>
  <si>
    <t>CW</t>
  </si>
  <si>
    <t>16h30</t>
  </si>
  <si>
    <t>16h</t>
  </si>
  <si>
    <t>https://en.wikipedia.org/wiki/List_of_nearest_stars_and_brown_dwarfs</t>
  </si>
  <si>
    <t>Decel</t>
  </si>
  <si>
    <t>https://en.wikipedia.org/wiki/Luyten%27s_Star</t>
  </si>
  <si>
    <t>https://www.stellarcatalog.com/stars/luytens-star</t>
  </si>
  <si>
    <t>https://en.wikipedia.org/wiki/Ross_128</t>
  </si>
  <si>
    <t>https://www.stellarcatalog.com/stars/wolf-359</t>
  </si>
  <si>
    <t>Le train passe, mais il s'arrête 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</si>
</sst>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0.0"/>
      <color rgb="FF000000"/>
      <name val="Arial"/>
    </font>
    <font/>
    <font>
      <b/>
      <name val="Arial"/>
    </font>
    <font>
      <u/>
      <color rgb="FF0000FF"/>
    </font>
    <font>
      <u/>
      <color rgb="FF0000FF"/>
    </font>
    <font>
      <u/>
      <color rgb="FF1155CC"/>
      <name val="Arial"/>
    </font>
    <font>
      <b/>
    </font>
    <font>
      <sz val="14.0"/>
    </font>
    <font>
      <name val="Arial"/>
    </font>
    <font>
      <b/>
      <color rgb="FFFF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rgb="FFFF0000"/>
      <name val="Arial"/>
    </font>
    <font>
      <color rgb="FF000000"/>
      <name val="Arial"/>
    </font>
    <font>
      <i/>
    </font>
    <font>
      <color rgb="FF000000"/>
      <name val="'Arial'"/>
    </font>
    <font>
      <sz val="11.0"/>
      <color rgb="FF252525"/>
      <name val="Sans-serif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3">
    <border/>
    <border>
      <right style="thin">
        <color rgb="FF000000"/>
      </right>
    </border>
    <border>
      <right style="dotted">
        <color rgb="FF000000"/>
      </right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8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 vertical="bottom"/>
    </xf>
    <xf borderId="0" fillId="2" fontId="1" numFmtId="0" xfId="0" applyFill="1" applyFont="1"/>
    <xf borderId="0" fillId="0" fontId="8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quotePrefix="1" borderId="0" fillId="2" fontId="1" numFmtId="0" xfId="0" applyAlignment="1" applyFill="1" applyFont="1">
      <alignment readingOrder="0"/>
    </xf>
    <xf borderId="0" fillId="0" fontId="6" numFmtId="0" xfId="0" applyAlignment="1" applyFont="1">
      <alignment horizontal="right" readingOrder="0"/>
    </xf>
    <xf borderId="1" fillId="0" fontId="1" numFmtId="0" xfId="0" applyBorder="1" applyFont="1"/>
    <xf borderId="0" fillId="3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" xfId="0" applyAlignment="1" applyFont="1" applyNumberFormat="1">
      <alignment horizontal="left" readingOrder="0" vertical="bottom"/>
    </xf>
    <xf borderId="0" fillId="0" fontId="9" numFmtId="0" xfId="0" applyAlignment="1" applyFont="1">
      <alignment horizontal="lef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0" numFmtId="0" xfId="0" applyAlignment="1" applyFont="1">
      <alignment horizontal="center" readingOrder="0" vertical="bottom"/>
    </xf>
    <xf borderId="1" fillId="0" fontId="6" numFmtId="0" xfId="0" applyAlignment="1" applyBorder="1" applyFont="1">
      <alignment horizontal="right" readingOrder="0"/>
    </xf>
    <xf borderId="0" fillId="3" fontId="6" numFmtId="0" xfId="0" applyAlignment="1" applyFill="1" applyFont="1">
      <alignment horizontal="right" readingOrder="0"/>
    </xf>
    <xf borderId="0" fillId="3" fontId="6" numFmtId="0" xfId="0" applyAlignment="1" applyFill="1" applyFont="1">
      <alignment horizontal="left" readingOrder="0"/>
    </xf>
    <xf borderId="0" fillId="0" fontId="8" numFmtId="0" xfId="0" applyAlignment="1" applyFont="1">
      <alignment horizontal="left" readingOrder="0" vertical="bottom"/>
    </xf>
    <xf borderId="0" fillId="3" fontId="8" numFmtId="0" xfId="0" applyAlignment="1" applyFill="1" applyFont="1">
      <alignment horizontal="right" vertical="bottom"/>
    </xf>
    <xf borderId="0" fillId="3" fontId="8" numFmtId="1" xfId="0" applyAlignment="1" applyFill="1" applyFont="1" applyNumberFormat="1">
      <alignment horizontal="left" readingOrder="0" vertical="bottom"/>
    </xf>
    <xf borderId="0" fillId="3" fontId="8" numFmtId="0" xfId="0" applyAlignment="1" applyFill="1" applyFont="1">
      <alignment horizontal="right" readingOrder="0" vertical="bottom"/>
    </xf>
    <xf borderId="0" fillId="0" fontId="11" numFmtId="0" xfId="0" applyAlignment="1" applyFont="1">
      <alignment horizontal="left" readingOrder="0" vertical="bottom"/>
    </xf>
    <xf borderId="0" fillId="0" fontId="8" numFmtId="164" xfId="0" applyAlignment="1" applyFont="1" applyNumberFormat="1">
      <alignment horizontal="left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left" vertical="bottom"/>
    </xf>
    <xf borderId="0" fillId="0" fontId="8" numFmtId="1" xfId="0" applyAlignment="1" applyFont="1" applyNumberFormat="1">
      <alignment horizontal="left" vertical="bottom"/>
    </xf>
    <xf borderId="0" fillId="3" fontId="8" numFmtId="0" xfId="0" applyAlignment="1" applyFill="1" applyFont="1">
      <alignment horizontal="left" readingOrder="0" vertical="bottom"/>
    </xf>
    <xf borderId="0" fillId="0" fontId="12" numFmtId="0" xfId="0" applyAlignment="1" applyFont="1">
      <alignment readingOrder="0" vertical="bottom"/>
    </xf>
    <xf borderId="0" fillId="3" fontId="8" numFmtId="164" xfId="0" applyAlignment="1" applyFill="1" applyFont="1" applyNumberFormat="1">
      <alignment horizontal="left" vertical="bottom"/>
    </xf>
    <xf borderId="0" fillId="0" fontId="1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6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right" readingOrder="0"/>
    </xf>
    <xf borderId="1" fillId="0" fontId="8" numFmtId="0" xfId="0" applyAlignment="1" applyBorder="1" applyFont="1">
      <alignment vertical="bottom"/>
    </xf>
    <xf quotePrefix="1" borderId="0" fillId="0" fontId="1" numFmtId="0" xfId="0" applyAlignment="1" applyFont="1">
      <alignment horizontal="center" readingOrder="0"/>
    </xf>
    <xf quotePrefix="1" borderId="0" fillId="0" fontId="8" numFmtId="0" xfId="0" applyAlignment="1" applyFont="1">
      <alignment readingOrder="0" vertical="bottom"/>
    </xf>
    <xf borderId="2" fillId="0" fontId="8" numFmtId="0" xfId="0" applyAlignment="1" applyBorder="1" applyFont="1">
      <alignment vertical="bottom"/>
    </xf>
    <xf borderId="0" fillId="4" fontId="8" numFmtId="1" xfId="0" applyAlignment="1" applyFill="1" applyFont="1" applyNumberFormat="1">
      <alignment vertical="bottom"/>
    </xf>
    <xf borderId="2" fillId="0" fontId="8" numFmtId="0" xfId="0" applyAlignment="1" applyBorder="1" applyFont="1">
      <alignment horizontal="right" vertical="bottom"/>
    </xf>
    <xf borderId="3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2" fillId="0" fontId="8" numFmtId="0" xfId="0" applyAlignment="1" applyBorder="1" applyFont="1">
      <alignment horizontal="center" vertical="bottom"/>
    </xf>
    <xf borderId="0" fillId="0" fontId="14" numFmtId="0" xfId="0" applyAlignment="1" applyFont="1">
      <alignment horizontal="left" vertical="bottom"/>
    </xf>
    <xf borderId="5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readingOrder="0" vertical="bottom"/>
    </xf>
    <xf borderId="7" fillId="0" fontId="1" numFmtId="0" xfId="0" applyBorder="1" applyFont="1"/>
    <xf borderId="8" fillId="0" fontId="1" numFmtId="0" xfId="0" applyAlignment="1" applyBorder="1" applyFont="1">
      <alignment horizontal="right" readingOrder="0"/>
    </xf>
    <xf borderId="0" fillId="0" fontId="15" numFmtId="0" xfId="0" applyAlignment="1" applyFont="1">
      <alignment horizontal="center" vertical="bottom"/>
    </xf>
    <xf borderId="0" fillId="0" fontId="1" numFmtId="9" xfId="0" applyAlignment="1" applyFont="1" applyNumberFormat="1">
      <alignment horizontal="center" readingOrder="0"/>
    </xf>
    <xf borderId="9" fillId="0" fontId="1" numFmtId="1" xfId="0" applyAlignment="1" applyBorder="1" applyFont="1" applyNumberFormat="1">
      <alignment horizontal="center" readingOrder="0"/>
    </xf>
    <xf borderId="10" fillId="0" fontId="1" numFmtId="1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 readingOrder="0"/>
    </xf>
    <xf borderId="0" fillId="2" fontId="6" numFmtId="0" xfId="0" applyAlignment="1" applyFill="1" applyFont="1">
      <alignment readingOrder="0"/>
    </xf>
    <xf borderId="0" fillId="2" fontId="1" numFmtId="9" xfId="0" applyAlignment="1" applyFill="1" applyFont="1" applyNumberFormat="1">
      <alignment horizontal="center" readingOrder="0"/>
    </xf>
    <xf borderId="0" fillId="2" fontId="1" numFmtId="3" xfId="0" applyAlignment="1" applyFill="1" applyFont="1" applyNumberFormat="1">
      <alignment readingOrder="0"/>
    </xf>
    <xf borderId="0" fillId="2" fontId="1" numFmtId="0" xfId="0" applyAlignment="1" applyFill="1" applyFont="1">
      <alignment horizontal="right" readingOrder="0"/>
    </xf>
    <xf borderId="11" fillId="2" fontId="1" numFmtId="0" xfId="0" applyAlignment="1" applyBorder="1" applyFill="1" applyFont="1">
      <alignment horizontal="center" readingOrder="0"/>
    </xf>
    <xf borderId="0" fillId="2" fontId="1" numFmtId="1" xfId="0" applyAlignment="1" applyFill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0" fillId="0" fontId="1" numFmtId="1" xfId="0" applyAlignment="1" applyFont="1" applyNumberFormat="1">
      <alignment horizontal="center" readingOrder="0"/>
    </xf>
    <xf borderId="0" fillId="2" fontId="1" numFmtId="3" xfId="0" applyAlignment="1" applyFill="1" applyFont="1" applyNumberFormat="1">
      <alignment horizontal="right" readingOrder="0"/>
    </xf>
    <xf borderId="1" fillId="2" fontId="1" numFmtId="0" xfId="0" applyAlignment="1" applyBorder="1" applyFill="1" applyFont="1">
      <alignment horizontal="right" readingOrder="0"/>
    </xf>
    <xf borderId="11" fillId="0" fontId="1" numFmtId="0" xfId="0" applyAlignment="1" applyBorder="1" applyFont="1">
      <alignment horizontal="center" readingOrder="0"/>
    </xf>
    <xf borderId="11" fillId="0" fontId="1" numFmtId="1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0" fontId="8" numFmtId="1" xfId="0" applyAlignment="1" applyFont="1" applyNumberFormat="1">
      <alignment horizontal="center" readingOrder="0" vertical="bottom"/>
    </xf>
    <xf borderId="12" fillId="0" fontId="2" numFmtId="1" xfId="0" applyAlignment="1" applyBorder="1" applyFont="1" applyNumberFormat="1">
      <alignment horizontal="center" readingOrder="0" vertical="bottom"/>
    </xf>
    <xf borderId="12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4" fontId="8" numFmtId="1" xfId="0" applyAlignment="1" applyFill="1" applyFont="1" applyNumberFormat="1">
      <alignment vertical="bottom"/>
    </xf>
    <xf borderId="0" fillId="4" fontId="16" numFmtId="1" xfId="0" applyAlignment="1" applyFill="1" applyFont="1" applyNumberFormat="1">
      <alignment horizontal="center" vertical="bottom"/>
    </xf>
    <xf borderId="0" fillId="0" fontId="8" numFmtId="0" xfId="0" applyAlignment="1" applyFont="1">
      <alignment horizontal="right" vertical="bottom"/>
    </xf>
    <xf borderId="0" fillId="0" fontId="8" numFmtId="1" xfId="0" applyAlignment="1" applyFont="1" applyNumberFormat="1">
      <alignment horizontal="center" vertical="bottom"/>
    </xf>
    <xf borderId="10" fillId="0" fontId="1" numFmtId="164" xfId="0" applyAlignment="1" applyBorder="1" applyFont="1" applyNumberFormat="1">
      <alignment horizontal="center" readingOrder="0"/>
    </xf>
    <xf borderId="0" fillId="0" fontId="17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8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/>
    </xf>
    <xf borderId="0" fillId="0" fontId="8" numFmtId="1" xfId="0" applyAlignment="1" applyFont="1" applyNumberFormat="1">
      <alignment horizontal="center" readingOrder="0" vertical="bottom"/>
    </xf>
    <xf borderId="0" fillId="0" fontId="1" numFmtId="164" xfId="0" applyFont="1" applyNumberFormat="1"/>
    <xf borderId="0" fillId="0" fontId="8" numFmtId="2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4" fontId="19" numFmtId="0" xfId="0" applyAlignment="1" applyFill="1" applyFont="1">
      <alignment horizontal="right" vertical="bottom"/>
    </xf>
    <xf borderId="0" fillId="0" fontId="8" numFmtId="0" xfId="0" applyAlignment="1" applyFont="1">
      <alignment horizontal="center" readingOrder="0" vertical="bottom"/>
    </xf>
    <xf borderId="0" fillId="0" fontId="20" numFmtId="0" xfId="0" applyAlignment="1" applyFont="1">
      <alignment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1" numFmtId="164" xfId="0" applyAlignment="1" applyFont="1" applyNumberFormat="1">
      <alignment readingOrder="0"/>
    </xf>
    <xf borderId="0" fillId="0" fontId="1" numFmtId="1" xfId="0" applyFont="1" applyNumberFormat="1"/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4</xdr:row>
      <xdr:rowOff>228600</xdr:rowOff>
    </xdr:from>
    <xdr:ext cx="6324600" cy="4953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4</xdr:row>
      <xdr:rowOff>228600</xdr:rowOff>
    </xdr:from>
    <xdr:ext cx="4924425" cy="4857750"/>
    <xdr:grpSp>
      <xdr:nvGrpSpPr>
        <xdr:cNvPr id="2" name="Shape 2" title="Drawing"/>
        <xdr:cNvGrpSpPr/>
      </xdr:nvGrpSpPr>
      <xdr:grpSpPr>
        <a:xfrm>
          <a:off x="987625" y="276125"/>
          <a:ext cx="4908875" cy="4842475"/>
          <a:chOff x="987625" y="276125"/>
          <a:chExt cx="4908875" cy="4842475"/>
        </a:xfrm>
      </xdr:grpSpPr>
      <xdr:sp>
        <xdr:nvSpPr>
          <xdr:cNvPr id="3" name="Shape 3"/>
          <xdr:cNvSpPr/>
        </xdr:nvSpPr>
        <xdr:spPr>
          <a:xfrm>
            <a:off x="987625" y="919175"/>
            <a:ext cx="4902300" cy="3647400"/>
          </a:xfrm>
          <a:prstGeom prst="ellipse">
            <a:avLst/>
          </a:prstGeom>
          <a:noFill/>
          <a:ln cap="flat" cmpd="sng" w="38100">
            <a:solidFill>
              <a:srgbClr val="000000"/>
            </a:solidFill>
            <a:prstDash val="dot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279450" y="1271200"/>
            <a:ext cx="3574200" cy="2953200"/>
          </a:xfrm>
          <a:prstGeom prst="ellipse">
            <a:avLst/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1991350" y="2069400"/>
            <a:ext cx="1376400" cy="1380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2371450" y="2444925"/>
            <a:ext cx="616200" cy="6396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2455800" y="2546175"/>
            <a:ext cx="445200" cy="437100"/>
          </a:xfrm>
          <a:prstGeom prst="ellipse">
            <a:avLst/>
          </a:prstGeom>
          <a:solidFill>
            <a:srgbClr val="FF99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521200" y="2569425"/>
            <a:ext cx="3144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</a:t>
            </a:r>
            <a:endParaRPr sz="1400"/>
          </a:p>
        </xdr:txBody>
      </xdr:sp>
      <xdr:sp>
        <xdr:nvSpPr>
          <xdr:cNvPr id="9" name="Shape 9"/>
          <xdr:cNvSpPr/>
        </xdr:nvSpPr>
        <xdr:spPr>
          <a:xfrm>
            <a:off x="2740200" y="2411988"/>
            <a:ext cx="95400" cy="104700"/>
          </a:xfrm>
          <a:prstGeom prst="ellipse">
            <a:avLst/>
          </a:prstGeom>
          <a:solidFill>
            <a:srgbClr val="CC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2669600" y="2258625"/>
            <a:ext cx="562200" cy="1239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Albio</a:t>
            </a:r>
            <a:endParaRPr sz="1000"/>
          </a:p>
        </xdr:txBody>
      </xdr:sp>
      <xdr:sp>
        <xdr:nvSpPr>
          <xdr:cNvPr id="11" name="Shape 11"/>
          <xdr:cNvSpPr/>
        </xdr:nvSpPr>
        <xdr:spPr>
          <a:xfrm>
            <a:off x="2077150" y="3126200"/>
            <a:ext cx="142800" cy="140400"/>
          </a:xfrm>
          <a:prstGeom prst="ellipse">
            <a:avLst/>
          </a:prstGeom>
          <a:solidFill>
            <a:srgbClr val="4A86E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2019925" y="3074300"/>
            <a:ext cx="252300" cy="2430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2043100" y="3289175"/>
            <a:ext cx="95400" cy="83400"/>
          </a:xfrm>
          <a:prstGeom prst="rect">
            <a:avLst/>
          </a:prstGeom>
          <a:solidFill>
            <a:srgbClr val="B7B7B7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1726975" y="3372575"/>
            <a:ext cx="838200" cy="243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u="sng"/>
              <a:t>Kenobi</a:t>
            </a:r>
            <a:endParaRPr sz="1400" u="sng"/>
          </a:p>
        </xdr:txBody>
      </xdr:sp>
      <xdr:sp>
        <xdr:nvSpPr>
          <xdr:cNvPr id="15" name="Shape 15"/>
          <xdr:cNvSpPr/>
        </xdr:nvSpPr>
        <xdr:spPr>
          <a:xfrm>
            <a:off x="3929675" y="3802950"/>
            <a:ext cx="314400" cy="313800"/>
          </a:xfrm>
          <a:prstGeom prst="ellipse">
            <a:avLst/>
          </a:prstGeom>
          <a:solidFill>
            <a:srgbClr val="8E7CC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4272650" y="3802950"/>
            <a:ext cx="581100" cy="2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Albitu</a:t>
            </a:r>
            <a:endParaRPr sz="1000"/>
          </a:p>
        </xdr:txBody>
      </xdr:sp>
      <xdr:sp>
        <xdr:nvSpPr>
          <xdr:cNvPr id="17" name="Shape 17"/>
          <xdr:cNvSpPr/>
        </xdr:nvSpPr>
        <xdr:spPr>
          <a:xfrm>
            <a:off x="3848825" y="3741300"/>
            <a:ext cx="476100" cy="4371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/>
        </xdr:nvSpPr>
        <xdr:spPr>
          <a:xfrm>
            <a:off x="3944075" y="3707700"/>
            <a:ext cx="95400" cy="83400"/>
          </a:xfrm>
          <a:prstGeom prst="rect">
            <a:avLst/>
          </a:prstGeom>
          <a:solidFill>
            <a:srgbClr val="CCCC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 txBox="1"/>
        </xdr:nvSpPr>
        <xdr:spPr>
          <a:xfrm>
            <a:off x="3231775" y="3570400"/>
            <a:ext cx="788400" cy="243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u="sng"/>
              <a:t>Stoner</a:t>
            </a:r>
            <a:endParaRPr sz="1400" u="sng"/>
          </a:p>
        </xdr:txBody>
      </xdr:sp>
      <xdr:sp>
        <xdr:nvSpPr>
          <xdr:cNvPr id="20" name="Shape 20"/>
          <xdr:cNvSpPr txBox="1"/>
        </xdr:nvSpPr>
        <xdr:spPr>
          <a:xfrm>
            <a:off x="5051750" y="2569425"/>
            <a:ext cx="8382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Barrens</a:t>
            </a:r>
            <a:endParaRPr sz="1400"/>
          </a:p>
        </xdr:txBody>
      </xdr:sp>
      <xdr:sp>
        <xdr:nvSpPr>
          <xdr:cNvPr id="21" name="Shape 21"/>
          <xdr:cNvSpPr txBox="1"/>
        </xdr:nvSpPr>
        <xdr:spPr>
          <a:xfrm>
            <a:off x="1259900" y="2947150"/>
            <a:ext cx="838200" cy="243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u="sng"/>
              <a:t>Albiwan</a:t>
            </a:r>
            <a:endParaRPr sz="1400" u="sng"/>
          </a:p>
        </xdr:txBody>
      </xdr:sp>
      <xdr:cxnSp>
        <xdr:nvCxnSpPr>
          <xdr:cNvPr id="22" name="Shape 22"/>
          <xdr:cNvCxnSpPr/>
        </xdr:nvCxnSpPr>
        <xdr:spPr>
          <a:xfrm>
            <a:off x="1991350" y="4699800"/>
            <a:ext cx="684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round/>
            <a:headEnd len="med" w="med" type="stealth"/>
            <a:tailEnd len="med" w="med" type="stealth"/>
          </a:ln>
        </xdr:spPr>
      </xdr:cxnSp>
      <xdr:cxnSp>
        <xdr:nvCxnSpPr>
          <xdr:cNvPr id="23" name="Shape 23"/>
          <xdr:cNvCxnSpPr/>
        </xdr:nvCxnSpPr>
        <xdr:spPr>
          <a:xfrm flipH="1" rot="10800000">
            <a:off x="2678400" y="4837500"/>
            <a:ext cx="2162100" cy="5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round/>
            <a:headEnd len="med" w="med" type="stealth"/>
            <a:tailEnd len="med" w="med" type="stealth"/>
          </a:ln>
        </xdr:spPr>
      </xdr:cxnSp>
      <xdr:cxnSp>
        <xdr:nvCxnSpPr>
          <xdr:cNvPr id="24" name="Shape 24"/>
          <xdr:cNvCxnSpPr/>
        </xdr:nvCxnSpPr>
        <xdr:spPr>
          <a:xfrm flipH="1" rot="10800000">
            <a:off x="2678400" y="557225"/>
            <a:ext cx="3218100" cy="8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round/>
            <a:headEnd len="med" w="med" type="stealth"/>
            <a:tailEnd len="med" w="med" type="stealth"/>
          </a:ln>
        </xdr:spPr>
      </xdr:cxnSp>
      <xdr:sp>
        <xdr:nvSpPr>
          <xdr:cNvPr id="25" name="Shape 25"/>
          <xdr:cNvSpPr txBox="1"/>
        </xdr:nvSpPr>
        <xdr:spPr>
          <a:xfrm>
            <a:off x="3996900" y="276125"/>
            <a:ext cx="581100" cy="2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10 AU</a:t>
            </a:r>
            <a:endParaRPr sz="1000"/>
          </a:p>
        </xdr:txBody>
      </xdr:sp>
      <xdr:sp>
        <xdr:nvSpPr>
          <xdr:cNvPr id="26" name="Shape 26"/>
          <xdr:cNvSpPr txBox="1"/>
        </xdr:nvSpPr>
        <xdr:spPr>
          <a:xfrm>
            <a:off x="3335425" y="4837500"/>
            <a:ext cx="581100" cy="2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6</a:t>
            </a:r>
            <a:r>
              <a:rPr lang="en-US" sz="1000"/>
              <a:t> AU</a:t>
            </a:r>
            <a:endParaRPr sz="1000"/>
          </a:p>
        </xdr:txBody>
      </xdr:sp>
      <xdr:sp>
        <xdr:nvSpPr>
          <xdr:cNvPr id="27" name="Shape 27"/>
          <xdr:cNvSpPr txBox="1"/>
        </xdr:nvSpPr>
        <xdr:spPr>
          <a:xfrm>
            <a:off x="2043100" y="4699800"/>
            <a:ext cx="581100" cy="28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0.8</a:t>
            </a:r>
            <a:r>
              <a:rPr lang="en-US" sz="1000"/>
              <a:t> AU</a:t>
            </a:r>
            <a:endParaRPr sz="1000"/>
          </a:p>
        </xdr:txBody>
      </xdr:sp>
    </xdr:grpSp>
    <xdr:clientData fLocksWithSheet="0"/>
  </xdr:oneCellAnchor>
  <xdr:oneCellAnchor>
    <xdr:from>
      <xdr:col>19</xdr:col>
      <xdr:colOff>57150</xdr:colOff>
      <xdr:row>4</xdr:row>
      <xdr:rowOff>228600</xdr:rowOff>
    </xdr:from>
    <xdr:ext cx="4171950" cy="3429000"/>
    <xdr:grpSp>
      <xdr:nvGrpSpPr>
        <xdr:cNvPr id="2" name="Shape 2" title="Drawing"/>
        <xdr:cNvGrpSpPr/>
      </xdr:nvGrpSpPr>
      <xdr:grpSpPr>
        <a:xfrm>
          <a:off x="457200" y="133350"/>
          <a:ext cx="5943900" cy="4876800"/>
          <a:chOff x="457200" y="133350"/>
          <a:chExt cx="5943900" cy="4876800"/>
        </a:xfrm>
      </xdr:grpSpPr>
      <xdr:sp>
        <xdr:nvSpPr>
          <xdr:cNvPr id="28" name="Shape 28"/>
          <xdr:cNvSpPr/>
        </xdr:nvSpPr>
        <xdr:spPr>
          <a:xfrm>
            <a:off x="457200" y="133350"/>
            <a:ext cx="5943900" cy="48768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400"/>
          </a:p>
        </xdr:txBody>
      </xdr:sp>
      <xdr:sp>
        <xdr:nvSpPr>
          <xdr:cNvPr id="29" name="Shape 29"/>
          <xdr:cNvSpPr/>
        </xdr:nvSpPr>
        <xdr:spPr>
          <a:xfrm>
            <a:off x="1831675" y="2205725"/>
            <a:ext cx="1798500" cy="10506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/>
        </xdr:nvSpPr>
        <xdr:spPr>
          <a:xfrm>
            <a:off x="2940600" y="2117725"/>
            <a:ext cx="277500" cy="287700"/>
          </a:xfrm>
          <a:prstGeom prst="ellipse">
            <a:avLst/>
          </a:prstGeom>
          <a:solidFill>
            <a:srgbClr val="FF99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1" name="Shape 31"/>
          <xdr:cNvSpPr/>
        </xdr:nvSpPr>
        <xdr:spPr>
          <a:xfrm>
            <a:off x="3026875" y="2568900"/>
            <a:ext cx="352800" cy="348600"/>
          </a:xfrm>
          <a:prstGeom prst="ellipse">
            <a:avLst/>
          </a:prstGeom>
          <a:solidFill>
            <a:srgbClr val="FF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5722750" y="1044200"/>
            <a:ext cx="277500" cy="287700"/>
          </a:xfrm>
          <a:prstGeom prst="ellipse">
            <a:avLst/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3" name="Shape 33"/>
          <xdr:cNvSpPr txBox="1"/>
        </xdr:nvSpPr>
        <xdr:spPr>
          <a:xfrm>
            <a:off x="3046825" y="2531975"/>
            <a:ext cx="312900" cy="398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</a:t>
            </a:r>
            <a:endParaRPr sz="1400"/>
          </a:p>
        </xdr:txBody>
      </xdr:sp>
      <xdr:sp>
        <xdr:nvSpPr>
          <xdr:cNvPr id="34" name="Shape 34"/>
          <xdr:cNvSpPr txBox="1"/>
        </xdr:nvSpPr>
        <xdr:spPr>
          <a:xfrm>
            <a:off x="2922900" y="2062525"/>
            <a:ext cx="312900" cy="398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</a:t>
            </a:r>
            <a:endParaRPr sz="1400"/>
          </a:p>
        </xdr:txBody>
      </xdr:sp>
      <xdr:sp>
        <xdr:nvSpPr>
          <xdr:cNvPr id="35" name="Shape 35"/>
          <xdr:cNvSpPr txBox="1"/>
        </xdr:nvSpPr>
        <xdr:spPr>
          <a:xfrm>
            <a:off x="5705050" y="989000"/>
            <a:ext cx="312900" cy="398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</a:t>
            </a:r>
            <a:endParaRPr sz="1400"/>
          </a:p>
        </xdr:txBody>
      </xdr:sp>
      <xdr:cxnSp>
        <xdr:nvCxnSpPr>
          <xdr:cNvPr id="36" name="Shape 36"/>
          <xdr:cNvCxnSpPr/>
        </xdr:nvCxnSpPr>
        <xdr:spPr>
          <a:xfrm flipH="1" rot="10800000">
            <a:off x="3777750" y="2734500"/>
            <a:ext cx="2335200" cy="17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round/>
            <a:headEnd len="med" w="med" type="stealth"/>
            <a:tailEnd len="med" w="med" type="stealth"/>
          </a:ln>
        </xdr:spPr>
      </xdr:cxnSp>
      <xdr:sp>
        <xdr:nvSpPr>
          <xdr:cNvPr id="37" name="Shape 37"/>
          <xdr:cNvSpPr txBox="1"/>
        </xdr:nvSpPr>
        <xdr:spPr>
          <a:xfrm>
            <a:off x="4666650" y="2751900"/>
            <a:ext cx="557400" cy="34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0.21 ly</a:t>
            </a:r>
            <a:endParaRPr sz="1000"/>
          </a:p>
        </xdr:txBody>
      </xdr:sp>
      <xdr:cxnSp>
        <xdr:nvCxnSpPr>
          <xdr:cNvPr id="38" name="Shape 38"/>
          <xdr:cNvCxnSpPr/>
        </xdr:nvCxnSpPr>
        <xdr:spPr>
          <a:xfrm>
            <a:off x="3200400" y="3366275"/>
            <a:ext cx="457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round/>
            <a:headEnd len="med" w="med" type="stealth"/>
            <a:tailEnd len="med" w="med" type="stealth"/>
          </a:ln>
        </xdr:spPr>
      </xdr:cxnSp>
      <xdr:sp>
        <xdr:nvSpPr>
          <xdr:cNvPr id="39" name="Shape 39"/>
          <xdr:cNvSpPr txBox="1"/>
        </xdr:nvSpPr>
        <xdr:spPr>
          <a:xfrm>
            <a:off x="3150450" y="3327150"/>
            <a:ext cx="557400" cy="34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10 AU</a:t>
            </a:r>
            <a:endParaRPr sz="1000"/>
          </a:p>
        </xdr:txBody>
      </xdr:sp>
      <xdr:cxnSp>
        <xdr:nvCxnSpPr>
          <xdr:cNvPr id="40" name="Shape 40"/>
          <xdr:cNvCxnSpPr/>
        </xdr:nvCxnSpPr>
        <xdr:spPr>
          <a:xfrm>
            <a:off x="2517475" y="2721675"/>
            <a:ext cx="0" cy="137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ot"/>
            <a:round/>
            <a:headEnd len="med" w="med" type="stealth"/>
            <a:tailEnd len="med" w="med" type="stealth"/>
          </a:ln>
        </xdr:spPr>
      </xdr:cxnSp>
      <xdr:sp>
        <xdr:nvSpPr>
          <xdr:cNvPr id="41" name="Shape 41"/>
          <xdr:cNvSpPr txBox="1"/>
        </xdr:nvSpPr>
        <xdr:spPr>
          <a:xfrm>
            <a:off x="2227675" y="3407475"/>
            <a:ext cx="557400" cy="34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</a:t>
            </a:r>
            <a:r>
              <a:rPr lang="en-US" sz="1000"/>
              <a:t>0 AU</a:t>
            </a:r>
            <a:endParaRPr sz="1000"/>
          </a:p>
        </xdr:txBody>
      </xdr:sp>
    </xdr:grpSp>
    <xdr:clientData fLocksWithSheet="0"/>
  </xdr:oneCellAnchor>
  <xdr:oneCellAnchor>
    <xdr:from>
      <xdr:col>9</xdr:col>
      <xdr:colOff>676275</xdr:colOff>
      <xdr:row>4</xdr:row>
      <xdr:rowOff>228600</xdr:rowOff>
    </xdr:from>
    <xdr:ext cx="4686300" cy="3790950"/>
    <xdr:grpSp>
      <xdr:nvGrpSpPr>
        <xdr:cNvPr id="2" name="Shape 2" title="Drawing"/>
        <xdr:cNvGrpSpPr/>
      </xdr:nvGrpSpPr>
      <xdr:grpSpPr>
        <a:xfrm>
          <a:off x="267525" y="17800"/>
          <a:ext cx="6211275" cy="5022225"/>
          <a:chOff x="267525" y="17800"/>
          <a:chExt cx="6211275" cy="5022225"/>
        </a:xfrm>
      </xdr:grpSpPr>
      <xdr:grpSp>
        <xdr:nvGrpSpPr>
          <xdr:cNvPr id="42" name="Shape 42"/>
          <xdr:cNvGrpSpPr/>
        </xdr:nvGrpSpPr>
        <xdr:grpSpPr>
          <a:xfrm>
            <a:off x="4112448" y="3208675"/>
            <a:ext cx="2366352" cy="1831350"/>
            <a:chOff x="371598" y="185800"/>
            <a:chExt cx="2366352" cy="1831350"/>
          </a:xfrm>
        </xdr:grpSpPr>
        <xdr:sp>
          <xdr:nvSpPr>
            <xdr:cNvPr id="43" name="Shape 43"/>
            <xdr:cNvSpPr txBox="1"/>
          </xdr:nvSpPr>
          <xdr:spPr>
            <a:xfrm>
              <a:off x="371598" y="185800"/>
              <a:ext cx="19101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Etoiles</a:t>
              </a:r>
              <a:endParaRPr sz="1400"/>
            </a:p>
          </xdr:txBody>
        </xdr:sp>
        <xdr:sp>
          <xdr:nvSpPr>
            <xdr:cNvPr id="44" name="Shape 44"/>
            <xdr:cNvSpPr/>
          </xdr:nvSpPr>
          <xdr:spPr>
            <a:xfrm>
              <a:off x="528050" y="616000"/>
              <a:ext cx="273900" cy="283500"/>
            </a:xfrm>
            <a:prstGeom prst="ellipse">
              <a:avLst/>
            </a:prstGeom>
            <a:solidFill>
              <a:srgbClr val="FFFF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5" name="Shape 45"/>
            <xdr:cNvSpPr txBox="1"/>
          </xdr:nvSpPr>
          <xdr:spPr>
            <a:xfrm>
              <a:off x="1026750" y="54265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Naine jaune</a:t>
              </a:r>
              <a:r>
                <a:rPr lang="en-US" sz="1200"/>
                <a:t> (type G)</a:t>
              </a:r>
              <a:endParaRPr sz="1200"/>
            </a:p>
          </xdr:txBody>
        </xdr:sp>
        <xdr:sp>
          <xdr:nvSpPr>
            <xdr:cNvPr id="46" name="Shape 46"/>
            <xdr:cNvSpPr/>
          </xdr:nvSpPr>
          <xdr:spPr>
            <a:xfrm>
              <a:off x="557450" y="1648450"/>
              <a:ext cx="215100" cy="209400"/>
            </a:xfrm>
            <a:prstGeom prst="ellipse">
              <a:avLst/>
            </a:prstGeom>
            <a:solidFill>
              <a:srgbClr val="FF00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7" name="Shape 47"/>
            <xdr:cNvSpPr txBox="1"/>
          </xdr:nvSpPr>
          <xdr:spPr>
            <a:xfrm>
              <a:off x="1026750" y="158695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Naine rouge </a:t>
              </a:r>
              <a:r>
                <a:rPr lang="en-US" sz="1200"/>
                <a:t>(type M)</a:t>
              </a:r>
              <a:endParaRPr sz="1200"/>
            </a:p>
          </xdr:txBody>
        </xdr:sp>
        <xdr:sp>
          <xdr:nvSpPr>
            <xdr:cNvPr id="48" name="Shape 48"/>
            <xdr:cNvSpPr/>
          </xdr:nvSpPr>
          <xdr:spPr>
            <a:xfrm>
              <a:off x="528050" y="1091100"/>
              <a:ext cx="273900" cy="283500"/>
            </a:xfrm>
            <a:prstGeom prst="ellipse">
              <a:avLst/>
            </a:prstGeom>
            <a:solidFill>
              <a:srgbClr val="FF99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9" name="Shape 49"/>
            <xdr:cNvSpPr txBox="1"/>
          </xdr:nvSpPr>
          <xdr:spPr>
            <a:xfrm>
              <a:off x="1026750" y="106480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Naine orange</a:t>
              </a:r>
              <a:r>
                <a:rPr lang="en-US" sz="1200"/>
                <a:t> (type K)</a:t>
              </a:r>
              <a:endParaRPr sz="1200"/>
            </a:p>
          </xdr:txBody>
        </xdr:sp>
      </xdr:grpSp>
      <xdr:grpSp>
        <xdr:nvGrpSpPr>
          <xdr:cNvPr id="50" name="Shape 50"/>
          <xdr:cNvGrpSpPr/>
        </xdr:nvGrpSpPr>
        <xdr:grpSpPr>
          <a:xfrm>
            <a:off x="4025100" y="35125"/>
            <a:ext cx="2366375" cy="2875650"/>
            <a:chOff x="491413" y="250200"/>
            <a:chExt cx="2366375" cy="2875650"/>
          </a:xfrm>
        </xdr:grpSpPr>
        <xdr:sp>
          <xdr:nvSpPr>
            <xdr:cNvPr id="51" name="Shape 51"/>
            <xdr:cNvSpPr txBox="1"/>
          </xdr:nvSpPr>
          <xdr:spPr>
            <a:xfrm>
              <a:off x="491413" y="250200"/>
              <a:ext cx="10365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Planètes</a:t>
              </a:r>
              <a:endParaRPr sz="1400"/>
            </a:p>
          </xdr:txBody>
        </xdr:sp>
        <xdr:sp>
          <xdr:nvSpPr>
            <xdr:cNvPr id="52" name="Shape 52"/>
            <xdr:cNvSpPr/>
          </xdr:nvSpPr>
          <xdr:spPr>
            <a:xfrm>
              <a:off x="647888" y="680400"/>
              <a:ext cx="273900" cy="283500"/>
            </a:xfrm>
            <a:prstGeom prst="ellipse">
              <a:avLst/>
            </a:prstGeom>
            <a:solidFill>
              <a:srgbClr val="4A86E8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1146588" y="60705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Océanique</a:t>
              </a:r>
              <a:endParaRPr sz="1200"/>
            </a:p>
          </xdr:txBody>
        </xdr:sp>
        <xdr:sp>
          <xdr:nvSpPr>
            <xdr:cNvPr id="54" name="Shape 54"/>
            <xdr:cNvSpPr/>
          </xdr:nvSpPr>
          <xdr:spPr>
            <a:xfrm>
              <a:off x="647900" y="1684663"/>
              <a:ext cx="273900" cy="283500"/>
            </a:xfrm>
            <a:prstGeom prst="ellipse">
              <a:avLst/>
            </a:prstGeom>
            <a:solidFill>
              <a:srgbClr val="CC000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5" name="Shape 55"/>
            <xdr:cNvSpPr txBox="1"/>
          </xdr:nvSpPr>
          <xdr:spPr>
            <a:xfrm>
              <a:off x="1146588" y="165135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Volcanique</a:t>
              </a:r>
              <a:endParaRPr sz="1200"/>
            </a:p>
          </xdr:txBody>
        </xdr:sp>
        <xdr:sp>
          <xdr:nvSpPr>
            <xdr:cNvPr id="56" name="Shape 56"/>
            <xdr:cNvSpPr/>
          </xdr:nvSpPr>
          <xdr:spPr>
            <a:xfrm>
              <a:off x="647888" y="1155500"/>
              <a:ext cx="273900" cy="283500"/>
            </a:xfrm>
            <a:prstGeom prst="ellipse">
              <a:avLst/>
            </a:prstGeom>
            <a:solidFill>
              <a:srgbClr val="9900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7" name="Shape 57"/>
            <xdr:cNvSpPr txBox="1"/>
          </xdr:nvSpPr>
          <xdr:spPr>
            <a:xfrm>
              <a:off x="1146588" y="112920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Gaseuse</a:t>
              </a:r>
              <a:endParaRPr sz="1200"/>
            </a:p>
          </xdr:txBody>
        </xdr:sp>
        <xdr:sp>
          <xdr:nvSpPr>
            <xdr:cNvPr id="58" name="Shape 58"/>
            <xdr:cNvSpPr/>
          </xdr:nvSpPr>
          <xdr:spPr>
            <a:xfrm>
              <a:off x="647900" y="2213825"/>
              <a:ext cx="273900" cy="283500"/>
            </a:xfrm>
            <a:prstGeom prst="ellipse">
              <a:avLst/>
            </a:prstGeom>
            <a:solidFill>
              <a:srgbClr val="999999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9" name="Shape 59"/>
            <xdr:cNvSpPr txBox="1"/>
          </xdr:nvSpPr>
          <xdr:spPr>
            <a:xfrm>
              <a:off x="1146588" y="217350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Rocheuse</a:t>
              </a:r>
              <a:endParaRPr sz="1200"/>
            </a:p>
          </xdr:txBody>
        </xdr:sp>
        <xdr:sp>
          <xdr:nvSpPr>
            <xdr:cNvPr id="60" name="Shape 60"/>
            <xdr:cNvSpPr/>
          </xdr:nvSpPr>
          <xdr:spPr>
            <a:xfrm>
              <a:off x="647900" y="2735975"/>
              <a:ext cx="273900" cy="283500"/>
            </a:xfrm>
            <a:prstGeom prst="ellipse">
              <a:avLst/>
            </a:prstGeom>
            <a:solidFill>
              <a:srgbClr val="F3F3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1" name="Shape 61"/>
            <xdr:cNvSpPr txBox="1"/>
          </xdr:nvSpPr>
          <xdr:spPr>
            <a:xfrm>
              <a:off x="1146588" y="2695650"/>
              <a:ext cx="1711200" cy="43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/>
                <a:t>Gelée</a:t>
              </a:r>
              <a:endParaRPr sz="1200"/>
            </a:p>
          </xdr:txBody>
        </xdr:sp>
      </xdr:grpSp>
      <xdr:sp>
        <xdr:nvSpPr>
          <xdr:cNvPr id="62" name="Shape 62"/>
          <xdr:cNvSpPr/>
        </xdr:nvSpPr>
        <xdr:spPr>
          <a:xfrm>
            <a:off x="641325" y="2357650"/>
            <a:ext cx="342000" cy="430200"/>
          </a:xfrm>
          <a:prstGeom prst="ellipse">
            <a:avLst/>
          </a:prstGeom>
          <a:noFill/>
          <a:ln cap="flat" cmpd="sng" w="38100">
            <a:solidFill>
              <a:srgbClr val="000000"/>
            </a:solidFill>
            <a:prstDash val="dot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3" name="Shape 63"/>
          <xdr:cNvSpPr txBox="1"/>
        </xdr:nvSpPr>
        <xdr:spPr>
          <a:xfrm>
            <a:off x="1081471" y="1422625"/>
            <a:ext cx="1219800" cy="43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Station orbitale</a:t>
            </a:r>
            <a:endParaRPr sz="1200"/>
          </a:p>
        </xdr:txBody>
      </xdr:sp>
      <xdr:sp>
        <xdr:nvSpPr>
          <xdr:cNvPr id="64" name="Shape 64"/>
          <xdr:cNvSpPr txBox="1"/>
        </xdr:nvSpPr>
        <xdr:spPr>
          <a:xfrm>
            <a:off x="462213" y="17800"/>
            <a:ext cx="1642800" cy="43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Corps stellaires</a:t>
            </a:r>
            <a:endParaRPr sz="1400"/>
          </a:p>
        </xdr:txBody>
      </xdr:sp>
      <xdr:sp>
        <xdr:nvSpPr>
          <xdr:cNvPr id="65" name="Shape 65"/>
          <xdr:cNvSpPr/>
        </xdr:nvSpPr>
        <xdr:spPr>
          <a:xfrm>
            <a:off x="676275" y="1504950"/>
            <a:ext cx="259500" cy="246300"/>
          </a:xfrm>
          <a:prstGeom prst="rect">
            <a:avLst/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6" name="Shape 66"/>
          <xdr:cNvSpPr txBox="1"/>
        </xdr:nvSpPr>
        <xdr:spPr>
          <a:xfrm>
            <a:off x="1081475" y="2357650"/>
            <a:ext cx="1789500" cy="43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Ceinture d’astéroides</a:t>
            </a:r>
            <a:endParaRPr sz="1200"/>
          </a:p>
        </xdr:txBody>
      </xdr:sp>
      <xdr:sp>
        <xdr:nvSpPr>
          <xdr:cNvPr id="67" name="Shape 67"/>
          <xdr:cNvSpPr/>
        </xdr:nvSpPr>
        <xdr:spPr>
          <a:xfrm>
            <a:off x="581025" y="495850"/>
            <a:ext cx="437400" cy="437700"/>
          </a:xfrm>
          <a:prstGeom prst="ellipse">
            <a:avLst/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8" name="Shape 68"/>
          <xdr:cNvSpPr txBox="1"/>
        </xdr:nvSpPr>
        <xdr:spPr>
          <a:xfrm>
            <a:off x="647700" y="514350"/>
            <a:ext cx="324000" cy="371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</a:t>
            </a:r>
            <a:endParaRPr sz="1400"/>
          </a:p>
        </xdr:txBody>
      </xdr:sp>
      <xdr:sp>
        <xdr:nvSpPr>
          <xdr:cNvPr id="69" name="Shape 69"/>
          <xdr:cNvSpPr txBox="1"/>
        </xdr:nvSpPr>
        <xdr:spPr>
          <a:xfrm>
            <a:off x="1098875" y="506275"/>
            <a:ext cx="634800" cy="417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Etoile</a:t>
            </a:r>
            <a:endParaRPr sz="1200"/>
          </a:p>
        </xdr:txBody>
      </xdr:sp>
      <xdr:sp>
        <xdr:nvSpPr>
          <xdr:cNvPr id="70" name="Shape 70"/>
          <xdr:cNvSpPr/>
        </xdr:nvSpPr>
        <xdr:spPr>
          <a:xfrm>
            <a:off x="666850" y="1055875"/>
            <a:ext cx="273900" cy="283500"/>
          </a:xfrm>
          <a:prstGeom prst="ellipse">
            <a:avLst/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1" name="Shape 71"/>
          <xdr:cNvSpPr txBox="1"/>
        </xdr:nvSpPr>
        <xdr:spPr>
          <a:xfrm>
            <a:off x="1108400" y="992050"/>
            <a:ext cx="701400" cy="351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Planète</a:t>
            </a:r>
            <a:endParaRPr sz="1200"/>
          </a:p>
        </xdr:txBody>
      </xdr:sp>
      <xdr:sp>
        <xdr:nvSpPr>
          <xdr:cNvPr id="72" name="Shape 72"/>
          <xdr:cNvSpPr txBox="1"/>
        </xdr:nvSpPr>
        <xdr:spPr>
          <a:xfrm>
            <a:off x="267525" y="1019175"/>
            <a:ext cx="4374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aa1</a:t>
            </a:r>
            <a:endParaRPr sz="1200"/>
          </a:p>
        </xdr:txBody>
      </xdr:sp>
      <xdr:sp>
        <xdr:nvSpPr>
          <xdr:cNvPr id="73" name="Shape 73"/>
          <xdr:cNvSpPr txBox="1"/>
        </xdr:nvSpPr>
        <xdr:spPr>
          <a:xfrm>
            <a:off x="515475" y="1859150"/>
            <a:ext cx="581100" cy="390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u="sng"/>
              <a:t>Spa</a:t>
            </a:r>
            <a:endParaRPr sz="1400" u="sng"/>
          </a:p>
        </xdr:txBody>
      </xdr:sp>
      <xdr:sp>
        <xdr:nvSpPr>
          <xdr:cNvPr id="74" name="Shape 74"/>
          <xdr:cNvSpPr txBox="1"/>
        </xdr:nvSpPr>
        <xdr:spPr>
          <a:xfrm>
            <a:off x="1129096" y="1851250"/>
            <a:ext cx="1219800" cy="43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Spatioport</a:t>
            </a:r>
            <a:endParaRPr sz="1200"/>
          </a:p>
        </xdr:txBody>
      </xdr:sp>
      <xdr:sp>
        <xdr:nvSpPr>
          <xdr:cNvPr id="75" name="Shape 75"/>
          <xdr:cNvSpPr/>
        </xdr:nvSpPr>
        <xdr:spPr>
          <a:xfrm>
            <a:off x="545850" y="2972675"/>
            <a:ext cx="527700" cy="518400"/>
          </a:xfrm>
          <a:prstGeom prst="ellipse">
            <a:avLst/>
          </a:prstGeom>
          <a:solidFill>
            <a:srgbClr val="FFF2CC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6" name="Shape 76"/>
          <xdr:cNvSpPr txBox="1"/>
        </xdr:nvSpPr>
        <xdr:spPr>
          <a:xfrm>
            <a:off x="1129100" y="3016775"/>
            <a:ext cx="1789500" cy="43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Route solaire</a:t>
            </a:r>
            <a:endParaRPr sz="12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342900</xdr:colOff>
      <xdr:row>0</xdr:row>
      <xdr:rowOff>180975</xdr:rowOff>
    </xdr:from>
    <xdr:ext cx="1609725" cy="162877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18</xdr:row>
      <xdr:rowOff>190500</xdr:rowOff>
    </xdr:from>
    <xdr:ext cx="2543175" cy="2314575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9</xdr:row>
      <xdr:rowOff>190500</xdr:rowOff>
    </xdr:from>
    <xdr:ext cx="1847850" cy="1600200"/>
    <xdr:pic>
      <xdr:nvPicPr>
        <xdr:cNvPr id="0" name="image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22</xdr:row>
      <xdr:rowOff>180975</xdr:rowOff>
    </xdr:from>
    <xdr:ext cx="847725" cy="809625"/>
    <xdr:grpSp>
      <xdr:nvGrpSpPr>
        <xdr:cNvPr id="2" name="Shape 2" title="Drawing"/>
        <xdr:cNvGrpSpPr/>
      </xdr:nvGrpSpPr>
      <xdr:grpSpPr>
        <a:xfrm>
          <a:off x="2438400" y="2457300"/>
          <a:ext cx="743100" cy="781200"/>
          <a:chOff x="2438400" y="2457300"/>
          <a:chExt cx="743100" cy="781200"/>
        </a:xfrm>
      </xdr:grpSpPr>
      <xdr:cxnSp>
        <xdr:nvCxnSpPr>
          <xdr:cNvPr id="77" name="Shape 77"/>
          <xdr:cNvCxnSpPr/>
        </xdr:nvCxnSpPr>
        <xdr:spPr>
          <a:xfrm flipH="1" rot="10800000">
            <a:off x="2438400" y="2457300"/>
            <a:ext cx="743100" cy="781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200025</xdr:colOff>
      <xdr:row>12</xdr:row>
      <xdr:rowOff>180975</xdr:rowOff>
    </xdr:from>
    <xdr:ext cx="2085975" cy="2009775"/>
    <xdr:grpSp>
      <xdr:nvGrpSpPr>
        <xdr:cNvPr id="2" name="Shape 2" title="Drawing"/>
        <xdr:cNvGrpSpPr/>
      </xdr:nvGrpSpPr>
      <xdr:grpSpPr>
        <a:xfrm>
          <a:off x="2924175" y="2209650"/>
          <a:ext cx="1495500" cy="1505100"/>
          <a:chOff x="2924175" y="2209650"/>
          <a:chExt cx="1495500" cy="1505100"/>
        </a:xfrm>
      </xdr:grpSpPr>
      <xdr:cxnSp>
        <xdr:nvCxnSpPr>
          <xdr:cNvPr id="78" name="Shape 78"/>
          <xdr:cNvCxnSpPr/>
        </xdr:nvCxnSpPr>
        <xdr:spPr>
          <a:xfrm flipH="1" rot="10800000">
            <a:off x="2924175" y="2209650"/>
            <a:ext cx="1495500" cy="1505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15382875" cy="1538287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stellarcatalog.com/stars/tau-ceti&amp;full=1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ellarcatalog.com/stars/epsilon-eridani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TRAPPIST-1" TargetMode="External"/><Relationship Id="rId2" Type="http://schemas.openxmlformats.org/officeDocument/2006/relationships/hyperlink" Target="https://www.stellarcatalog.com/stars/trappist-1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stellarcatalog.com/stars/yz-ceti&amp;full=1" TargetMode="External"/><Relationship Id="rId3" Type="http://schemas.openxmlformats.org/officeDocument/2006/relationships/hyperlink" Target="https://science.nasa.gov/exoplanet-catalog/yz-ceti-b/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b/b4/Comparison_satellite_navigation_orbits.sv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ellarcatalog.com/stars.php" TargetMode="External"/><Relationship Id="rId2" Type="http://schemas.openxmlformats.org/officeDocument/2006/relationships/hyperlink" Target="https://en.wikipedia.org/wiki/List_of_nearest_stars_and_brown_dwarfs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uyten%27s_Star" TargetMode="External"/><Relationship Id="rId2" Type="http://schemas.openxmlformats.org/officeDocument/2006/relationships/hyperlink" Target="https://www.stellarcatalog.com/stars/luytens-star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Ross_12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ellarcatalog.com/stars/wolf-359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75"/>
    <col customWidth="1" min="3" max="3" width="10.63"/>
    <col customWidth="1" min="4" max="5" width="7.38"/>
    <col customWidth="1" min="6" max="6" width="7.88"/>
    <col customWidth="1" min="7" max="7" width="6.75"/>
    <col customWidth="1" min="8" max="8" width="7.88"/>
    <col customWidth="1" min="9" max="9" width="6.75"/>
    <col customWidth="1" min="10" max="10" width="9.0"/>
    <col customWidth="1" min="12" max="12" width="9.0"/>
    <col customWidth="1" min="13" max="13" width="7.38"/>
    <col customWidth="1" min="14" max="14" width="6.75"/>
    <col customWidth="1" min="15" max="15" width="6.38"/>
    <col customWidth="1" min="16" max="16" width="7.25"/>
    <col customWidth="1" min="17" max="17" width="7.0"/>
    <col customWidth="1" min="18" max="18" width="8.75"/>
    <col customWidth="1" min="19" max="19" width="6.38"/>
    <col customWidth="1" min="20" max="20" width="5.88"/>
    <col customWidth="1" min="21" max="21" width="6.38"/>
    <col customWidth="1" min="22" max="22" width="5.88"/>
    <col customWidth="1" min="23" max="23" width="7.38"/>
    <col customWidth="1" min="25" max="25" width="18.13"/>
  </cols>
  <sheetData>
    <row r="2">
      <c r="F2" s="3" t="s">
        <v>2</v>
      </c>
    </row>
    <row r="3">
      <c r="F3" s="9" t="str">
        <f>HYPERLINK("http://transhumain.rf.gd/transhumains_wiki/index.php/Xenos","Fondation Xenos")</f>
        <v>Fondation Xenos</v>
      </c>
    </row>
    <row r="5">
      <c r="B5" s="11" t="s">
        <v>8</v>
      </c>
      <c r="O5" s="11"/>
      <c r="T5" s="11"/>
    </row>
    <row r="32">
      <c r="B32" s="11" t="s">
        <v>27</v>
      </c>
      <c r="E32" s="8" t="s">
        <v>29</v>
      </c>
      <c r="G32" s="8" t="s">
        <v>30</v>
      </c>
      <c r="I32" s="8" t="s">
        <v>31</v>
      </c>
      <c r="K32" s="8" t="s">
        <v>33</v>
      </c>
    </row>
    <row r="33">
      <c r="B33" s="17"/>
      <c r="D33" s="19" t="s">
        <v>36</v>
      </c>
      <c r="E33" s="21" t="s">
        <v>38</v>
      </c>
      <c r="G33" s="21" t="s">
        <v>42</v>
      </c>
      <c r="I33" s="21" t="s">
        <v>44</v>
      </c>
      <c r="K33" s="21" t="s">
        <v>46</v>
      </c>
      <c r="M33" s="21" t="s">
        <v>47</v>
      </c>
    </row>
    <row r="34">
      <c r="B34" s="22" t="s">
        <v>49</v>
      </c>
      <c r="C34" s="3" t="s">
        <v>55</v>
      </c>
      <c r="E34" s="25" t="s">
        <v>56</v>
      </c>
      <c r="F34" s="12" t="s">
        <v>58</v>
      </c>
      <c r="G34" s="25" t="s">
        <v>56</v>
      </c>
      <c r="H34" s="12" t="s">
        <v>58</v>
      </c>
      <c r="I34" s="25" t="s">
        <v>56</v>
      </c>
      <c r="J34" s="12" t="s">
        <v>58</v>
      </c>
      <c r="K34" s="25" t="s">
        <v>56</v>
      </c>
      <c r="L34" s="12" t="s">
        <v>58</v>
      </c>
      <c r="M34" s="25" t="s">
        <v>56</v>
      </c>
      <c r="N34" s="12" t="s">
        <v>58</v>
      </c>
    </row>
    <row r="35">
      <c r="B35" s="17" t="s">
        <v>66</v>
      </c>
      <c r="C35" s="21" t="s">
        <v>67</v>
      </c>
      <c r="D35" s="26"/>
      <c r="E35" s="28" t="s">
        <v>70</v>
      </c>
      <c r="F35" s="29" t="s">
        <v>76</v>
      </c>
      <c r="G35" s="28" t="s">
        <v>79</v>
      </c>
      <c r="H35" s="29" t="s">
        <v>76</v>
      </c>
      <c r="I35" s="31" t="s">
        <v>82</v>
      </c>
      <c r="J35" s="29" t="s">
        <v>87</v>
      </c>
      <c r="K35" s="31" t="s">
        <v>87</v>
      </c>
      <c r="L35" s="29" t="s">
        <v>89</v>
      </c>
      <c r="M35" s="28" t="s">
        <v>90</v>
      </c>
      <c r="N35" s="29" t="s">
        <v>91</v>
      </c>
    </row>
    <row r="36">
      <c r="B36" s="33" t="s">
        <v>92</v>
      </c>
      <c r="C36" s="21" t="s">
        <v>95</v>
      </c>
      <c r="D36" s="26"/>
      <c r="E36" s="28" t="s">
        <v>97</v>
      </c>
      <c r="F36" s="29" t="s">
        <v>76</v>
      </c>
      <c r="G36" s="28" t="s">
        <v>99</v>
      </c>
      <c r="H36" s="29" t="s">
        <v>76</v>
      </c>
      <c r="I36" s="31" t="s">
        <v>101</v>
      </c>
      <c r="J36" s="29" t="s">
        <v>102</v>
      </c>
      <c r="K36" s="31" t="s">
        <v>102</v>
      </c>
      <c r="L36" s="29" t="s">
        <v>104</v>
      </c>
      <c r="M36" s="28" t="s">
        <v>104</v>
      </c>
      <c r="N36" s="29" t="s">
        <v>79</v>
      </c>
    </row>
    <row r="37">
      <c r="B37" s="33" t="s">
        <v>106</v>
      </c>
      <c r="C37" s="21" t="s">
        <v>108</v>
      </c>
      <c r="D37" s="35" t="s">
        <v>109</v>
      </c>
      <c r="E37" s="28" t="s">
        <v>110</v>
      </c>
      <c r="F37" s="29" t="s">
        <v>76</v>
      </c>
      <c r="G37" s="28" t="s">
        <v>112</v>
      </c>
      <c r="H37" s="29" t="s">
        <v>76</v>
      </c>
      <c r="I37" s="31" t="s">
        <v>115</v>
      </c>
      <c r="J37" s="29" t="s">
        <v>116</v>
      </c>
      <c r="K37" s="31" t="s">
        <v>101</v>
      </c>
      <c r="L37" s="29" t="s">
        <v>104</v>
      </c>
      <c r="M37" s="28" t="s">
        <v>102</v>
      </c>
      <c r="N37" s="29" t="s">
        <v>118</v>
      </c>
    </row>
    <row r="38">
      <c r="B38" s="33" t="s">
        <v>120</v>
      </c>
      <c r="C38" s="21" t="s">
        <v>122</v>
      </c>
      <c r="D38" s="26"/>
      <c r="E38" s="28" t="s">
        <v>124</v>
      </c>
      <c r="F38" s="29" t="s">
        <v>76</v>
      </c>
      <c r="G38" s="28" t="s">
        <v>126</v>
      </c>
      <c r="H38" s="29" t="s">
        <v>76</v>
      </c>
      <c r="I38" s="31" t="s">
        <v>129</v>
      </c>
      <c r="J38" s="38" t="s">
        <v>115</v>
      </c>
      <c r="K38" s="31" t="s">
        <v>116</v>
      </c>
      <c r="L38" s="38" t="s">
        <v>102</v>
      </c>
      <c r="M38" s="28" t="s">
        <v>101</v>
      </c>
      <c r="N38" s="38" t="s">
        <v>118</v>
      </c>
    </row>
    <row r="39">
      <c r="B39" s="33" t="s">
        <v>136</v>
      </c>
      <c r="C39" s="21" t="s">
        <v>137</v>
      </c>
      <c r="D39" s="26"/>
      <c r="E39" s="28" t="s">
        <v>139</v>
      </c>
      <c r="F39" s="29" t="s">
        <v>76</v>
      </c>
      <c r="G39" s="28" t="s">
        <v>141</v>
      </c>
      <c r="H39" s="29" t="s">
        <v>76</v>
      </c>
      <c r="I39" s="31" t="s">
        <v>112</v>
      </c>
      <c r="J39" s="29" t="s">
        <v>129</v>
      </c>
      <c r="K39" s="28" t="s">
        <v>129</v>
      </c>
      <c r="L39" s="29" t="s">
        <v>101</v>
      </c>
      <c r="M39" s="28" t="s">
        <v>115</v>
      </c>
      <c r="N39" s="43">
        <f>7*0.2</f>
        <v>1.4</v>
      </c>
    </row>
    <row r="40">
      <c r="B40" s="17"/>
      <c r="C40" s="17"/>
      <c r="D40" s="21"/>
      <c r="E40" s="21"/>
      <c r="F40" s="32"/>
      <c r="G40" s="21"/>
      <c r="H40" s="21"/>
    </row>
    <row r="41">
      <c r="B41" s="44"/>
      <c r="C41" s="33"/>
      <c r="D41" s="21"/>
      <c r="E41" s="21"/>
      <c r="F41" s="32"/>
      <c r="G41" s="17"/>
      <c r="H41" s="8"/>
      <c r="I41" s="45"/>
    </row>
    <row r="42">
      <c r="D42" s="21"/>
      <c r="E42" s="21"/>
      <c r="F42" s="32"/>
      <c r="G42" s="32"/>
      <c r="H42" s="8"/>
    </row>
    <row r="43">
      <c r="D43" s="8"/>
      <c r="E43" s="8"/>
      <c r="F43" s="8"/>
      <c r="G43" s="8"/>
      <c r="H43" s="8"/>
    </row>
    <row r="44">
      <c r="B44" s="17"/>
      <c r="C44" s="17"/>
      <c r="D44" s="21"/>
      <c r="E44" s="21"/>
      <c r="F44" s="32"/>
      <c r="G44" s="21"/>
      <c r="H44" s="21"/>
    </row>
    <row r="63">
      <c r="D63" s="46"/>
      <c r="F63" s="32"/>
      <c r="H63" s="46"/>
    </row>
  </sheetData>
  <mergeCells count="12">
    <mergeCell ref="G33:H33"/>
    <mergeCell ref="I33:J33"/>
    <mergeCell ref="M33:N33"/>
    <mergeCell ref="E33:F33"/>
    <mergeCell ref="F63:G63"/>
    <mergeCell ref="F2:K2"/>
    <mergeCell ref="F3:K3"/>
    <mergeCell ref="E32:F32"/>
    <mergeCell ref="G32:H32"/>
    <mergeCell ref="I32:J32"/>
    <mergeCell ref="K32:L32"/>
    <mergeCell ref="K33:L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75"/>
    <col customWidth="1" min="3" max="3" width="10.63"/>
    <col customWidth="1" min="4" max="5" width="7.38"/>
    <col customWidth="1" min="6" max="6" width="7.88"/>
    <col customWidth="1" min="7" max="7" width="6.75"/>
    <col customWidth="1" min="8" max="8" width="7.88"/>
    <col customWidth="1" min="9" max="9" width="6.75"/>
    <col customWidth="1" min="10" max="10" width="9.0"/>
    <col customWidth="1" min="12" max="12" width="9.0"/>
    <col customWidth="1" min="13" max="13" width="7.38"/>
    <col customWidth="1" min="14" max="14" width="6.75"/>
    <col customWidth="1" min="15" max="15" width="6.38"/>
    <col customWidth="1" min="16" max="16" width="7.25"/>
    <col customWidth="1" min="17" max="17" width="7.0"/>
    <col customWidth="1" min="18" max="18" width="8.75"/>
    <col customWidth="1" min="19" max="19" width="6.38"/>
    <col customWidth="1" min="20" max="20" width="5.88"/>
    <col customWidth="1" min="21" max="21" width="6.38"/>
    <col customWidth="1" min="22" max="22" width="5.88"/>
    <col customWidth="1" min="23" max="23" width="7.38"/>
    <col customWidth="1" min="25" max="25" width="18.13"/>
  </cols>
  <sheetData>
    <row r="2">
      <c r="F2" s="4" t="s">
        <v>3</v>
      </c>
    </row>
    <row r="3">
      <c r="F3" s="9" t="str">
        <f>HYPERLINK("http://transhumain.rf.gd/transhumains_wiki/index.php/Xenos","Fondation Xenos")</f>
        <v>Fondation Xenos</v>
      </c>
    </row>
    <row r="5">
      <c r="B5" s="11" t="s">
        <v>8</v>
      </c>
      <c r="K5" s="11" t="s">
        <v>14</v>
      </c>
      <c r="T5" s="11" t="s">
        <v>16</v>
      </c>
    </row>
    <row r="32">
      <c r="B32" s="11" t="s">
        <v>35</v>
      </c>
      <c r="K32" s="11" t="s">
        <v>27</v>
      </c>
      <c r="N32" s="8"/>
      <c r="P32" s="8"/>
    </row>
    <row r="33">
      <c r="B33" s="23" t="s">
        <v>52</v>
      </c>
      <c r="C33" s="23" t="s">
        <v>54</v>
      </c>
      <c r="D33" s="3"/>
      <c r="E33" s="3" t="s">
        <v>57</v>
      </c>
      <c r="F33" s="3" t="s">
        <v>22</v>
      </c>
      <c r="G33" s="22" t="s">
        <v>59</v>
      </c>
      <c r="H33" s="13" t="s">
        <v>55</v>
      </c>
      <c r="I33" s="13" t="s">
        <v>62</v>
      </c>
      <c r="K33" s="17"/>
      <c r="M33" s="19" t="s">
        <v>36</v>
      </c>
      <c r="N33" s="21" t="s">
        <v>65</v>
      </c>
      <c r="P33" s="21" t="s">
        <v>44</v>
      </c>
      <c r="R33" s="27" t="s">
        <v>46</v>
      </c>
      <c r="T33" s="27" t="s">
        <v>47</v>
      </c>
    </row>
    <row r="34">
      <c r="B34" s="30" t="s">
        <v>78</v>
      </c>
      <c r="C34" s="17" t="s">
        <v>84</v>
      </c>
      <c r="D34" s="32"/>
      <c r="E34" s="32">
        <v>5.0</v>
      </c>
      <c r="F34" s="34" t="s">
        <v>93</v>
      </c>
      <c r="G34" s="32" t="s">
        <v>32</v>
      </c>
      <c r="K34" s="22" t="s">
        <v>49</v>
      </c>
      <c r="L34" s="3" t="s">
        <v>55</v>
      </c>
      <c r="N34" s="25" t="s">
        <v>56</v>
      </c>
      <c r="O34" s="12" t="s">
        <v>58</v>
      </c>
      <c r="P34" s="25" t="s">
        <v>56</v>
      </c>
      <c r="Q34" s="12" t="s">
        <v>58</v>
      </c>
      <c r="R34" s="36" t="s">
        <v>56</v>
      </c>
      <c r="S34" s="37" t="s">
        <v>58</v>
      </c>
      <c r="T34" s="36" t="s">
        <v>56</v>
      </c>
      <c r="U34" s="37" t="s">
        <v>58</v>
      </c>
    </row>
    <row r="35">
      <c r="B35" s="1" t="s">
        <v>119</v>
      </c>
      <c r="C35" s="1" t="s">
        <v>121</v>
      </c>
      <c r="D35" s="32"/>
      <c r="E35" s="32">
        <v>5.0</v>
      </c>
      <c r="F35" s="32" t="s">
        <v>93</v>
      </c>
      <c r="G35" s="32" t="s">
        <v>78</v>
      </c>
      <c r="H35" s="21" t="s">
        <v>128</v>
      </c>
      <c r="I35" s="1" t="s">
        <v>130</v>
      </c>
      <c r="K35" s="33" t="s">
        <v>132</v>
      </c>
      <c r="L35" s="21" t="s">
        <v>67</v>
      </c>
      <c r="M35" s="26"/>
      <c r="N35" s="28" t="s">
        <v>70</v>
      </c>
      <c r="O35" s="29" t="s">
        <v>76</v>
      </c>
      <c r="P35" s="31" t="s">
        <v>82</v>
      </c>
      <c r="Q35" s="29" t="s">
        <v>87</v>
      </c>
      <c r="R35" s="39" t="s">
        <v>87</v>
      </c>
      <c r="S35" s="40" t="s">
        <v>89</v>
      </c>
      <c r="T35" s="41" t="s">
        <v>90</v>
      </c>
      <c r="U35" s="40" t="s">
        <v>91</v>
      </c>
    </row>
    <row r="36">
      <c r="B36" s="42" t="s">
        <v>147</v>
      </c>
      <c r="C36" s="38" t="s">
        <v>149</v>
      </c>
      <c r="D36" s="21"/>
      <c r="E36" s="21">
        <v>4.0</v>
      </c>
      <c r="F36" s="32" t="s">
        <v>93</v>
      </c>
      <c r="G36" s="32" t="s">
        <v>78</v>
      </c>
      <c r="H36" s="21" t="s">
        <v>152</v>
      </c>
      <c r="I36" s="38" t="s">
        <v>154</v>
      </c>
      <c r="K36" s="33" t="s">
        <v>92</v>
      </c>
      <c r="L36" s="21" t="s">
        <v>95</v>
      </c>
      <c r="M36" s="26"/>
      <c r="N36" s="28" t="s">
        <v>97</v>
      </c>
      <c r="O36" s="29" t="s">
        <v>76</v>
      </c>
      <c r="P36" s="31" t="s">
        <v>101</v>
      </c>
      <c r="Q36" s="29" t="s">
        <v>102</v>
      </c>
      <c r="R36" s="39" t="s">
        <v>102</v>
      </c>
      <c r="S36" s="40" t="s">
        <v>104</v>
      </c>
      <c r="T36" s="41" t="s">
        <v>104</v>
      </c>
      <c r="U36" s="40" t="s">
        <v>79</v>
      </c>
    </row>
    <row r="37">
      <c r="B37" s="42" t="s">
        <v>163</v>
      </c>
      <c r="C37" s="45" t="s">
        <v>165</v>
      </c>
      <c r="D37" s="32"/>
      <c r="E37" s="32">
        <v>5.0</v>
      </c>
      <c r="F37" s="32" t="s">
        <v>93</v>
      </c>
      <c r="G37" s="32" t="s">
        <v>134</v>
      </c>
      <c r="H37" s="32" t="s">
        <v>134</v>
      </c>
      <c r="K37" s="33" t="s">
        <v>106</v>
      </c>
      <c r="L37" s="21" t="s">
        <v>108</v>
      </c>
      <c r="M37" s="35" t="s">
        <v>109</v>
      </c>
      <c r="N37" s="28" t="s">
        <v>110</v>
      </c>
      <c r="O37" s="29" t="s">
        <v>76</v>
      </c>
      <c r="P37" s="31" t="s">
        <v>115</v>
      </c>
      <c r="Q37" s="29" t="s">
        <v>116</v>
      </c>
      <c r="R37" s="39" t="s">
        <v>101</v>
      </c>
      <c r="S37" s="40" t="s">
        <v>104</v>
      </c>
      <c r="T37" s="41" t="s">
        <v>102</v>
      </c>
      <c r="U37" s="40" t="s">
        <v>118</v>
      </c>
    </row>
    <row r="38">
      <c r="B38" s="17" t="s">
        <v>173</v>
      </c>
      <c r="C38" s="17" t="s">
        <v>174</v>
      </c>
      <c r="D38" s="21"/>
      <c r="E38" s="21">
        <v>3.0</v>
      </c>
      <c r="F38" s="34" t="s">
        <v>153</v>
      </c>
      <c r="G38" s="32" t="s">
        <v>78</v>
      </c>
      <c r="H38" s="21" t="s">
        <v>178</v>
      </c>
      <c r="I38" s="17" t="s">
        <v>179</v>
      </c>
      <c r="K38" s="33" t="s">
        <v>120</v>
      </c>
      <c r="L38" s="21" t="s">
        <v>122</v>
      </c>
      <c r="M38" s="26"/>
      <c r="N38" s="28" t="s">
        <v>124</v>
      </c>
      <c r="O38" s="29" t="s">
        <v>76</v>
      </c>
      <c r="P38" s="31" t="s">
        <v>129</v>
      </c>
      <c r="Q38" s="38" t="s">
        <v>115</v>
      </c>
      <c r="R38" s="39" t="s">
        <v>116</v>
      </c>
      <c r="S38" s="47" t="s">
        <v>102</v>
      </c>
      <c r="T38" s="41" t="s">
        <v>101</v>
      </c>
      <c r="U38" s="47" t="s">
        <v>118</v>
      </c>
    </row>
    <row r="39">
      <c r="B39" s="48" t="s">
        <v>185</v>
      </c>
      <c r="C39" s="45" t="s">
        <v>187</v>
      </c>
      <c r="D39" s="21"/>
      <c r="E39" s="21">
        <v>3.0</v>
      </c>
      <c r="F39" s="21" t="s">
        <v>153</v>
      </c>
      <c r="G39" s="21" t="s">
        <v>134</v>
      </c>
      <c r="H39" s="21" t="s">
        <v>134</v>
      </c>
      <c r="K39" s="33" t="s">
        <v>136</v>
      </c>
      <c r="L39" s="21" t="s">
        <v>137</v>
      </c>
      <c r="M39" s="26"/>
      <c r="N39" s="28" t="s">
        <v>139</v>
      </c>
      <c r="O39" s="29" t="s">
        <v>76</v>
      </c>
      <c r="P39" s="39" t="s">
        <v>112</v>
      </c>
      <c r="Q39" s="40" t="s">
        <v>129</v>
      </c>
      <c r="R39" s="41" t="s">
        <v>129</v>
      </c>
      <c r="S39" s="40" t="s">
        <v>101</v>
      </c>
      <c r="T39" s="41" t="s">
        <v>115</v>
      </c>
      <c r="U39" s="49">
        <f>7*0.2</f>
        <v>1.4</v>
      </c>
    </row>
    <row r="40">
      <c r="B40" s="17" t="s">
        <v>197</v>
      </c>
      <c r="C40" s="17" t="s">
        <v>198</v>
      </c>
      <c r="D40" s="21"/>
      <c r="E40" s="21">
        <v>3.0</v>
      </c>
      <c r="F40" s="32" t="s">
        <v>153</v>
      </c>
      <c r="G40" s="21" t="s">
        <v>78</v>
      </c>
      <c r="H40" s="21" t="s">
        <v>199</v>
      </c>
    </row>
    <row r="41">
      <c r="B41" s="44" t="s">
        <v>32</v>
      </c>
      <c r="C41" s="33" t="s">
        <v>200</v>
      </c>
      <c r="D41" s="21"/>
      <c r="E41" s="21">
        <v>1.0</v>
      </c>
      <c r="F41" s="32" t="s">
        <v>93</v>
      </c>
      <c r="G41" s="17"/>
      <c r="H41" s="8" t="s">
        <v>201</v>
      </c>
      <c r="I41" s="45" t="s">
        <v>202</v>
      </c>
    </row>
    <row r="42">
      <c r="B42" s="1" t="s">
        <v>203</v>
      </c>
      <c r="C42" s="1" t="s">
        <v>121</v>
      </c>
      <c r="D42" s="21"/>
      <c r="E42" s="21">
        <v>1.0</v>
      </c>
      <c r="F42" s="32" t="s">
        <v>93</v>
      </c>
      <c r="G42" s="32" t="s">
        <v>32</v>
      </c>
      <c r="H42" s="8" t="s">
        <v>204</v>
      </c>
      <c r="I42" s="1" t="s">
        <v>205</v>
      </c>
    </row>
    <row r="43">
      <c r="B43" s="1" t="s">
        <v>206</v>
      </c>
      <c r="C43" s="1" t="s">
        <v>198</v>
      </c>
      <c r="D43" s="8"/>
      <c r="E43" s="8">
        <v>2.0</v>
      </c>
      <c r="F43" s="8" t="s">
        <v>93</v>
      </c>
      <c r="G43" s="8" t="s">
        <v>207</v>
      </c>
      <c r="H43" s="8" t="s">
        <v>208</v>
      </c>
    </row>
    <row r="44">
      <c r="B44" s="17" t="s">
        <v>209</v>
      </c>
      <c r="C44" s="17" t="s">
        <v>210</v>
      </c>
      <c r="D44" s="21"/>
      <c r="E44" s="21">
        <v>1.0</v>
      </c>
      <c r="F44" s="32" t="s">
        <v>93</v>
      </c>
      <c r="G44" s="21" t="s">
        <v>207</v>
      </c>
      <c r="H44" s="21" t="s">
        <v>211</v>
      </c>
      <c r="I44" s="1" t="s">
        <v>212</v>
      </c>
    </row>
    <row r="63">
      <c r="D63" s="46"/>
      <c r="F63" s="32"/>
      <c r="H63" s="46"/>
    </row>
  </sheetData>
  <mergeCells count="9">
    <mergeCell ref="N33:O33"/>
    <mergeCell ref="F63:G63"/>
    <mergeCell ref="F2:K2"/>
    <mergeCell ref="F3:K3"/>
    <mergeCell ref="N32:O32"/>
    <mergeCell ref="P32:Q32"/>
    <mergeCell ref="P33:Q33"/>
    <mergeCell ref="R33:S33"/>
    <mergeCell ref="T33:U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4" width="3.5"/>
    <col customWidth="1" min="5" max="5" width="2.88"/>
    <col customWidth="1" min="6" max="6" width="13.38"/>
    <col customWidth="1" min="7" max="7" width="14.13"/>
    <col customWidth="1" min="8" max="8" width="7.63"/>
    <col customWidth="1" min="9" max="9" width="5.0"/>
    <col customWidth="1" min="10" max="10" width="65.13"/>
    <col customWidth="1" min="11" max="11" width="4.75"/>
    <col customWidth="1" min="12" max="12" width="7.38"/>
    <col customWidth="1" min="13" max="13" width="5.13"/>
    <col customWidth="1" min="15" max="15" width="6.0"/>
    <col customWidth="1" min="16" max="16" width="3.75"/>
    <col customWidth="1" min="17" max="17" width="14.0"/>
    <col customWidth="1" min="20" max="20" width="5.38"/>
    <col customWidth="1" min="21" max="21" width="5.0"/>
  </cols>
  <sheetData>
    <row r="1">
      <c r="A1" s="1"/>
      <c r="B1" s="1"/>
      <c r="P1" s="2"/>
    </row>
    <row r="2">
      <c r="A2" s="1"/>
      <c r="B2" s="6" t="s">
        <v>1</v>
      </c>
      <c r="P2" s="8"/>
    </row>
    <row r="3">
      <c r="C3" s="10"/>
      <c r="K3" s="8"/>
      <c r="L3" s="8"/>
      <c r="M3" s="1"/>
      <c r="P3" s="2"/>
    </row>
    <row r="4">
      <c r="C4" s="10" t="s">
        <v>9</v>
      </c>
      <c r="K4" s="8" t="s">
        <v>10</v>
      </c>
      <c r="L4" s="8" t="s">
        <v>11</v>
      </c>
      <c r="M4" s="1" t="s">
        <v>12</v>
      </c>
      <c r="O4" s="12" t="s">
        <v>13</v>
      </c>
      <c r="P4" s="2"/>
      <c r="T4" s="12" t="s">
        <v>15</v>
      </c>
      <c r="U4" s="2"/>
    </row>
    <row r="5">
      <c r="A5" s="10" t="s">
        <v>17</v>
      </c>
      <c r="B5" s="10" t="s">
        <v>18</v>
      </c>
      <c r="D5" s="10" t="s">
        <v>19</v>
      </c>
      <c r="F5" s="13" t="s">
        <v>20</v>
      </c>
      <c r="G5" s="13" t="s">
        <v>21</v>
      </c>
      <c r="H5" s="13" t="s">
        <v>22</v>
      </c>
      <c r="I5" s="10" t="s">
        <v>23</v>
      </c>
      <c r="J5" s="13" t="s">
        <v>24</v>
      </c>
      <c r="K5" s="10" t="s">
        <v>25</v>
      </c>
      <c r="L5" s="10" t="s">
        <v>26</v>
      </c>
      <c r="O5" s="2"/>
      <c r="P5" s="8">
        <v>1.0</v>
      </c>
      <c r="Q5" s="1" t="s">
        <v>28</v>
      </c>
      <c r="T5" s="2"/>
      <c r="U5" s="8">
        <v>1.0</v>
      </c>
      <c r="V5" s="1" t="s">
        <v>28</v>
      </c>
    </row>
    <row r="6">
      <c r="A6" s="14">
        <v>0.0</v>
      </c>
      <c r="B6" s="15" t="s">
        <v>32</v>
      </c>
      <c r="C6" s="14"/>
      <c r="D6" s="16"/>
      <c r="E6" s="16"/>
      <c r="F6" s="18" t="s">
        <v>34</v>
      </c>
      <c r="G6" s="18" t="s">
        <v>37</v>
      </c>
      <c r="H6" s="20"/>
      <c r="I6" s="14"/>
      <c r="J6" s="18" t="s">
        <v>39</v>
      </c>
      <c r="K6" s="16"/>
      <c r="L6" s="14" t="s">
        <v>40</v>
      </c>
      <c r="M6" s="18" t="s">
        <v>41</v>
      </c>
      <c r="O6" s="2"/>
      <c r="P6" s="8">
        <v>2.0</v>
      </c>
      <c r="Q6" s="1" t="s">
        <v>43</v>
      </c>
      <c r="T6" s="2"/>
      <c r="U6" s="8">
        <v>2.0</v>
      </c>
      <c r="V6" s="1" t="s">
        <v>45</v>
      </c>
    </row>
    <row r="7">
      <c r="A7" s="14">
        <v>0.03</v>
      </c>
      <c r="B7" s="20"/>
      <c r="C7" s="14"/>
      <c r="D7" s="14">
        <v>1.0</v>
      </c>
      <c r="E7" s="16"/>
      <c r="F7" s="20"/>
      <c r="G7" s="18" t="s">
        <v>48</v>
      </c>
      <c r="H7" s="14" t="s">
        <v>50</v>
      </c>
      <c r="I7" s="14" t="s">
        <v>51</v>
      </c>
      <c r="J7" s="24" t="s">
        <v>53</v>
      </c>
      <c r="K7" s="14">
        <v>0.0</v>
      </c>
      <c r="L7" s="14"/>
      <c r="M7" s="18"/>
      <c r="O7" s="2"/>
      <c r="P7" s="8">
        <v>3.0</v>
      </c>
      <c r="Q7" s="1" t="s">
        <v>45</v>
      </c>
      <c r="T7" s="2"/>
      <c r="U7" s="8">
        <v>3.0</v>
      </c>
      <c r="V7" s="1" t="s">
        <v>43</v>
      </c>
    </row>
    <row r="8">
      <c r="A8" s="8">
        <v>0.11</v>
      </c>
      <c r="C8" s="8" t="s">
        <v>60</v>
      </c>
      <c r="D8" s="2"/>
      <c r="E8" s="2"/>
      <c r="G8" s="1" t="s">
        <v>61</v>
      </c>
      <c r="I8" s="8"/>
      <c r="K8" s="8">
        <v>1.5</v>
      </c>
      <c r="L8" s="8">
        <v>2.0</v>
      </c>
      <c r="M8" s="1" t="s">
        <v>63</v>
      </c>
      <c r="O8" s="2"/>
      <c r="P8" s="8">
        <v>4.0</v>
      </c>
      <c r="Q8" s="1" t="s">
        <v>64</v>
      </c>
      <c r="T8" s="2"/>
      <c r="U8" s="8">
        <v>4.0</v>
      </c>
      <c r="V8" s="1" t="s">
        <v>64</v>
      </c>
    </row>
    <row r="9">
      <c r="A9" s="8">
        <v>0.13</v>
      </c>
      <c r="C9" s="8" t="s">
        <v>10</v>
      </c>
      <c r="D9" s="2"/>
      <c r="E9" s="2"/>
      <c r="G9" s="1" t="s">
        <v>61</v>
      </c>
      <c r="I9" s="8"/>
      <c r="K9" s="8">
        <v>1.5</v>
      </c>
      <c r="L9" s="8">
        <v>2.0</v>
      </c>
      <c r="M9" s="1" t="s">
        <v>41</v>
      </c>
      <c r="O9" s="2"/>
      <c r="P9" s="8">
        <v>5.0</v>
      </c>
      <c r="Q9" s="1" t="s">
        <v>68</v>
      </c>
      <c r="T9" s="2"/>
      <c r="U9" s="8">
        <v>5.0</v>
      </c>
      <c r="V9" s="1" t="s">
        <v>69</v>
      </c>
    </row>
    <row r="10">
      <c r="A10" s="8">
        <v>0.2</v>
      </c>
      <c r="C10" s="8" t="s">
        <v>71</v>
      </c>
      <c r="D10" s="2"/>
      <c r="E10" s="2"/>
      <c r="G10" s="1" t="s">
        <v>72</v>
      </c>
      <c r="I10" s="8"/>
      <c r="K10" s="8">
        <v>0.2</v>
      </c>
      <c r="L10" s="8" t="s">
        <v>73</v>
      </c>
      <c r="M10" s="1" t="s">
        <v>63</v>
      </c>
      <c r="O10" s="2"/>
      <c r="P10" s="8">
        <v>6.0</v>
      </c>
      <c r="Q10" s="1" t="s">
        <v>74</v>
      </c>
      <c r="R10" s="1" t="s">
        <v>75</v>
      </c>
      <c r="T10" s="2"/>
      <c r="U10" s="8">
        <v>6.0</v>
      </c>
      <c r="V10" s="1" t="s">
        <v>77</v>
      </c>
    </row>
    <row r="11">
      <c r="A11" s="8">
        <v>0.24</v>
      </c>
      <c r="C11" s="8" t="s">
        <v>80</v>
      </c>
      <c r="D11" s="2"/>
      <c r="F11" s="1" t="s">
        <v>81</v>
      </c>
      <c r="G11" s="1" t="s">
        <v>83</v>
      </c>
      <c r="H11" s="8" t="s">
        <v>85</v>
      </c>
      <c r="I11" s="8" t="s">
        <v>86</v>
      </c>
      <c r="J11" s="1" t="s">
        <v>88</v>
      </c>
      <c r="K11" s="8">
        <v>1.5</v>
      </c>
      <c r="L11" s="8">
        <v>2.0</v>
      </c>
      <c r="M11" s="1" t="s">
        <v>41</v>
      </c>
      <c r="O11" s="2"/>
      <c r="P11" s="8">
        <v>7.0</v>
      </c>
      <c r="Q11" s="1" t="s">
        <v>69</v>
      </c>
      <c r="T11" s="2"/>
      <c r="U11" s="8">
        <v>7.0</v>
      </c>
      <c r="V11" s="1" t="s">
        <v>68</v>
      </c>
    </row>
    <row r="12">
      <c r="A12" s="8">
        <v>0.54</v>
      </c>
      <c r="C12" s="8" t="s">
        <v>94</v>
      </c>
      <c r="D12" s="2"/>
      <c r="F12" s="1" t="s">
        <v>96</v>
      </c>
      <c r="G12" s="1" t="s">
        <v>98</v>
      </c>
      <c r="H12" s="8" t="s">
        <v>93</v>
      </c>
      <c r="I12" s="8" t="s">
        <v>51</v>
      </c>
      <c r="J12" s="1" t="s">
        <v>100</v>
      </c>
      <c r="K12" s="8" t="s">
        <v>103</v>
      </c>
      <c r="L12" s="8">
        <v>6.0</v>
      </c>
      <c r="M12" s="1" t="s">
        <v>41</v>
      </c>
      <c r="O12" s="2"/>
      <c r="P12" s="8">
        <v>8.0</v>
      </c>
      <c r="Q12" s="1" t="s">
        <v>105</v>
      </c>
      <c r="R12" s="1" t="s">
        <v>107</v>
      </c>
      <c r="T12" s="2"/>
      <c r="U12" s="8">
        <v>8.0</v>
      </c>
      <c r="V12" s="1" t="s">
        <v>74</v>
      </c>
    </row>
    <row r="13">
      <c r="A13" s="14">
        <v>1.33</v>
      </c>
      <c r="B13" s="20"/>
      <c r="C13" s="14" t="s">
        <v>111</v>
      </c>
      <c r="D13" s="16"/>
      <c r="E13" s="20"/>
      <c r="F13" s="18" t="s">
        <v>113</v>
      </c>
      <c r="G13" s="18" t="s">
        <v>114</v>
      </c>
      <c r="H13" s="14" t="s">
        <v>85</v>
      </c>
      <c r="I13" s="14" t="s">
        <v>51</v>
      </c>
      <c r="J13" s="18" t="s">
        <v>117</v>
      </c>
      <c r="K13" s="14">
        <v>2.0</v>
      </c>
      <c r="L13" s="14">
        <v>4.0</v>
      </c>
      <c r="M13" s="18" t="s">
        <v>41</v>
      </c>
      <c r="O13" s="2"/>
      <c r="P13" s="8">
        <v>9.0</v>
      </c>
      <c r="Q13" s="1" t="s">
        <v>123</v>
      </c>
      <c r="R13" s="1" t="s">
        <v>125</v>
      </c>
      <c r="T13" s="2"/>
      <c r="U13" s="8">
        <v>9.0</v>
      </c>
      <c r="V13" s="1" t="s">
        <v>127</v>
      </c>
    </row>
    <row r="14">
      <c r="A14" s="16"/>
      <c r="B14" s="20"/>
      <c r="C14" s="16"/>
      <c r="D14" s="14">
        <v>1.0</v>
      </c>
      <c r="E14" s="20"/>
      <c r="F14" s="20"/>
      <c r="G14" s="18" t="s">
        <v>131</v>
      </c>
      <c r="H14" s="14" t="s">
        <v>50</v>
      </c>
      <c r="I14" s="14" t="s">
        <v>51</v>
      </c>
      <c r="J14" s="18" t="s">
        <v>133</v>
      </c>
      <c r="K14" s="14" t="s">
        <v>134</v>
      </c>
      <c r="L14" s="14" t="s">
        <v>135</v>
      </c>
      <c r="M14" s="20"/>
      <c r="O14" s="2"/>
      <c r="P14" s="8">
        <v>10.0</v>
      </c>
      <c r="Q14" s="1" t="s">
        <v>127</v>
      </c>
      <c r="R14" s="1" t="s">
        <v>138</v>
      </c>
      <c r="T14" s="2"/>
      <c r="U14" s="8">
        <v>10.0</v>
      </c>
      <c r="V14" s="1" t="s">
        <v>140</v>
      </c>
    </row>
    <row r="15">
      <c r="A15" s="14"/>
      <c r="B15" s="20"/>
      <c r="C15" s="14"/>
      <c r="D15" s="14">
        <v>2.0</v>
      </c>
      <c r="E15" s="20"/>
      <c r="F15" s="20"/>
      <c r="G15" s="18" t="s">
        <v>142</v>
      </c>
      <c r="H15" s="14" t="s">
        <v>143</v>
      </c>
      <c r="I15" s="14" t="s">
        <v>51</v>
      </c>
      <c r="J15" s="18" t="s">
        <v>144</v>
      </c>
      <c r="K15" s="14">
        <v>0.2</v>
      </c>
      <c r="L15" s="14" t="s">
        <v>73</v>
      </c>
      <c r="M15" s="18"/>
      <c r="P15" s="8"/>
      <c r="U15" s="8"/>
    </row>
    <row r="16">
      <c r="A16" s="8">
        <v>10.0</v>
      </c>
      <c r="C16" s="8" t="s">
        <v>145</v>
      </c>
      <c r="D16" s="2"/>
      <c r="G16" s="1" t="s">
        <v>146</v>
      </c>
      <c r="H16" s="2"/>
      <c r="I16" s="8" t="s">
        <v>86</v>
      </c>
      <c r="J16" s="1" t="s">
        <v>148</v>
      </c>
      <c r="K16" s="2"/>
      <c r="L16" s="2"/>
      <c r="M16" s="1" t="s">
        <v>41</v>
      </c>
      <c r="P16" s="8"/>
      <c r="U16" s="8"/>
    </row>
    <row r="17" ht="15.75" customHeight="1">
      <c r="A17" s="2"/>
      <c r="C17" s="2"/>
      <c r="D17" s="8">
        <v>174.0</v>
      </c>
      <c r="F17" s="1" t="s">
        <v>150</v>
      </c>
      <c r="G17" s="1" t="s">
        <v>151</v>
      </c>
      <c r="H17" s="8" t="s">
        <v>153</v>
      </c>
      <c r="I17" s="8" t="s">
        <v>51</v>
      </c>
      <c r="J17" s="1" t="s">
        <v>155</v>
      </c>
      <c r="K17" s="8" t="s">
        <v>134</v>
      </c>
      <c r="L17" s="8" t="s">
        <v>156</v>
      </c>
    </row>
    <row r="18">
      <c r="A18" s="14">
        <v>10.0</v>
      </c>
      <c r="B18" s="20"/>
      <c r="C18" s="14" t="s">
        <v>157</v>
      </c>
      <c r="D18" s="14"/>
      <c r="E18" s="20"/>
      <c r="F18" s="18" t="s">
        <v>43</v>
      </c>
      <c r="G18" s="18" t="s">
        <v>158</v>
      </c>
      <c r="H18" s="14" t="s">
        <v>153</v>
      </c>
      <c r="I18" s="14" t="s">
        <v>86</v>
      </c>
      <c r="J18" s="18" t="s">
        <v>159</v>
      </c>
      <c r="K18" s="14">
        <v>0.1</v>
      </c>
      <c r="L18" s="14" t="s">
        <v>160</v>
      </c>
      <c r="M18" s="20"/>
      <c r="P18" s="8"/>
      <c r="U18" s="8"/>
    </row>
    <row r="19">
      <c r="A19" s="16"/>
      <c r="B19" s="20"/>
      <c r="C19" s="16"/>
      <c r="D19" s="14">
        <v>1.0</v>
      </c>
      <c r="E19" s="20"/>
      <c r="F19" s="18" t="s">
        <v>161</v>
      </c>
      <c r="G19" s="18" t="s">
        <v>162</v>
      </c>
      <c r="H19" s="14" t="s">
        <v>153</v>
      </c>
      <c r="I19" s="14" t="s">
        <v>86</v>
      </c>
      <c r="J19" s="18" t="s">
        <v>164</v>
      </c>
      <c r="K19" s="14" t="s">
        <v>134</v>
      </c>
      <c r="L19" s="14" t="s">
        <v>166</v>
      </c>
      <c r="M19" s="20"/>
      <c r="P19" s="2"/>
    </row>
    <row r="20">
      <c r="A20" s="16"/>
      <c r="B20" s="20"/>
      <c r="C20" s="16"/>
      <c r="D20" s="14">
        <v>2.0</v>
      </c>
      <c r="E20" s="20"/>
      <c r="F20" s="18" t="s">
        <v>45</v>
      </c>
      <c r="G20" s="18" t="s">
        <v>144</v>
      </c>
      <c r="H20" s="14" t="s">
        <v>153</v>
      </c>
      <c r="I20" s="14" t="s">
        <v>51</v>
      </c>
      <c r="J20" s="18" t="s">
        <v>167</v>
      </c>
      <c r="K20" s="14" t="s">
        <v>134</v>
      </c>
      <c r="L20" s="14" t="s">
        <v>168</v>
      </c>
      <c r="M20" s="20"/>
      <c r="P20" s="2"/>
    </row>
    <row r="21">
      <c r="A21" s="16"/>
      <c r="B21" s="20"/>
      <c r="C21" s="16"/>
      <c r="D21" s="14">
        <v>3.0</v>
      </c>
      <c r="E21" s="20"/>
      <c r="F21" s="18" t="s">
        <v>64</v>
      </c>
      <c r="G21" s="18" t="s">
        <v>169</v>
      </c>
      <c r="H21" s="14" t="s">
        <v>153</v>
      </c>
      <c r="I21" s="14" t="s">
        <v>170</v>
      </c>
      <c r="J21" s="18" t="s">
        <v>171</v>
      </c>
      <c r="K21" s="14" t="s">
        <v>134</v>
      </c>
      <c r="L21" s="14" t="s">
        <v>172</v>
      </c>
      <c r="M21" s="20"/>
      <c r="P21" s="2"/>
    </row>
    <row r="22">
      <c r="A22" s="16"/>
      <c r="B22" s="20"/>
      <c r="C22" s="16"/>
      <c r="D22" s="14">
        <v>4.0</v>
      </c>
      <c r="E22" s="20"/>
      <c r="F22" s="18" t="s">
        <v>123</v>
      </c>
      <c r="G22" s="18" t="s">
        <v>175</v>
      </c>
      <c r="H22" s="14" t="s">
        <v>153</v>
      </c>
      <c r="I22" s="14" t="s">
        <v>170</v>
      </c>
      <c r="J22" s="18" t="s">
        <v>176</v>
      </c>
      <c r="K22" s="14" t="s">
        <v>134</v>
      </c>
      <c r="L22" s="14" t="s">
        <v>177</v>
      </c>
      <c r="M22" s="20"/>
      <c r="P22" s="2"/>
    </row>
    <row r="23">
      <c r="A23" s="16"/>
      <c r="B23" s="20"/>
      <c r="C23" s="16"/>
      <c r="D23" s="14">
        <v>5.0</v>
      </c>
      <c r="E23" s="20"/>
      <c r="F23" s="18" t="s">
        <v>69</v>
      </c>
      <c r="G23" s="18" t="s">
        <v>180</v>
      </c>
      <c r="H23" s="14" t="s">
        <v>153</v>
      </c>
      <c r="I23" s="14" t="s">
        <v>51</v>
      </c>
      <c r="J23" s="18"/>
      <c r="K23" s="14" t="s">
        <v>134</v>
      </c>
      <c r="L23" s="14" t="s">
        <v>172</v>
      </c>
      <c r="M23" s="20"/>
      <c r="P23" s="2"/>
    </row>
    <row r="24">
      <c r="A24" s="8">
        <v>17.0</v>
      </c>
      <c r="C24" s="8" t="s">
        <v>181</v>
      </c>
      <c r="D24" s="8"/>
      <c r="G24" s="1" t="s">
        <v>182</v>
      </c>
      <c r="H24" s="2"/>
      <c r="I24" s="8"/>
      <c r="J24" s="1" t="s">
        <v>183</v>
      </c>
      <c r="K24" s="8" t="s">
        <v>184</v>
      </c>
      <c r="L24" s="8">
        <v>300.0</v>
      </c>
      <c r="P24" s="2"/>
    </row>
    <row r="25">
      <c r="A25" s="2"/>
      <c r="C25" s="2"/>
      <c r="D25" s="8">
        <v>4.0</v>
      </c>
      <c r="G25" s="1" t="s">
        <v>186</v>
      </c>
      <c r="H25" s="8" t="s">
        <v>93</v>
      </c>
      <c r="I25" s="8" t="s">
        <v>51</v>
      </c>
      <c r="J25" s="1" t="s">
        <v>188</v>
      </c>
      <c r="K25" s="8">
        <v>0.1</v>
      </c>
      <c r="L25" s="8" t="s">
        <v>189</v>
      </c>
      <c r="P25" s="2"/>
    </row>
    <row r="26">
      <c r="P26" s="2"/>
    </row>
    <row r="27">
      <c r="A27" s="13" t="s">
        <v>190</v>
      </c>
      <c r="B27" s="8"/>
      <c r="F27" s="1" t="s">
        <v>191</v>
      </c>
      <c r="P27" s="2"/>
    </row>
    <row r="28">
      <c r="A28" s="13"/>
      <c r="B28" s="2"/>
      <c r="C28" s="2"/>
      <c r="F28" s="1" t="s">
        <v>43</v>
      </c>
      <c r="P28" s="2"/>
    </row>
    <row r="29">
      <c r="C29" s="2"/>
      <c r="F29" s="1" t="s">
        <v>192</v>
      </c>
      <c r="P29" s="2"/>
    </row>
    <row r="30">
      <c r="C30" s="2"/>
      <c r="F30" s="1" t="s">
        <v>193</v>
      </c>
      <c r="P30" s="2"/>
    </row>
    <row r="31">
      <c r="C31" s="2"/>
      <c r="F31" s="1" t="s">
        <v>194</v>
      </c>
      <c r="P31" s="2"/>
    </row>
    <row r="32">
      <c r="C32" s="2"/>
      <c r="F32" s="1" t="s">
        <v>195</v>
      </c>
      <c r="P32" s="2"/>
    </row>
    <row r="33">
      <c r="C33" s="2"/>
      <c r="P33" s="2"/>
    </row>
    <row r="34">
      <c r="C34" s="2"/>
      <c r="P34" s="2"/>
    </row>
    <row r="35">
      <c r="C35" s="2"/>
      <c r="P35" s="2"/>
    </row>
    <row r="36">
      <c r="C36" s="2"/>
      <c r="P36" s="2"/>
    </row>
    <row r="37">
      <c r="C37" s="2"/>
      <c r="P37" s="2"/>
    </row>
    <row r="38" ht="15.75" customHeight="1">
      <c r="C38" s="2"/>
      <c r="P38" s="2"/>
    </row>
    <row r="39" ht="15.75" customHeight="1">
      <c r="C39" s="2"/>
      <c r="P39" s="2"/>
    </row>
    <row r="40" ht="15.75" customHeight="1">
      <c r="C40" s="2"/>
      <c r="P40" s="2"/>
    </row>
    <row r="41">
      <c r="C41" s="2"/>
      <c r="P41" s="2"/>
    </row>
    <row r="42">
      <c r="B42" s="2"/>
      <c r="C42" s="2"/>
      <c r="D42" s="2"/>
      <c r="P42" s="2"/>
    </row>
    <row r="43">
      <c r="B43" s="2"/>
      <c r="C43" s="2"/>
      <c r="D43" s="2"/>
      <c r="P43" s="2"/>
    </row>
    <row r="44">
      <c r="B44" s="2"/>
      <c r="C44" s="2"/>
      <c r="D44" s="2"/>
      <c r="P44" s="2"/>
    </row>
    <row r="45">
      <c r="B45" s="2"/>
      <c r="C45" s="2"/>
      <c r="D45" s="2"/>
      <c r="P45" s="2"/>
    </row>
    <row r="46">
      <c r="B46" s="2"/>
      <c r="C46" s="2"/>
      <c r="D46" s="2"/>
      <c r="P46" s="2"/>
    </row>
    <row r="47">
      <c r="B47" s="2"/>
      <c r="C47" s="2"/>
      <c r="D47" s="2"/>
      <c r="P47" s="2"/>
    </row>
    <row r="48">
      <c r="B48" s="2"/>
      <c r="C48" s="2"/>
      <c r="D48" s="2"/>
      <c r="P48" s="2"/>
    </row>
    <row r="49">
      <c r="B49" s="2"/>
      <c r="C49" s="2"/>
      <c r="D49" s="2"/>
      <c r="P49" s="2"/>
    </row>
    <row r="50">
      <c r="B50" s="2"/>
      <c r="C50" s="2"/>
      <c r="D50" s="2"/>
      <c r="P50" s="2"/>
    </row>
    <row r="51">
      <c r="P51" s="2"/>
    </row>
    <row r="52">
      <c r="P52" s="2"/>
    </row>
    <row r="53">
      <c r="P53" s="2"/>
    </row>
    <row r="54">
      <c r="P54" s="2"/>
    </row>
    <row r="55">
      <c r="P55" s="2"/>
    </row>
    <row r="56">
      <c r="P56" s="2"/>
    </row>
    <row r="57">
      <c r="P57" s="2"/>
    </row>
    <row r="58">
      <c r="P58" s="2"/>
    </row>
    <row r="59">
      <c r="P59" s="2"/>
    </row>
    <row r="60">
      <c r="P60" s="2"/>
    </row>
    <row r="61">
      <c r="P61" s="2"/>
    </row>
    <row r="62">
      <c r="P62" s="2"/>
    </row>
    <row r="63">
      <c r="P63" s="2"/>
    </row>
    <row r="64">
      <c r="P64" s="2"/>
    </row>
    <row r="65">
      <c r="P65" s="2"/>
    </row>
    <row r="66">
      <c r="P66" s="2"/>
    </row>
    <row r="67">
      <c r="P67" s="2"/>
    </row>
    <row r="68">
      <c r="P68" s="2"/>
    </row>
    <row r="69">
      <c r="P69" s="2"/>
    </row>
    <row r="70">
      <c r="P70" s="2"/>
    </row>
    <row r="71">
      <c r="P71" s="2"/>
    </row>
    <row r="72">
      <c r="P72" s="2"/>
    </row>
    <row r="73">
      <c r="P73" s="2"/>
    </row>
    <row r="74">
      <c r="P74" s="2"/>
    </row>
    <row r="75">
      <c r="P75" s="2"/>
    </row>
    <row r="76">
      <c r="P76" s="2"/>
    </row>
    <row r="77">
      <c r="P77" s="2"/>
    </row>
    <row r="78">
      <c r="P78" s="2"/>
    </row>
    <row r="79">
      <c r="P79" s="2"/>
    </row>
    <row r="80">
      <c r="P80" s="2"/>
    </row>
    <row r="81">
      <c r="P81" s="2"/>
    </row>
    <row r="82">
      <c r="P82" s="2"/>
    </row>
    <row r="83">
      <c r="P83" s="2"/>
    </row>
    <row r="84">
      <c r="P84" s="2"/>
    </row>
    <row r="85">
      <c r="P85" s="2"/>
    </row>
    <row r="86">
      <c r="P86" s="2"/>
    </row>
    <row r="87">
      <c r="P87" s="2"/>
    </row>
    <row r="88">
      <c r="P88" s="2"/>
    </row>
    <row r="89">
      <c r="P89" s="2"/>
    </row>
    <row r="90">
      <c r="P90" s="2"/>
    </row>
    <row r="91">
      <c r="P91" s="2"/>
    </row>
    <row r="92">
      <c r="P92" s="2"/>
    </row>
    <row r="93">
      <c r="P93" s="2"/>
    </row>
    <row r="94">
      <c r="P94" s="2"/>
    </row>
    <row r="95">
      <c r="P95" s="2"/>
    </row>
    <row r="96">
      <c r="P96" s="2"/>
    </row>
    <row r="97">
      <c r="P97" s="2"/>
    </row>
    <row r="98">
      <c r="P98" s="2"/>
    </row>
    <row r="99">
      <c r="P99" s="2"/>
    </row>
    <row r="100">
      <c r="P100" s="2"/>
    </row>
    <row r="101">
      <c r="P101" s="2"/>
    </row>
    <row r="102">
      <c r="P102" s="2"/>
    </row>
    <row r="103">
      <c r="P103" s="2"/>
    </row>
    <row r="104">
      <c r="P104" s="2"/>
    </row>
    <row r="105">
      <c r="P105" s="2"/>
    </row>
    <row r="106">
      <c r="P106" s="2"/>
    </row>
    <row r="107">
      <c r="P107" s="2"/>
    </row>
    <row r="108">
      <c r="P108" s="2"/>
    </row>
    <row r="109">
      <c r="P109" s="2"/>
    </row>
    <row r="110">
      <c r="P110" s="2"/>
    </row>
    <row r="111">
      <c r="P111" s="2"/>
    </row>
    <row r="112">
      <c r="P112" s="2"/>
    </row>
    <row r="113">
      <c r="P113" s="2"/>
    </row>
    <row r="114">
      <c r="P114" s="2"/>
    </row>
    <row r="115">
      <c r="P115" s="2"/>
    </row>
    <row r="116">
      <c r="P116" s="2"/>
    </row>
    <row r="117">
      <c r="P117" s="2"/>
    </row>
    <row r="118">
      <c r="P118" s="2"/>
    </row>
    <row r="119">
      <c r="P119" s="2"/>
    </row>
    <row r="120">
      <c r="P120" s="2"/>
    </row>
    <row r="121">
      <c r="P121" s="2"/>
    </row>
    <row r="122">
      <c r="P122" s="2"/>
    </row>
    <row r="123">
      <c r="P123" s="2"/>
    </row>
    <row r="124">
      <c r="P124" s="2"/>
    </row>
    <row r="125">
      <c r="P125" s="2"/>
    </row>
    <row r="126">
      <c r="P126" s="2"/>
    </row>
    <row r="127">
      <c r="P127" s="2"/>
    </row>
    <row r="128">
      <c r="P128" s="2"/>
    </row>
    <row r="129">
      <c r="P129" s="2"/>
    </row>
    <row r="130">
      <c r="P130" s="2"/>
    </row>
    <row r="131">
      <c r="P131" s="2"/>
    </row>
    <row r="132">
      <c r="P132" s="2"/>
    </row>
    <row r="133">
      <c r="P133" s="2"/>
    </row>
    <row r="134">
      <c r="P134" s="2"/>
    </row>
    <row r="135">
      <c r="P135" s="2"/>
    </row>
    <row r="136">
      <c r="P136" s="2"/>
    </row>
    <row r="137">
      <c r="P137" s="2"/>
    </row>
    <row r="138">
      <c r="P138" s="2"/>
    </row>
    <row r="139">
      <c r="P139" s="2"/>
    </row>
    <row r="140">
      <c r="P140" s="2"/>
    </row>
    <row r="141">
      <c r="P141" s="2"/>
    </row>
    <row r="142">
      <c r="P142" s="2"/>
    </row>
    <row r="143">
      <c r="P143" s="2"/>
    </row>
    <row r="144">
      <c r="P144" s="2"/>
    </row>
    <row r="145">
      <c r="P145" s="2"/>
    </row>
    <row r="146">
      <c r="P146" s="2"/>
    </row>
    <row r="147">
      <c r="P147" s="2"/>
    </row>
    <row r="148">
      <c r="P148" s="2"/>
    </row>
    <row r="149">
      <c r="P149" s="2"/>
    </row>
    <row r="150">
      <c r="P150" s="2"/>
    </row>
    <row r="151">
      <c r="P151" s="2"/>
    </row>
    <row r="152">
      <c r="P152" s="2"/>
    </row>
    <row r="153">
      <c r="P153" s="2"/>
    </row>
    <row r="154">
      <c r="P154" s="2"/>
    </row>
    <row r="155">
      <c r="P155" s="2"/>
    </row>
    <row r="156">
      <c r="P156" s="2"/>
    </row>
    <row r="157">
      <c r="P157" s="2"/>
    </row>
    <row r="158">
      <c r="P158" s="2"/>
    </row>
    <row r="159">
      <c r="P159" s="2"/>
    </row>
    <row r="160">
      <c r="P160" s="2"/>
    </row>
    <row r="161">
      <c r="P161" s="2"/>
    </row>
    <row r="162">
      <c r="P162" s="2"/>
    </row>
    <row r="163">
      <c r="P163" s="2"/>
    </row>
    <row r="164">
      <c r="P164" s="2"/>
    </row>
    <row r="165">
      <c r="P165" s="2"/>
    </row>
    <row r="166">
      <c r="P166" s="2"/>
    </row>
    <row r="167">
      <c r="P167" s="2"/>
    </row>
    <row r="168">
      <c r="P168" s="2"/>
    </row>
    <row r="169">
      <c r="P169" s="2"/>
    </row>
    <row r="170">
      <c r="P170" s="2"/>
    </row>
    <row r="171">
      <c r="P171" s="2"/>
    </row>
    <row r="172">
      <c r="P172" s="2"/>
    </row>
    <row r="173">
      <c r="P173" s="2"/>
    </row>
    <row r="174">
      <c r="P174" s="2"/>
    </row>
    <row r="175">
      <c r="P175" s="2"/>
    </row>
    <row r="176">
      <c r="P176" s="2"/>
    </row>
    <row r="177">
      <c r="P177" s="2"/>
    </row>
    <row r="178">
      <c r="P178" s="2"/>
    </row>
    <row r="179">
      <c r="P179" s="2"/>
    </row>
    <row r="180">
      <c r="P180" s="2"/>
    </row>
    <row r="181">
      <c r="P181" s="2"/>
    </row>
    <row r="182">
      <c r="P182" s="2"/>
    </row>
    <row r="183">
      <c r="P183" s="2"/>
    </row>
    <row r="184">
      <c r="P184" s="2"/>
    </row>
    <row r="185">
      <c r="P185" s="2"/>
    </row>
    <row r="186">
      <c r="P186" s="2"/>
    </row>
    <row r="187">
      <c r="P187" s="2"/>
    </row>
    <row r="188">
      <c r="P188" s="2"/>
    </row>
    <row r="189">
      <c r="P189" s="2"/>
    </row>
    <row r="190">
      <c r="P190" s="2"/>
    </row>
    <row r="191">
      <c r="P191" s="2"/>
    </row>
    <row r="192">
      <c r="P192" s="2"/>
    </row>
    <row r="193">
      <c r="P193" s="2"/>
    </row>
    <row r="194">
      <c r="P194" s="2"/>
    </row>
    <row r="195">
      <c r="P195" s="2"/>
    </row>
    <row r="196">
      <c r="P196" s="2"/>
    </row>
    <row r="197">
      <c r="P197" s="2"/>
    </row>
    <row r="198">
      <c r="P198" s="2"/>
    </row>
    <row r="199">
      <c r="P199" s="2"/>
    </row>
    <row r="200">
      <c r="P200" s="2"/>
    </row>
    <row r="201">
      <c r="P201" s="2"/>
    </row>
    <row r="202">
      <c r="P202" s="2"/>
    </row>
    <row r="203">
      <c r="P203" s="2"/>
    </row>
    <row r="204">
      <c r="P204" s="2"/>
    </row>
    <row r="205">
      <c r="P205" s="2"/>
    </row>
    <row r="206">
      <c r="P206" s="2"/>
    </row>
    <row r="207">
      <c r="P207" s="2"/>
    </row>
    <row r="208">
      <c r="P208" s="2"/>
    </row>
    <row r="209">
      <c r="P209" s="2"/>
    </row>
    <row r="210">
      <c r="P210" s="2"/>
    </row>
    <row r="211">
      <c r="P211" s="2"/>
    </row>
    <row r="212">
      <c r="P212" s="2"/>
    </row>
    <row r="213">
      <c r="P213" s="2"/>
    </row>
    <row r="214">
      <c r="P214" s="2"/>
    </row>
    <row r="215">
      <c r="P215" s="2"/>
    </row>
    <row r="216">
      <c r="P216" s="2"/>
    </row>
    <row r="217">
      <c r="P217" s="2"/>
    </row>
    <row r="218">
      <c r="P218" s="2"/>
    </row>
    <row r="219">
      <c r="P219" s="2"/>
    </row>
    <row r="220">
      <c r="P220" s="2"/>
    </row>
    <row r="221">
      <c r="P221" s="2"/>
    </row>
    <row r="222">
      <c r="P222" s="2"/>
    </row>
    <row r="223">
      <c r="P223" s="2"/>
    </row>
    <row r="224">
      <c r="P224" s="2"/>
    </row>
    <row r="225">
      <c r="P225" s="2"/>
    </row>
    <row r="226">
      <c r="P226" s="2"/>
    </row>
    <row r="227">
      <c r="P227" s="2"/>
    </row>
    <row r="228">
      <c r="P228" s="2"/>
    </row>
    <row r="229">
      <c r="P229" s="2"/>
    </row>
    <row r="230">
      <c r="P230" s="2"/>
    </row>
    <row r="231">
      <c r="P231" s="2"/>
    </row>
    <row r="232">
      <c r="P232" s="2"/>
    </row>
    <row r="233">
      <c r="P233" s="2"/>
    </row>
    <row r="234">
      <c r="P234" s="2"/>
    </row>
    <row r="235">
      <c r="P235" s="2"/>
    </row>
    <row r="236">
      <c r="P236" s="2"/>
    </row>
    <row r="237">
      <c r="P237" s="2"/>
    </row>
    <row r="238">
      <c r="P238" s="2"/>
    </row>
    <row r="239">
      <c r="P239" s="2"/>
    </row>
    <row r="240">
      <c r="P240" s="2"/>
    </row>
    <row r="241">
      <c r="P241" s="2"/>
    </row>
    <row r="242">
      <c r="P242" s="2"/>
    </row>
    <row r="243">
      <c r="P243" s="2"/>
    </row>
    <row r="244">
      <c r="P244" s="2"/>
    </row>
    <row r="245">
      <c r="P245" s="2"/>
    </row>
    <row r="246">
      <c r="P246" s="2"/>
    </row>
    <row r="247">
      <c r="P247" s="2"/>
    </row>
    <row r="248">
      <c r="P248" s="2"/>
    </row>
    <row r="249">
      <c r="P249" s="2"/>
    </row>
    <row r="250">
      <c r="P250" s="2"/>
    </row>
    <row r="251">
      <c r="P251" s="2"/>
    </row>
    <row r="252">
      <c r="P252" s="2"/>
    </row>
    <row r="253">
      <c r="P253" s="2"/>
    </row>
    <row r="254">
      <c r="P254" s="2"/>
    </row>
    <row r="255">
      <c r="P255" s="2"/>
    </row>
    <row r="256">
      <c r="P256" s="2"/>
    </row>
    <row r="257">
      <c r="P257" s="2"/>
    </row>
    <row r="258">
      <c r="P258" s="2"/>
    </row>
    <row r="259">
      <c r="P259" s="2"/>
    </row>
    <row r="260">
      <c r="P260" s="2"/>
    </row>
    <row r="261">
      <c r="P261" s="2"/>
    </row>
    <row r="262">
      <c r="P262" s="2"/>
    </row>
    <row r="263">
      <c r="P263" s="2"/>
    </row>
    <row r="264">
      <c r="P264" s="2"/>
    </row>
    <row r="265">
      <c r="P265" s="2"/>
    </row>
    <row r="266">
      <c r="P266" s="2"/>
    </row>
    <row r="267">
      <c r="P267" s="2"/>
    </row>
    <row r="268">
      <c r="P268" s="2"/>
    </row>
    <row r="269">
      <c r="P269" s="2"/>
    </row>
    <row r="270">
      <c r="P270" s="2"/>
    </row>
    <row r="271">
      <c r="P271" s="2"/>
    </row>
    <row r="272">
      <c r="P272" s="2"/>
    </row>
    <row r="273">
      <c r="P273" s="2"/>
    </row>
    <row r="274">
      <c r="P274" s="2"/>
    </row>
    <row r="275">
      <c r="P275" s="2"/>
    </row>
    <row r="276">
      <c r="P276" s="2"/>
    </row>
    <row r="277">
      <c r="P277" s="2"/>
    </row>
    <row r="278">
      <c r="P278" s="2"/>
    </row>
    <row r="279">
      <c r="P279" s="2"/>
    </row>
    <row r="280">
      <c r="P280" s="2"/>
    </row>
    <row r="281">
      <c r="P281" s="2"/>
    </row>
    <row r="282">
      <c r="P282" s="2"/>
    </row>
    <row r="283">
      <c r="P283" s="2"/>
    </row>
    <row r="284">
      <c r="P284" s="2"/>
    </row>
    <row r="285">
      <c r="P285" s="2"/>
    </row>
    <row r="286">
      <c r="P286" s="2"/>
    </row>
    <row r="287">
      <c r="P287" s="2"/>
    </row>
    <row r="288">
      <c r="P288" s="2"/>
    </row>
    <row r="289">
      <c r="P289" s="2"/>
    </row>
    <row r="290">
      <c r="P290" s="2"/>
    </row>
    <row r="291">
      <c r="P291" s="2"/>
    </row>
    <row r="292">
      <c r="P292" s="2"/>
    </row>
    <row r="293">
      <c r="P293" s="2"/>
    </row>
    <row r="294">
      <c r="P294" s="2"/>
    </row>
    <row r="295">
      <c r="P295" s="2"/>
    </row>
    <row r="296">
      <c r="P296" s="2"/>
    </row>
    <row r="297">
      <c r="P297" s="2"/>
    </row>
    <row r="298">
      <c r="P298" s="2"/>
    </row>
    <row r="299">
      <c r="P299" s="2"/>
    </row>
    <row r="300">
      <c r="P300" s="2"/>
    </row>
    <row r="301">
      <c r="P301" s="2"/>
    </row>
    <row r="302">
      <c r="P302" s="2"/>
    </row>
    <row r="303">
      <c r="P303" s="2"/>
    </row>
    <row r="304">
      <c r="P304" s="2"/>
    </row>
    <row r="305">
      <c r="P305" s="2"/>
    </row>
    <row r="306">
      <c r="P306" s="2"/>
    </row>
    <row r="307">
      <c r="P307" s="2"/>
    </row>
    <row r="308">
      <c r="P308" s="2"/>
    </row>
    <row r="309">
      <c r="P309" s="2"/>
    </row>
    <row r="310">
      <c r="P310" s="2"/>
    </row>
    <row r="311">
      <c r="P311" s="2"/>
    </row>
    <row r="312">
      <c r="P312" s="2"/>
    </row>
    <row r="313">
      <c r="P313" s="2"/>
    </row>
    <row r="314">
      <c r="P314" s="2"/>
    </row>
    <row r="315">
      <c r="P315" s="2"/>
    </row>
    <row r="316">
      <c r="P316" s="2"/>
    </row>
    <row r="317">
      <c r="P317" s="2"/>
    </row>
    <row r="318">
      <c r="P318" s="2"/>
    </row>
    <row r="319">
      <c r="P319" s="2"/>
    </row>
    <row r="320">
      <c r="P320" s="2"/>
    </row>
    <row r="321">
      <c r="P321" s="2"/>
    </row>
    <row r="322">
      <c r="P322" s="2"/>
    </row>
    <row r="323">
      <c r="P323" s="2"/>
    </row>
    <row r="324">
      <c r="P324" s="2"/>
    </row>
    <row r="325">
      <c r="P325" s="2"/>
    </row>
    <row r="326">
      <c r="P326" s="2"/>
    </row>
    <row r="327">
      <c r="P327" s="2"/>
    </row>
    <row r="328">
      <c r="P328" s="2"/>
    </row>
    <row r="329">
      <c r="P329" s="2"/>
    </row>
    <row r="330">
      <c r="P330" s="2"/>
    </row>
    <row r="331">
      <c r="P331" s="2"/>
    </row>
    <row r="332">
      <c r="P332" s="2"/>
    </row>
    <row r="333">
      <c r="P333" s="2"/>
    </row>
    <row r="334">
      <c r="P334" s="2"/>
    </row>
    <row r="335">
      <c r="P335" s="2"/>
    </row>
    <row r="336">
      <c r="P336" s="2"/>
    </row>
    <row r="337">
      <c r="P337" s="2"/>
    </row>
    <row r="338">
      <c r="P338" s="2"/>
    </row>
    <row r="339">
      <c r="P339" s="2"/>
    </row>
    <row r="340">
      <c r="P340" s="2"/>
    </row>
    <row r="341">
      <c r="P341" s="2"/>
    </row>
    <row r="342">
      <c r="P342" s="2"/>
    </row>
    <row r="343">
      <c r="P343" s="2"/>
    </row>
    <row r="344">
      <c r="P344" s="2"/>
    </row>
    <row r="345">
      <c r="P345" s="2"/>
    </row>
    <row r="346">
      <c r="P346" s="2"/>
    </row>
    <row r="347">
      <c r="P347" s="2"/>
    </row>
    <row r="348">
      <c r="P348" s="2"/>
    </row>
    <row r="349">
      <c r="P349" s="2"/>
    </row>
    <row r="350">
      <c r="P350" s="2"/>
    </row>
    <row r="351">
      <c r="P351" s="2"/>
    </row>
    <row r="352">
      <c r="P352" s="2"/>
    </row>
    <row r="353">
      <c r="P353" s="2"/>
    </row>
    <row r="354">
      <c r="P354" s="2"/>
    </row>
    <row r="355">
      <c r="P355" s="2"/>
    </row>
    <row r="356">
      <c r="P356" s="2"/>
    </row>
    <row r="357">
      <c r="P357" s="2"/>
    </row>
    <row r="358">
      <c r="P358" s="2"/>
    </row>
    <row r="359">
      <c r="P359" s="2"/>
    </row>
    <row r="360">
      <c r="P360" s="2"/>
    </row>
    <row r="361">
      <c r="P361" s="2"/>
    </row>
    <row r="362">
      <c r="P362" s="2"/>
    </row>
    <row r="363">
      <c r="P363" s="2"/>
    </row>
    <row r="364">
      <c r="P364" s="2"/>
    </row>
    <row r="365">
      <c r="P365" s="2"/>
    </row>
    <row r="366">
      <c r="P366" s="2"/>
    </row>
    <row r="367">
      <c r="P367" s="2"/>
    </row>
    <row r="368">
      <c r="P368" s="2"/>
    </row>
    <row r="369">
      <c r="P369" s="2"/>
    </row>
    <row r="370">
      <c r="P370" s="2"/>
    </row>
    <row r="371">
      <c r="P371" s="2"/>
    </row>
    <row r="372">
      <c r="P372" s="2"/>
    </row>
    <row r="373">
      <c r="P373" s="2"/>
    </row>
    <row r="374">
      <c r="P374" s="2"/>
    </row>
    <row r="375">
      <c r="P375" s="2"/>
    </row>
    <row r="376">
      <c r="P376" s="2"/>
    </row>
    <row r="377">
      <c r="P377" s="2"/>
    </row>
    <row r="378">
      <c r="P378" s="2"/>
    </row>
    <row r="379">
      <c r="P379" s="2"/>
    </row>
    <row r="380">
      <c r="P380" s="2"/>
    </row>
    <row r="381">
      <c r="P381" s="2"/>
    </row>
    <row r="382">
      <c r="P382" s="2"/>
    </row>
    <row r="383">
      <c r="P383" s="2"/>
    </row>
    <row r="384">
      <c r="P384" s="2"/>
    </row>
    <row r="385">
      <c r="P385" s="2"/>
    </row>
    <row r="386">
      <c r="P386" s="2"/>
    </row>
    <row r="387">
      <c r="P387" s="2"/>
    </row>
    <row r="388">
      <c r="P388" s="2"/>
    </row>
    <row r="389">
      <c r="P389" s="2"/>
    </row>
    <row r="390">
      <c r="P390" s="2"/>
    </row>
    <row r="391">
      <c r="P391" s="2"/>
    </row>
    <row r="392">
      <c r="P392" s="2"/>
    </row>
    <row r="393">
      <c r="P393" s="2"/>
    </row>
    <row r="394">
      <c r="P394" s="2"/>
    </row>
    <row r="395">
      <c r="P395" s="2"/>
    </row>
    <row r="396">
      <c r="P396" s="2"/>
    </row>
    <row r="397">
      <c r="P397" s="2"/>
    </row>
    <row r="398">
      <c r="P398" s="2"/>
    </row>
    <row r="399">
      <c r="P399" s="2"/>
    </row>
    <row r="400">
      <c r="P400" s="2"/>
    </row>
    <row r="401">
      <c r="P401" s="2"/>
    </row>
    <row r="402">
      <c r="P402" s="2"/>
    </row>
    <row r="403">
      <c r="P403" s="2"/>
    </row>
    <row r="404">
      <c r="P404" s="2"/>
    </row>
    <row r="405">
      <c r="P405" s="2"/>
    </row>
    <row r="406">
      <c r="P406" s="2"/>
    </row>
    <row r="407">
      <c r="P407" s="2"/>
    </row>
    <row r="408">
      <c r="P408" s="2"/>
    </row>
    <row r="409">
      <c r="P409" s="2"/>
    </row>
    <row r="410">
      <c r="P410" s="2"/>
    </row>
    <row r="411">
      <c r="P411" s="2"/>
    </row>
    <row r="412">
      <c r="P412" s="2"/>
    </row>
    <row r="413">
      <c r="P413" s="2"/>
    </row>
    <row r="414">
      <c r="P414" s="2"/>
    </row>
    <row r="415">
      <c r="P415" s="2"/>
    </row>
    <row r="416">
      <c r="P416" s="2"/>
    </row>
    <row r="417">
      <c r="P417" s="2"/>
    </row>
    <row r="418">
      <c r="P418" s="2"/>
    </row>
    <row r="419">
      <c r="P419" s="2"/>
    </row>
    <row r="420">
      <c r="P420" s="2"/>
    </row>
    <row r="421">
      <c r="P421" s="2"/>
    </row>
    <row r="422">
      <c r="P422" s="2"/>
    </row>
    <row r="423">
      <c r="P423" s="2"/>
    </row>
    <row r="424">
      <c r="P424" s="2"/>
    </row>
    <row r="425">
      <c r="P425" s="2"/>
    </row>
    <row r="426">
      <c r="P426" s="2"/>
    </row>
    <row r="427">
      <c r="P427" s="2"/>
    </row>
    <row r="428">
      <c r="P428" s="2"/>
    </row>
    <row r="429">
      <c r="P429" s="2"/>
    </row>
    <row r="430">
      <c r="P430" s="2"/>
    </row>
    <row r="431">
      <c r="P431" s="2"/>
    </row>
    <row r="432">
      <c r="P432" s="2"/>
    </row>
    <row r="433">
      <c r="P433" s="2"/>
    </row>
    <row r="434">
      <c r="P434" s="2"/>
    </row>
    <row r="435">
      <c r="P435" s="2"/>
    </row>
    <row r="436">
      <c r="P436" s="2"/>
    </row>
    <row r="437">
      <c r="P437" s="2"/>
    </row>
    <row r="438">
      <c r="P438" s="2"/>
    </row>
    <row r="439">
      <c r="P439" s="2"/>
    </row>
    <row r="440">
      <c r="P440" s="2"/>
    </row>
    <row r="441">
      <c r="P441" s="2"/>
    </row>
    <row r="442">
      <c r="P442" s="2"/>
    </row>
    <row r="443">
      <c r="P443" s="2"/>
    </row>
    <row r="444">
      <c r="P444" s="2"/>
    </row>
    <row r="445">
      <c r="P445" s="2"/>
    </row>
    <row r="446">
      <c r="P446" s="2"/>
    </row>
    <row r="447">
      <c r="P447" s="2"/>
    </row>
    <row r="448">
      <c r="P448" s="2"/>
    </row>
    <row r="449">
      <c r="P449" s="2"/>
    </row>
    <row r="450">
      <c r="P450" s="2"/>
    </row>
    <row r="451">
      <c r="P451" s="2"/>
    </row>
    <row r="452">
      <c r="P452" s="2"/>
    </row>
    <row r="453">
      <c r="P453" s="2"/>
    </row>
    <row r="454">
      <c r="P454" s="2"/>
    </row>
    <row r="455">
      <c r="P455" s="2"/>
    </row>
    <row r="456">
      <c r="P456" s="2"/>
    </row>
    <row r="457">
      <c r="P457" s="2"/>
    </row>
    <row r="458">
      <c r="P458" s="2"/>
    </row>
    <row r="459">
      <c r="P459" s="2"/>
    </row>
    <row r="460">
      <c r="P460" s="2"/>
    </row>
    <row r="461">
      <c r="P461" s="2"/>
    </row>
    <row r="462">
      <c r="P462" s="2"/>
    </row>
    <row r="463">
      <c r="P463" s="2"/>
    </row>
    <row r="464">
      <c r="P464" s="2"/>
    </row>
    <row r="465">
      <c r="P465" s="2"/>
    </row>
    <row r="466">
      <c r="P466" s="2"/>
    </row>
    <row r="467">
      <c r="P467" s="2"/>
    </row>
    <row r="468">
      <c r="P468" s="2"/>
    </row>
    <row r="469">
      <c r="P469" s="2"/>
    </row>
    <row r="470">
      <c r="P470" s="2"/>
    </row>
    <row r="471">
      <c r="P471" s="2"/>
    </row>
    <row r="472">
      <c r="P472" s="2"/>
    </row>
    <row r="473">
      <c r="P473" s="2"/>
    </row>
    <row r="474">
      <c r="P474" s="2"/>
    </row>
    <row r="475">
      <c r="P475" s="2"/>
    </row>
    <row r="476">
      <c r="P476" s="2"/>
    </row>
    <row r="477">
      <c r="P477" s="2"/>
    </row>
    <row r="478">
      <c r="P478" s="2"/>
    </row>
    <row r="479">
      <c r="P479" s="2"/>
    </row>
    <row r="480">
      <c r="P480" s="2"/>
    </row>
    <row r="481">
      <c r="P481" s="2"/>
    </row>
    <row r="482">
      <c r="P482" s="2"/>
    </row>
    <row r="483">
      <c r="P483" s="2"/>
    </row>
    <row r="484">
      <c r="P484" s="2"/>
    </row>
    <row r="485">
      <c r="P485" s="2"/>
    </row>
    <row r="486">
      <c r="P486" s="2"/>
    </row>
    <row r="487">
      <c r="P487" s="2"/>
    </row>
    <row r="488">
      <c r="P488" s="2"/>
    </row>
    <row r="489">
      <c r="P489" s="2"/>
    </row>
    <row r="490">
      <c r="P490" s="2"/>
    </row>
    <row r="491">
      <c r="P491" s="2"/>
    </row>
    <row r="492">
      <c r="P492" s="2"/>
    </row>
    <row r="493">
      <c r="P493" s="2"/>
    </row>
    <row r="494">
      <c r="P494" s="2"/>
    </row>
    <row r="495">
      <c r="P495" s="2"/>
    </row>
    <row r="496">
      <c r="P496" s="2"/>
    </row>
    <row r="497">
      <c r="P497" s="2"/>
    </row>
    <row r="498">
      <c r="P498" s="2"/>
    </row>
    <row r="499">
      <c r="P499" s="2"/>
    </row>
    <row r="500">
      <c r="P500" s="2"/>
    </row>
    <row r="501">
      <c r="P501" s="2"/>
    </row>
    <row r="502">
      <c r="P502" s="2"/>
    </row>
    <row r="503">
      <c r="P503" s="2"/>
    </row>
    <row r="504">
      <c r="P504" s="2"/>
    </row>
    <row r="505">
      <c r="P505" s="2"/>
    </row>
    <row r="506">
      <c r="P506" s="2"/>
    </row>
    <row r="507">
      <c r="P507" s="2"/>
    </row>
    <row r="508">
      <c r="P508" s="2"/>
    </row>
    <row r="509">
      <c r="P509" s="2"/>
    </row>
    <row r="510">
      <c r="P510" s="2"/>
    </row>
    <row r="511">
      <c r="P511" s="2"/>
    </row>
    <row r="512">
      <c r="P512" s="2"/>
    </row>
    <row r="513">
      <c r="P513" s="2"/>
    </row>
    <row r="514">
      <c r="P514" s="2"/>
    </row>
    <row r="515">
      <c r="P515" s="2"/>
    </row>
    <row r="516">
      <c r="P516" s="2"/>
    </row>
    <row r="517">
      <c r="P517" s="2"/>
    </row>
    <row r="518">
      <c r="P518" s="2"/>
    </row>
    <row r="519">
      <c r="P519" s="2"/>
    </row>
    <row r="520">
      <c r="P520" s="2"/>
    </row>
    <row r="521">
      <c r="P521" s="2"/>
    </row>
    <row r="522">
      <c r="P522" s="2"/>
    </row>
    <row r="523">
      <c r="P523" s="2"/>
    </row>
    <row r="524">
      <c r="P524" s="2"/>
    </row>
    <row r="525">
      <c r="P525" s="2"/>
    </row>
    <row r="526">
      <c r="P526" s="2"/>
    </row>
    <row r="527">
      <c r="P527" s="2"/>
    </row>
    <row r="528">
      <c r="P528" s="2"/>
    </row>
    <row r="529">
      <c r="P529" s="2"/>
    </row>
    <row r="530">
      <c r="P530" s="2"/>
    </row>
    <row r="531">
      <c r="P531" s="2"/>
    </row>
    <row r="532">
      <c r="P532" s="2"/>
    </row>
    <row r="533">
      <c r="P533" s="2"/>
    </row>
    <row r="534">
      <c r="P534" s="2"/>
    </row>
    <row r="535">
      <c r="P535" s="2"/>
    </row>
    <row r="536">
      <c r="P536" s="2"/>
    </row>
    <row r="537">
      <c r="P537" s="2"/>
    </row>
    <row r="538">
      <c r="P538" s="2"/>
    </row>
    <row r="539">
      <c r="P539" s="2"/>
    </row>
    <row r="540">
      <c r="P540" s="2"/>
    </row>
    <row r="541">
      <c r="P541" s="2"/>
    </row>
    <row r="542">
      <c r="P542" s="2"/>
    </row>
    <row r="543">
      <c r="P543" s="2"/>
    </row>
    <row r="544">
      <c r="P544" s="2"/>
    </row>
    <row r="545">
      <c r="P545" s="2"/>
    </row>
    <row r="546">
      <c r="P546" s="2"/>
    </row>
    <row r="547">
      <c r="P547" s="2"/>
    </row>
    <row r="548">
      <c r="P548" s="2"/>
    </row>
    <row r="549">
      <c r="P549" s="2"/>
    </row>
    <row r="550">
      <c r="P550" s="2"/>
    </row>
    <row r="551">
      <c r="P551" s="2"/>
    </row>
    <row r="552">
      <c r="P552" s="2"/>
    </row>
    <row r="553">
      <c r="P553" s="2"/>
    </row>
    <row r="554">
      <c r="P554" s="2"/>
    </row>
    <row r="555">
      <c r="P555" s="2"/>
    </row>
    <row r="556">
      <c r="P556" s="2"/>
    </row>
    <row r="557">
      <c r="P557" s="2"/>
    </row>
    <row r="558">
      <c r="P558" s="2"/>
    </row>
    <row r="559">
      <c r="P559" s="2"/>
    </row>
    <row r="560">
      <c r="P560" s="2"/>
    </row>
    <row r="561">
      <c r="P561" s="2"/>
    </row>
    <row r="562">
      <c r="P562" s="2"/>
    </row>
    <row r="563">
      <c r="P563" s="2"/>
    </row>
    <row r="564">
      <c r="P564" s="2"/>
    </row>
    <row r="565">
      <c r="P565" s="2"/>
    </row>
    <row r="566">
      <c r="P566" s="2"/>
    </row>
    <row r="567">
      <c r="P567" s="2"/>
    </row>
    <row r="568">
      <c r="P568" s="2"/>
    </row>
    <row r="569">
      <c r="P569" s="2"/>
    </row>
    <row r="570">
      <c r="P570" s="2"/>
    </row>
    <row r="571">
      <c r="P571" s="2"/>
    </row>
    <row r="572">
      <c r="P572" s="2"/>
    </row>
    <row r="573">
      <c r="P573" s="2"/>
    </row>
    <row r="574">
      <c r="P574" s="2"/>
    </row>
    <row r="575">
      <c r="P575" s="2"/>
    </row>
    <row r="576">
      <c r="P576" s="2"/>
    </row>
    <row r="577">
      <c r="P577" s="2"/>
    </row>
    <row r="578">
      <c r="P578" s="2"/>
    </row>
    <row r="579">
      <c r="P579" s="2"/>
    </row>
    <row r="580">
      <c r="P580" s="2"/>
    </row>
    <row r="581">
      <c r="P581" s="2"/>
    </row>
    <row r="582">
      <c r="P582" s="2"/>
    </row>
    <row r="583">
      <c r="P583" s="2"/>
    </row>
    <row r="584">
      <c r="P584" s="2"/>
    </row>
    <row r="585">
      <c r="P585" s="2"/>
    </row>
    <row r="586">
      <c r="P586" s="2"/>
    </row>
    <row r="587">
      <c r="P587" s="2"/>
    </row>
    <row r="588">
      <c r="P588" s="2"/>
    </row>
    <row r="589">
      <c r="P589" s="2"/>
    </row>
    <row r="590">
      <c r="P590" s="2"/>
    </row>
    <row r="591">
      <c r="P591" s="2"/>
    </row>
    <row r="592">
      <c r="P592" s="2"/>
    </row>
    <row r="593">
      <c r="P593" s="2"/>
    </row>
    <row r="594">
      <c r="P594" s="2"/>
    </row>
    <row r="595">
      <c r="P595" s="2"/>
    </row>
    <row r="596">
      <c r="P596" s="2"/>
    </row>
    <row r="597">
      <c r="P597" s="2"/>
    </row>
    <row r="598">
      <c r="P598" s="2"/>
    </row>
    <row r="599">
      <c r="P599" s="2"/>
    </row>
    <row r="600">
      <c r="P600" s="2"/>
    </row>
    <row r="601">
      <c r="P601" s="2"/>
    </row>
    <row r="602">
      <c r="P602" s="2"/>
    </row>
    <row r="603">
      <c r="P603" s="2"/>
    </row>
    <row r="604">
      <c r="P604" s="2"/>
    </row>
    <row r="605">
      <c r="P605" s="2"/>
    </row>
    <row r="606">
      <c r="P606" s="2"/>
    </row>
    <row r="607">
      <c r="P607" s="2"/>
    </row>
    <row r="608">
      <c r="P608" s="2"/>
    </row>
    <row r="609">
      <c r="P609" s="2"/>
    </row>
    <row r="610">
      <c r="P610" s="2"/>
    </row>
    <row r="611">
      <c r="P611" s="2"/>
    </row>
    <row r="612">
      <c r="P612" s="2"/>
    </row>
    <row r="613">
      <c r="P613" s="2"/>
    </row>
    <row r="614">
      <c r="P614" s="2"/>
    </row>
    <row r="615">
      <c r="P615" s="2"/>
    </row>
    <row r="616">
      <c r="P616" s="2"/>
    </row>
    <row r="617">
      <c r="P617" s="2"/>
    </row>
    <row r="618">
      <c r="P618" s="2"/>
    </row>
    <row r="619">
      <c r="P619" s="2"/>
    </row>
    <row r="620">
      <c r="P620" s="2"/>
    </row>
    <row r="621">
      <c r="P621" s="2"/>
    </row>
    <row r="622">
      <c r="P622" s="2"/>
    </row>
    <row r="623">
      <c r="P623" s="2"/>
    </row>
    <row r="624">
      <c r="P624" s="2"/>
    </row>
    <row r="625">
      <c r="P625" s="2"/>
    </row>
    <row r="626">
      <c r="P626" s="2"/>
    </row>
    <row r="627">
      <c r="P627" s="2"/>
    </row>
    <row r="628">
      <c r="P628" s="2"/>
    </row>
    <row r="629">
      <c r="P629" s="2"/>
    </row>
    <row r="630">
      <c r="P630" s="2"/>
    </row>
    <row r="631">
      <c r="P631" s="2"/>
    </row>
    <row r="632">
      <c r="P632" s="2"/>
    </row>
    <row r="633">
      <c r="P633" s="2"/>
    </row>
    <row r="634">
      <c r="P634" s="2"/>
    </row>
    <row r="635">
      <c r="P635" s="2"/>
    </row>
    <row r="636">
      <c r="P636" s="2"/>
    </row>
    <row r="637">
      <c r="P637" s="2"/>
    </row>
    <row r="638">
      <c r="P638" s="2"/>
    </row>
    <row r="639">
      <c r="P639" s="2"/>
    </row>
    <row r="640">
      <c r="P640" s="2"/>
    </row>
    <row r="641">
      <c r="P641" s="2"/>
    </row>
    <row r="642">
      <c r="P642" s="2"/>
    </row>
    <row r="643">
      <c r="P643" s="2"/>
    </row>
    <row r="644">
      <c r="P644" s="2"/>
    </row>
    <row r="645">
      <c r="P645" s="2"/>
    </row>
    <row r="646">
      <c r="P646" s="2"/>
    </row>
    <row r="647">
      <c r="P647" s="2"/>
    </row>
    <row r="648">
      <c r="P648" s="2"/>
    </row>
    <row r="649">
      <c r="P649" s="2"/>
    </row>
    <row r="650">
      <c r="P650" s="2"/>
    </row>
    <row r="651">
      <c r="P651" s="2"/>
    </row>
    <row r="652">
      <c r="P652" s="2"/>
    </row>
    <row r="653">
      <c r="P653" s="2"/>
    </row>
    <row r="654">
      <c r="P654" s="2"/>
    </row>
    <row r="655">
      <c r="P655" s="2"/>
    </row>
    <row r="656">
      <c r="P656" s="2"/>
    </row>
    <row r="657">
      <c r="P657" s="2"/>
    </row>
    <row r="658">
      <c r="P658" s="2"/>
    </row>
    <row r="659">
      <c r="P659" s="2"/>
    </row>
    <row r="660">
      <c r="P660" s="2"/>
    </row>
    <row r="661">
      <c r="P661" s="2"/>
    </row>
    <row r="662">
      <c r="P662" s="2"/>
    </row>
    <row r="663">
      <c r="P663" s="2"/>
    </row>
    <row r="664">
      <c r="P664" s="2"/>
    </row>
    <row r="665">
      <c r="P665" s="2"/>
    </row>
    <row r="666">
      <c r="P666" s="2"/>
    </row>
    <row r="667">
      <c r="P667" s="2"/>
    </row>
    <row r="668">
      <c r="P668" s="2"/>
    </row>
    <row r="669">
      <c r="P669" s="2"/>
    </row>
    <row r="670">
      <c r="P670" s="2"/>
    </row>
    <row r="671">
      <c r="P671" s="2"/>
    </row>
    <row r="672">
      <c r="P672" s="2"/>
    </row>
    <row r="673">
      <c r="P673" s="2"/>
    </row>
    <row r="674">
      <c r="P674" s="2"/>
    </row>
    <row r="675">
      <c r="P675" s="2"/>
    </row>
    <row r="676">
      <c r="P676" s="2"/>
    </row>
    <row r="677">
      <c r="P677" s="2"/>
    </row>
    <row r="678">
      <c r="P678" s="2"/>
    </row>
    <row r="679">
      <c r="P679" s="2"/>
    </row>
    <row r="680">
      <c r="P680" s="2"/>
    </row>
    <row r="681">
      <c r="P681" s="2"/>
    </row>
    <row r="682">
      <c r="P682" s="2"/>
    </row>
    <row r="683">
      <c r="P683" s="2"/>
    </row>
    <row r="684">
      <c r="P684" s="2"/>
    </row>
    <row r="685">
      <c r="P685" s="2"/>
    </row>
    <row r="686">
      <c r="P686" s="2"/>
    </row>
    <row r="687">
      <c r="P687" s="2"/>
    </row>
    <row r="688">
      <c r="P688" s="2"/>
    </row>
    <row r="689">
      <c r="P689" s="2"/>
    </row>
    <row r="690">
      <c r="P690" s="2"/>
    </row>
    <row r="691">
      <c r="P691" s="2"/>
    </row>
    <row r="692">
      <c r="P692" s="2"/>
    </row>
    <row r="693">
      <c r="P693" s="2"/>
    </row>
    <row r="694">
      <c r="P694" s="2"/>
    </row>
    <row r="695">
      <c r="P695" s="2"/>
    </row>
    <row r="696">
      <c r="P696" s="2"/>
    </row>
    <row r="697">
      <c r="P697" s="2"/>
    </row>
    <row r="698">
      <c r="P698" s="2"/>
    </row>
    <row r="699">
      <c r="P699" s="2"/>
    </row>
    <row r="700">
      <c r="P700" s="2"/>
    </row>
    <row r="701">
      <c r="P701" s="2"/>
    </row>
    <row r="702">
      <c r="P702" s="2"/>
    </row>
    <row r="703">
      <c r="P703" s="2"/>
    </row>
    <row r="704">
      <c r="P704" s="2"/>
    </row>
    <row r="705">
      <c r="P705" s="2"/>
    </row>
    <row r="706">
      <c r="P706" s="2"/>
    </row>
    <row r="707">
      <c r="P707" s="2"/>
    </row>
    <row r="708">
      <c r="P708" s="2"/>
    </row>
    <row r="709">
      <c r="P709" s="2"/>
    </row>
    <row r="710">
      <c r="P710" s="2"/>
    </row>
    <row r="711">
      <c r="P711" s="2"/>
    </row>
    <row r="712">
      <c r="P712" s="2"/>
    </row>
    <row r="713">
      <c r="P713" s="2"/>
    </row>
    <row r="714">
      <c r="P714" s="2"/>
    </row>
    <row r="715">
      <c r="P715" s="2"/>
    </row>
    <row r="716">
      <c r="P716" s="2"/>
    </row>
    <row r="717">
      <c r="P717" s="2"/>
    </row>
    <row r="718">
      <c r="P718" s="2"/>
    </row>
    <row r="719">
      <c r="P719" s="2"/>
    </row>
    <row r="720">
      <c r="P720" s="2"/>
    </row>
    <row r="721">
      <c r="P721" s="2"/>
    </row>
    <row r="722">
      <c r="P722" s="2"/>
    </row>
    <row r="723">
      <c r="P723" s="2"/>
    </row>
    <row r="724">
      <c r="P724" s="2"/>
    </row>
    <row r="725">
      <c r="P725" s="2"/>
    </row>
    <row r="726">
      <c r="P726" s="2"/>
    </row>
    <row r="727">
      <c r="P727" s="2"/>
    </row>
    <row r="728">
      <c r="P728" s="2"/>
    </row>
    <row r="729">
      <c r="P729" s="2"/>
    </row>
    <row r="730">
      <c r="P730" s="2"/>
    </row>
    <row r="731">
      <c r="P731" s="2"/>
    </row>
    <row r="732">
      <c r="P732" s="2"/>
    </row>
    <row r="733">
      <c r="P733" s="2"/>
    </row>
    <row r="734">
      <c r="P734" s="2"/>
    </row>
    <row r="735">
      <c r="P735" s="2"/>
    </row>
    <row r="736">
      <c r="P736" s="2"/>
    </row>
    <row r="737">
      <c r="P737" s="2"/>
    </row>
    <row r="738">
      <c r="P738" s="2"/>
    </row>
    <row r="739">
      <c r="P739" s="2"/>
    </row>
    <row r="740">
      <c r="P740" s="2"/>
    </row>
    <row r="741">
      <c r="P741" s="2"/>
    </row>
    <row r="742">
      <c r="P742" s="2"/>
    </row>
    <row r="743">
      <c r="P743" s="2"/>
    </row>
    <row r="744">
      <c r="P744" s="2"/>
    </row>
    <row r="745">
      <c r="P745" s="2"/>
    </row>
    <row r="746">
      <c r="P746" s="2"/>
    </row>
    <row r="747">
      <c r="P747" s="2"/>
    </row>
    <row r="748">
      <c r="P748" s="2"/>
    </row>
    <row r="749">
      <c r="P749" s="2"/>
    </row>
    <row r="750">
      <c r="P750" s="2"/>
    </row>
    <row r="751">
      <c r="P751" s="2"/>
    </row>
    <row r="752">
      <c r="P752" s="2"/>
    </row>
    <row r="753">
      <c r="P753" s="2"/>
    </row>
    <row r="754">
      <c r="P754" s="2"/>
    </row>
    <row r="755">
      <c r="P755" s="2"/>
    </row>
    <row r="756">
      <c r="P756" s="2"/>
    </row>
    <row r="757">
      <c r="P757" s="2"/>
    </row>
    <row r="758">
      <c r="P758" s="2"/>
    </row>
    <row r="759">
      <c r="P759" s="2"/>
    </row>
    <row r="760">
      <c r="P760" s="2"/>
    </row>
    <row r="761">
      <c r="P761" s="2"/>
    </row>
    <row r="762">
      <c r="P762" s="2"/>
    </row>
    <row r="763">
      <c r="P763" s="2"/>
    </row>
    <row r="764">
      <c r="P764" s="2"/>
    </row>
    <row r="765">
      <c r="P765" s="2"/>
    </row>
    <row r="766">
      <c r="P766" s="2"/>
    </row>
    <row r="767">
      <c r="P767" s="2"/>
    </row>
    <row r="768">
      <c r="P768" s="2"/>
    </row>
    <row r="769">
      <c r="P769" s="2"/>
    </row>
    <row r="770">
      <c r="P770" s="2"/>
    </row>
    <row r="771">
      <c r="P771" s="2"/>
    </row>
    <row r="772">
      <c r="P772" s="2"/>
    </row>
    <row r="773">
      <c r="P773" s="2"/>
    </row>
    <row r="774">
      <c r="P774" s="2"/>
    </row>
    <row r="775">
      <c r="P775" s="2"/>
    </row>
    <row r="776">
      <c r="P776" s="2"/>
    </row>
    <row r="777">
      <c r="P777" s="2"/>
    </row>
    <row r="778">
      <c r="P778" s="2"/>
    </row>
    <row r="779">
      <c r="P779" s="2"/>
    </row>
    <row r="780">
      <c r="P780" s="2"/>
    </row>
    <row r="781">
      <c r="P781" s="2"/>
    </row>
    <row r="782">
      <c r="P782" s="2"/>
    </row>
    <row r="783">
      <c r="P783" s="2"/>
    </row>
    <row r="784">
      <c r="P784" s="2"/>
    </row>
    <row r="785">
      <c r="P785" s="2"/>
    </row>
    <row r="786">
      <c r="P786" s="2"/>
    </row>
    <row r="787">
      <c r="P787" s="2"/>
    </row>
    <row r="788">
      <c r="P788" s="2"/>
    </row>
    <row r="789">
      <c r="P789" s="2"/>
    </row>
    <row r="790">
      <c r="P790" s="2"/>
    </row>
    <row r="791">
      <c r="P791" s="2"/>
    </row>
    <row r="792">
      <c r="P792" s="2"/>
    </row>
    <row r="793">
      <c r="P793" s="2"/>
    </row>
    <row r="794">
      <c r="P794" s="2"/>
    </row>
    <row r="795">
      <c r="P795" s="2"/>
    </row>
    <row r="796">
      <c r="P796" s="2"/>
    </row>
    <row r="797">
      <c r="P797" s="2"/>
    </row>
    <row r="798">
      <c r="P798" s="2"/>
    </row>
    <row r="799">
      <c r="P799" s="2"/>
    </row>
    <row r="800">
      <c r="P800" s="2"/>
    </row>
    <row r="801">
      <c r="P801" s="2"/>
    </row>
    <row r="802">
      <c r="P802" s="2"/>
    </row>
    <row r="803">
      <c r="P803" s="2"/>
    </row>
    <row r="804">
      <c r="P804" s="2"/>
    </row>
    <row r="805">
      <c r="P805" s="2"/>
    </row>
    <row r="806">
      <c r="P806" s="2"/>
    </row>
    <row r="807">
      <c r="P807" s="2"/>
    </row>
    <row r="808">
      <c r="P808" s="2"/>
    </row>
    <row r="809">
      <c r="P809" s="2"/>
    </row>
    <row r="810">
      <c r="P810" s="2"/>
    </row>
    <row r="811">
      <c r="P811" s="2"/>
    </row>
    <row r="812">
      <c r="P812" s="2"/>
    </row>
    <row r="813">
      <c r="P813" s="2"/>
    </row>
    <row r="814">
      <c r="P814" s="2"/>
    </row>
    <row r="815">
      <c r="P815" s="2"/>
    </row>
    <row r="816">
      <c r="P816" s="2"/>
    </row>
    <row r="817">
      <c r="P817" s="2"/>
    </row>
    <row r="818">
      <c r="P818" s="2"/>
    </row>
    <row r="819">
      <c r="P819" s="2"/>
    </row>
    <row r="820">
      <c r="P820" s="2"/>
    </row>
    <row r="821">
      <c r="P821" s="2"/>
    </row>
    <row r="822">
      <c r="P822" s="2"/>
    </row>
    <row r="823">
      <c r="P823" s="2"/>
    </row>
    <row r="824">
      <c r="P824" s="2"/>
    </row>
    <row r="825">
      <c r="P825" s="2"/>
    </row>
    <row r="826">
      <c r="P826" s="2"/>
    </row>
    <row r="827">
      <c r="P827" s="2"/>
    </row>
    <row r="828">
      <c r="P828" s="2"/>
    </row>
    <row r="829">
      <c r="P829" s="2"/>
    </row>
    <row r="830">
      <c r="P830" s="2"/>
    </row>
    <row r="831">
      <c r="P831" s="2"/>
    </row>
    <row r="832">
      <c r="P832" s="2"/>
    </row>
    <row r="833">
      <c r="P833" s="2"/>
    </row>
    <row r="834">
      <c r="P834" s="2"/>
    </row>
    <row r="835">
      <c r="P835" s="2"/>
    </row>
    <row r="836">
      <c r="P836" s="2"/>
    </row>
    <row r="837">
      <c r="P837" s="2"/>
    </row>
    <row r="838">
      <c r="P838" s="2"/>
    </row>
    <row r="839">
      <c r="P839" s="2"/>
    </row>
    <row r="840">
      <c r="P840" s="2"/>
    </row>
    <row r="841">
      <c r="P841" s="2"/>
    </row>
    <row r="842">
      <c r="P842" s="2"/>
    </row>
    <row r="843">
      <c r="P843" s="2"/>
    </row>
    <row r="844">
      <c r="P844" s="2"/>
    </row>
    <row r="845">
      <c r="P845" s="2"/>
    </row>
    <row r="846">
      <c r="P846" s="2"/>
    </row>
    <row r="847">
      <c r="P847" s="2"/>
    </row>
    <row r="848">
      <c r="P848" s="2"/>
    </row>
    <row r="849">
      <c r="P849" s="2"/>
    </row>
    <row r="850">
      <c r="P850" s="2"/>
    </row>
    <row r="851">
      <c r="P851" s="2"/>
    </row>
    <row r="852">
      <c r="P852" s="2"/>
    </row>
    <row r="853">
      <c r="P853" s="2"/>
    </row>
    <row r="854">
      <c r="P854" s="2"/>
    </row>
    <row r="855">
      <c r="P855" s="2"/>
    </row>
    <row r="856">
      <c r="P856" s="2"/>
    </row>
    <row r="857">
      <c r="P857" s="2"/>
    </row>
    <row r="858">
      <c r="P858" s="2"/>
    </row>
    <row r="859">
      <c r="P859" s="2"/>
    </row>
    <row r="860">
      <c r="P860" s="2"/>
    </row>
    <row r="861">
      <c r="P861" s="2"/>
    </row>
    <row r="862">
      <c r="P862" s="2"/>
    </row>
    <row r="863">
      <c r="P863" s="2"/>
    </row>
    <row r="864">
      <c r="P864" s="2"/>
    </row>
    <row r="865">
      <c r="P865" s="2"/>
    </row>
    <row r="866">
      <c r="P866" s="2"/>
    </row>
    <row r="867">
      <c r="P867" s="2"/>
    </row>
    <row r="868">
      <c r="P868" s="2"/>
    </row>
    <row r="869">
      <c r="P869" s="2"/>
    </row>
    <row r="870">
      <c r="P870" s="2"/>
    </row>
    <row r="871">
      <c r="P871" s="2"/>
    </row>
    <row r="872">
      <c r="P872" s="2"/>
    </row>
    <row r="873">
      <c r="P873" s="2"/>
    </row>
    <row r="874">
      <c r="P874" s="2"/>
    </row>
    <row r="875">
      <c r="P875" s="2"/>
    </row>
    <row r="876">
      <c r="P876" s="2"/>
    </row>
    <row r="877">
      <c r="P877" s="2"/>
    </row>
    <row r="878">
      <c r="P878" s="2"/>
    </row>
    <row r="879">
      <c r="P879" s="2"/>
    </row>
    <row r="880">
      <c r="P880" s="2"/>
    </row>
    <row r="881">
      <c r="P881" s="2"/>
    </row>
    <row r="882">
      <c r="P882" s="2"/>
    </row>
    <row r="883">
      <c r="P883" s="2"/>
    </row>
    <row r="884">
      <c r="P884" s="2"/>
    </row>
    <row r="885">
      <c r="P885" s="2"/>
    </row>
    <row r="886">
      <c r="P886" s="2"/>
    </row>
    <row r="887">
      <c r="P887" s="2"/>
    </row>
    <row r="888">
      <c r="P888" s="2"/>
    </row>
    <row r="889">
      <c r="P889" s="2"/>
    </row>
    <row r="890">
      <c r="P890" s="2"/>
    </row>
    <row r="891">
      <c r="P891" s="2"/>
    </row>
    <row r="892">
      <c r="P892" s="2"/>
    </row>
    <row r="893">
      <c r="P893" s="2"/>
    </row>
    <row r="894">
      <c r="P894" s="2"/>
    </row>
    <row r="895">
      <c r="P895" s="2"/>
    </row>
    <row r="896">
      <c r="P896" s="2"/>
    </row>
    <row r="897">
      <c r="P897" s="2"/>
    </row>
    <row r="898">
      <c r="P898" s="2"/>
    </row>
    <row r="899">
      <c r="P899" s="2"/>
    </row>
    <row r="900">
      <c r="P900" s="2"/>
    </row>
    <row r="901">
      <c r="P901" s="2"/>
    </row>
    <row r="902">
      <c r="P902" s="2"/>
    </row>
    <row r="903">
      <c r="P903" s="2"/>
    </row>
    <row r="904">
      <c r="P904" s="2"/>
    </row>
    <row r="905">
      <c r="P905" s="2"/>
    </row>
    <row r="906">
      <c r="P906" s="2"/>
    </row>
    <row r="907">
      <c r="P907" s="2"/>
    </row>
    <row r="908">
      <c r="P908" s="2"/>
    </row>
    <row r="909">
      <c r="P909" s="2"/>
    </row>
    <row r="910">
      <c r="P910" s="2"/>
    </row>
    <row r="911">
      <c r="P911" s="2"/>
    </row>
    <row r="912">
      <c r="P912" s="2"/>
    </row>
    <row r="913">
      <c r="P913" s="2"/>
    </row>
    <row r="914">
      <c r="P914" s="2"/>
    </row>
    <row r="915">
      <c r="P915" s="2"/>
    </row>
    <row r="916">
      <c r="P916" s="2"/>
    </row>
    <row r="917">
      <c r="P917" s="2"/>
    </row>
    <row r="918">
      <c r="P918" s="2"/>
    </row>
    <row r="919">
      <c r="P919" s="2"/>
    </row>
    <row r="920">
      <c r="P920" s="2"/>
    </row>
    <row r="921">
      <c r="P921" s="2"/>
    </row>
    <row r="922">
      <c r="P922" s="2"/>
    </row>
    <row r="923">
      <c r="P923" s="2"/>
    </row>
    <row r="924">
      <c r="P924" s="2"/>
    </row>
    <row r="925">
      <c r="P925" s="2"/>
    </row>
    <row r="926">
      <c r="P926" s="2"/>
    </row>
    <row r="927">
      <c r="P927" s="2"/>
    </row>
    <row r="928">
      <c r="P928" s="2"/>
    </row>
    <row r="929">
      <c r="P929" s="2"/>
    </row>
    <row r="930">
      <c r="P930" s="2"/>
    </row>
    <row r="931">
      <c r="P931" s="2"/>
    </row>
    <row r="932">
      <c r="P932" s="2"/>
    </row>
    <row r="933">
      <c r="P933" s="2"/>
    </row>
    <row r="934">
      <c r="P934" s="2"/>
    </row>
    <row r="935">
      <c r="P935" s="2"/>
    </row>
    <row r="936">
      <c r="P936" s="2"/>
    </row>
    <row r="937">
      <c r="P937" s="2"/>
    </row>
    <row r="938">
      <c r="P938" s="2"/>
    </row>
    <row r="939">
      <c r="P939" s="2"/>
    </row>
    <row r="940">
      <c r="P940" s="2"/>
    </row>
    <row r="941">
      <c r="P941" s="2"/>
    </row>
    <row r="942">
      <c r="P942" s="2"/>
    </row>
    <row r="943">
      <c r="P943" s="2"/>
    </row>
    <row r="944">
      <c r="P944" s="2"/>
    </row>
    <row r="945">
      <c r="P945" s="2"/>
    </row>
    <row r="946">
      <c r="P946" s="2"/>
    </row>
    <row r="947">
      <c r="P947" s="2"/>
    </row>
    <row r="948">
      <c r="P948" s="2"/>
    </row>
    <row r="949">
      <c r="P949" s="2"/>
    </row>
    <row r="950">
      <c r="P950" s="2"/>
    </row>
    <row r="951">
      <c r="P951" s="2"/>
    </row>
    <row r="952">
      <c r="P952" s="2"/>
    </row>
    <row r="953">
      <c r="P953" s="2"/>
    </row>
    <row r="954">
      <c r="P954" s="2"/>
    </row>
    <row r="955">
      <c r="P955" s="2"/>
    </row>
    <row r="956">
      <c r="P956" s="2"/>
    </row>
    <row r="957">
      <c r="P957" s="2"/>
    </row>
    <row r="958">
      <c r="P958" s="2"/>
    </row>
    <row r="959">
      <c r="P959" s="2"/>
    </row>
    <row r="960">
      <c r="P960" s="2"/>
    </row>
    <row r="961">
      <c r="P961" s="2"/>
    </row>
    <row r="962">
      <c r="P962" s="2"/>
    </row>
    <row r="963">
      <c r="P963" s="2"/>
    </row>
    <row r="964">
      <c r="P964" s="2"/>
    </row>
    <row r="965">
      <c r="P965" s="2"/>
    </row>
    <row r="966">
      <c r="P966" s="2"/>
    </row>
    <row r="967">
      <c r="P967" s="2"/>
    </row>
    <row r="968">
      <c r="P968" s="2"/>
    </row>
    <row r="969">
      <c r="P969" s="2"/>
    </row>
    <row r="970">
      <c r="P970" s="2"/>
    </row>
    <row r="971">
      <c r="P971" s="2"/>
    </row>
    <row r="972">
      <c r="P972" s="2"/>
    </row>
    <row r="973">
      <c r="P973" s="2"/>
    </row>
    <row r="974">
      <c r="P974" s="2"/>
    </row>
    <row r="975">
      <c r="P975" s="2"/>
    </row>
    <row r="976">
      <c r="P976" s="2"/>
    </row>
    <row r="977">
      <c r="P977" s="2"/>
    </row>
    <row r="978">
      <c r="P978" s="2"/>
    </row>
    <row r="979">
      <c r="P979" s="2"/>
    </row>
    <row r="980">
      <c r="P980" s="2"/>
    </row>
    <row r="981">
      <c r="P981" s="2"/>
    </row>
    <row r="982">
      <c r="P982" s="2"/>
    </row>
    <row r="983">
      <c r="P983" s="2"/>
    </row>
    <row r="984">
      <c r="P984" s="2"/>
    </row>
    <row r="985">
      <c r="P985" s="2"/>
    </row>
    <row r="986">
      <c r="P986" s="2"/>
    </row>
    <row r="987">
      <c r="P987" s="2"/>
    </row>
    <row r="988">
      <c r="P988" s="2"/>
    </row>
    <row r="989">
      <c r="P989" s="2"/>
    </row>
    <row r="990">
      <c r="P990" s="2"/>
    </row>
    <row r="991">
      <c r="P991" s="2"/>
    </row>
    <row r="992">
      <c r="P992" s="2"/>
    </row>
    <row r="993">
      <c r="P993" s="2"/>
    </row>
    <row r="994">
      <c r="P994" s="2"/>
    </row>
    <row r="995">
      <c r="P995" s="2"/>
    </row>
    <row r="996">
      <c r="P996" s="2"/>
    </row>
    <row r="997">
      <c r="P997" s="2"/>
    </row>
    <row r="998">
      <c r="P998" s="2"/>
    </row>
    <row r="999">
      <c r="P999" s="2"/>
    </row>
    <row r="1000">
      <c r="P1000" s="2"/>
    </row>
    <row r="1001">
      <c r="P1001" s="2"/>
    </row>
    <row r="1002">
      <c r="P1002" s="2"/>
    </row>
    <row r="1003">
      <c r="P1003" s="2"/>
    </row>
    <row r="1004">
      <c r="P1004" s="2"/>
    </row>
    <row r="1005">
      <c r="P1005" s="2"/>
    </row>
    <row r="1006">
      <c r="P1006" s="2"/>
    </row>
    <row r="1007">
      <c r="P1007" s="2"/>
    </row>
    <row r="1008">
      <c r="P1008" s="2"/>
    </row>
    <row r="1009">
      <c r="P1009" s="2"/>
    </row>
    <row r="1010">
      <c r="P1010" s="2"/>
    </row>
  </sheetData>
  <hyperlinks>
    <hyperlink r:id="rId2" ref="B2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5" t="s">
        <v>0</v>
      </c>
    </row>
    <row r="4">
      <c r="B4" s="7" t="s">
        <v>4</v>
      </c>
    </row>
    <row r="5">
      <c r="B5" s="1" t="s">
        <v>5</v>
      </c>
    </row>
    <row r="6">
      <c r="B6" s="1" t="s">
        <v>6</v>
      </c>
    </row>
    <row r="7">
      <c r="B7" s="1" t="s">
        <v>7</v>
      </c>
    </row>
  </sheetData>
  <hyperlinks>
    <hyperlink r:id="rId1" ref="B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25"/>
  </cols>
  <sheetData>
    <row r="2">
      <c r="B2" s="50" t="s">
        <v>196</v>
      </c>
      <c r="C2" s="51"/>
      <c r="D2" s="51"/>
      <c r="E2" s="51"/>
      <c r="F2" s="50" t="s">
        <v>213</v>
      </c>
    </row>
    <row r="3">
      <c r="B3" s="51"/>
      <c r="C3" s="51" t="s">
        <v>214</v>
      </c>
      <c r="D3" s="51"/>
      <c r="E3" s="51"/>
      <c r="F3" s="51"/>
    </row>
    <row r="4">
      <c r="B4" s="51"/>
      <c r="C4" s="51" t="s">
        <v>215</v>
      </c>
      <c r="D4" s="51"/>
      <c r="E4" s="51"/>
      <c r="F4" s="51"/>
    </row>
    <row r="5">
      <c r="B5" s="51"/>
      <c r="C5" s="51" t="s">
        <v>216</v>
      </c>
      <c r="D5" s="51"/>
      <c r="E5" s="51"/>
      <c r="F5" s="51"/>
    </row>
    <row r="6">
      <c r="B6" s="51"/>
      <c r="C6" s="51"/>
      <c r="D6" s="51"/>
      <c r="E6" s="51"/>
      <c r="F6" s="51"/>
    </row>
    <row r="7">
      <c r="B7" s="51" t="s">
        <v>217</v>
      </c>
      <c r="C7" s="51"/>
      <c r="D7" s="51"/>
      <c r="E7" s="51"/>
      <c r="F7" s="51"/>
    </row>
    <row r="8">
      <c r="B8" s="51"/>
      <c r="C8" s="51" t="s">
        <v>218</v>
      </c>
      <c r="D8" s="51"/>
      <c r="E8" s="51"/>
      <c r="F8" s="51"/>
    </row>
    <row r="9">
      <c r="B9" s="51"/>
      <c r="C9" s="52" t="s">
        <v>219</v>
      </c>
      <c r="D9" s="51"/>
      <c r="E9" s="51"/>
      <c r="F9" s="51"/>
    </row>
    <row r="10">
      <c r="B10" s="51"/>
      <c r="C10" s="51" t="s">
        <v>220</v>
      </c>
      <c r="D10" s="51"/>
      <c r="E10" s="51"/>
      <c r="F10" s="51"/>
    </row>
    <row r="11">
      <c r="B11" s="51"/>
      <c r="C11" s="51"/>
      <c r="D11" s="52" t="s">
        <v>221</v>
      </c>
      <c r="E11" s="51"/>
      <c r="F11" s="51"/>
    </row>
    <row r="12">
      <c r="B12" s="51"/>
      <c r="C12" s="51" t="s">
        <v>222</v>
      </c>
      <c r="D12" s="51"/>
      <c r="E12" s="51"/>
      <c r="F12" s="51"/>
    </row>
    <row r="13">
      <c r="B13" s="51"/>
      <c r="C13" s="51"/>
      <c r="D13" s="51" t="s">
        <v>223</v>
      </c>
      <c r="E13" s="51"/>
      <c r="F13" s="51"/>
    </row>
    <row r="14">
      <c r="B14" s="51"/>
      <c r="C14" s="51"/>
      <c r="D14" s="51" t="s">
        <v>224</v>
      </c>
      <c r="E14" s="51"/>
      <c r="F14" s="51"/>
    </row>
    <row r="15">
      <c r="B15" s="51"/>
      <c r="C15" s="51"/>
      <c r="D15" s="51" t="s">
        <v>225</v>
      </c>
      <c r="E15" s="51"/>
      <c r="F15" s="51"/>
    </row>
    <row r="18">
      <c r="B18" s="1" t="s">
        <v>226</v>
      </c>
    </row>
  </sheetData>
  <hyperlinks>
    <hyperlink r:id="rId1" ref="B2"/>
    <hyperlink r:id="rId2" ref="F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3" width="6.38"/>
    <col customWidth="1" min="4" max="4" width="16.13"/>
    <col customWidth="1" min="5" max="5" width="7.25"/>
    <col customWidth="1" min="6" max="11" width="6.38"/>
    <col customWidth="1" min="12" max="12" width="4.75"/>
    <col customWidth="1" min="13" max="13" width="11.25"/>
    <col customWidth="1" min="14" max="14" width="11.0"/>
  </cols>
  <sheetData>
    <row r="1">
      <c r="D1" s="2"/>
    </row>
    <row r="2">
      <c r="D2" s="2"/>
      <c r="L2" s="1" t="s">
        <v>227</v>
      </c>
    </row>
    <row r="3">
      <c r="D3" s="2"/>
    </row>
    <row r="4">
      <c r="B4" s="6" t="s">
        <v>228</v>
      </c>
      <c r="D4" s="2"/>
    </row>
    <row r="5">
      <c r="B5" s="6" t="s">
        <v>229</v>
      </c>
      <c r="D5" s="2"/>
    </row>
    <row r="6">
      <c r="B6" s="53"/>
      <c r="D6" s="2"/>
    </row>
    <row r="7">
      <c r="A7" s="2"/>
      <c r="B7" s="8" t="s">
        <v>17</v>
      </c>
      <c r="C7" s="8"/>
      <c r="E7" s="8"/>
      <c r="F7" s="8" t="s">
        <v>230</v>
      </c>
      <c r="G7" s="8" t="s">
        <v>231</v>
      </c>
      <c r="H7" s="8" t="s">
        <v>10</v>
      </c>
      <c r="I7" s="8"/>
      <c r="J7" s="8" t="s">
        <v>230</v>
      </c>
    </row>
    <row r="8">
      <c r="A8" s="10" t="s">
        <v>18</v>
      </c>
      <c r="B8" s="10" t="s">
        <v>232</v>
      </c>
      <c r="C8" s="10" t="s">
        <v>233</v>
      </c>
      <c r="D8" s="13" t="s">
        <v>21</v>
      </c>
      <c r="E8" s="10" t="s">
        <v>22</v>
      </c>
      <c r="F8" s="10" t="s">
        <v>234</v>
      </c>
      <c r="G8" s="10" t="s">
        <v>235</v>
      </c>
      <c r="H8" s="10" t="s">
        <v>25</v>
      </c>
      <c r="I8" s="10" t="s">
        <v>236</v>
      </c>
      <c r="J8" s="10" t="s">
        <v>237</v>
      </c>
      <c r="L8" s="54"/>
      <c r="M8" s="54"/>
      <c r="N8" s="54"/>
    </row>
    <row r="9">
      <c r="A9" s="8" t="s">
        <v>238</v>
      </c>
      <c r="B9" s="2"/>
      <c r="C9" s="2"/>
      <c r="D9" s="1" t="s">
        <v>131</v>
      </c>
      <c r="E9" s="8" t="s">
        <v>50</v>
      </c>
      <c r="F9" s="2"/>
      <c r="G9" s="2"/>
      <c r="H9" s="2"/>
    </row>
    <row r="10">
      <c r="A10" s="2"/>
      <c r="B10" s="8">
        <v>0.016</v>
      </c>
      <c r="C10" s="8" t="s">
        <v>60</v>
      </c>
      <c r="D10" s="1" t="s">
        <v>61</v>
      </c>
      <c r="E10" s="8" t="s">
        <v>239</v>
      </c>
      <c r="F10" s="8">
        <v>2.0</v>
      </c>
      <c r="G10" s="8">
        <v>150.0</v>
      </c>
      <c r="H10" s="8">
        <v>1.0</v>
      </c>
      <c r="I10" s="8" t="s">
        <v>240</v>
      </c>
      <c r="J10" s="8">
        <v>1.0</v>
      </c>
    </row>
    <row r="11">
      <c r="A11" s="2"/>
      <c r="B11" s="8">
        <v>0.02</v>
      </c>
      <c r="C11" s="8" t="s">
        <v>71</v>
      </c>
      <c r="D11" s="1" t="s">
        <v>83</v>
      </c>
      <c r="E11" s="55" t="s">
        <v>153</v>
      </c>
      <c r="F11" s="8">
        <v>3.0</v>
      </c>
      <c r="G11" s="8">
        <v>90.0</v>
      </c>
      <c r="H11" s="8">
        <v>1.0</v>
      </c>
      <c r="I11" s="8" t="s">
        <v>240</v>
      </c>
      <c r="J11" s="8">
        <v>1.0</v>
      </c>
      <c r="L11" s="1" t="s">
        <v>241</v>
      </c>
    </row>
    <row r="12">
      <c r="A12" s="2"/>
      <c r="B12" s="8"/>
      <c r="C12" s="8"/>
      <c r="D12" s="1" t="s">
        <v>242</v>
      </c>
      <c r="F12" s="8"/>
      <c r="G12" s="8"/>
      <c r="H12" s="8"/>
      <c r="I12" s="8"/>
      <c r="J12" s="8"/>
    </row>
    <row r="13">
      <c r="A13" s="2"/>
      <c r="B13" s="8">
        <v>0.03</v>
      </c>
      <c r="C13" s="8" t="s">
        <v>243</v>
      </c>
      <c r="D13" s="1" t="s">
        <v>244</v>
      </c>
      <c r="E13" s="55" t="s">
        <v>143</v>
      </c>
      <c r="F13" s="8">
        <v>4.5</v>
      </c>
      <c r="G13" s="8">
        <v>15.0</v>
      </c>
      <c r="H13" s="8">
        <v>1.0</v>
      </c>
      <c r="I13" s="8" t="s">
        <v>240</v>
      </c>
      <c r="J13" s="8">
        <v>1.0</v>
      </c>
    </row>
    <row r="14">
      <c r="A14" s="2"/>
      <c r="B14" s="8"/>
      <c r="C14" s="8"/>
      <c r="D14" s="1" t="s">
        <v>245</v>
      </c>
      <c r="F14" s="8"/>
      <c r="G14" s="8"/>
      <c r="H14" s="8"/>
      <c r="I14" s="8"/>
      <c r="J14" s="8"/>
    </row>
    <row r="15">
      <c r="A15" s="2"/>
      <c r="B15" s="8"/>
      <c r="C15" s="8"/>
      <c r="D15" s="1" t="s">
        <v>242</v>
      </c>
      <c r="F15" s="8"/>
      <c r="G15" s="8"/>
      <c r="H15" s="8"/>
      <c r="I15" s="8"/>
      <c r="J15" s="8"/>
    </row>
    <row r="16">
      <c r="A16" s="2"/>
      <c r="B16" s="8">
        <v>0.6</v>
      </c>
      <c r="C16" s="8" t="s">
        <v>94</v>
      </c>
      <c r="D16" s="1" t="s">
        <v>246</v>
      </c>
      <c r="E16" s="55" t="s">
        <v>153</v>
      </c>
      <c r="F16" s="8">
        <v>470.0</v>
      </c>
      <c r="G16" s="8">
        <v>-200.0</v>
      </c>
      <c r="H16" s="8">
        <v>2.0</v>
      </c>
      <c r="I16" s="8" t="s">
        <v>247</v>
      </c>
      <c r="J16" s="8">
        <v>5.0</v>
      </c>
    </row>
    <row r="17">
      <c r="A17" s="2"/>
      <c r="B17" s="8"/>
      <c r="C17" s="8"/>
      <c r="D17" s="56" t="s">
        <v>248</v>
      </c>
      <c r="F17" s="8"/>
      <c r="I17" s="8"/>
      <c r="J17" s="8"/>
      <c r="K17" s="2"/>
    </row>
    <row r="18">
      <c r="A18" s="2"/>
      <c r="B18" s="8">
        <v>1.4</v>
      </c>
      <c r="C18" s="8"/>
      <c r="D18" s="56" t="s">
        <v>249</v>
      </c>
      <c r="F18" s="8">
        <v>1700.0</v>
      </c>
      <c r="I18" s="8"/>
      <c r="J18" s="8">
        <v>7.5</v>
      </c>
      <c r="K18" s="2"/>
    </row>
    <row r="19">
      <c r="A19" s="2"/>
      <c r="B19" s="8">
        <v>2.3</v>
      </c>
      <c r="C19" s="8"/>
      <c r="F19" s="8">
        <v>3500.0</v>
      </c>
      <c r="I19" s="8"/>
      <c r="J19" s="8">
        <v>9.0</v>
      </c>
      <c r="K19" s="2"/>
    </row>
    <row r="20">
      <c r="B20" s="2"/>
      <c r="C20" s="2"/>
      <c r="D20" s="2"/>
      <c r="I20" s="2"/>
      <c r="J20" s="2"/>
      <c r="K20" s="2"/>
      <c r="L20" s="1" t="s">
        <v>250</v>
      </c>
    </row>
    <row r="21">
      <c r="B21" s="2"/>
      <c r="C21" s="2"/>
      <c r="D21" s="2"/>
      <c r="I21" s="2"/>
      <c r="J21" s="2"/>
      <c r="K21" s="2"/>
    </row>
    <row r="22">
      <c r="B22" s="2"/>
      <c r="C22" s="2"/>
      <c r="D22" s="2"/>
      <c r="K22" s="2"/>
    </row>
    <row r="23">
      <c r="B23" s="2"/>
      <c r="C23" s="2"/>
      <c r="D23" s="2"/>
      <c r="I23" s="2"/>
      <c r="J23" s="2"/>
      <c r="K23" s="2"/>
    </row>
    <row r="24">
      <c r="A24" s="2"/>
      <c r="B24" s="2"/>
      <c r="C24" s="2"/>
      <c r="D24" s="2"/>
      <c r="I24" s="2"/>
      <c r="J24" s="2"/>
      <c r="K24" s="2"/>
    </row>
    <row r="25">
      <c r="A25" s="2"/>
      <c r="B25" s="2"/>
      <c r="C25" s="2"/>
      <c r="D25" s="2"/>
      <c r="I25" s="2"/>
      <c r="J25" s="2"/>
      <c r="K25" s="2"/>
    </row>
    <row r="26">
      <c r="A26" s="2"/>
      <c r="B26" s="2"/>
      <c r="C26" s="2"/>
      <c r="D26" s="2"/>
      <c r="I26" s="2"/>
      <c r="J26" s="2"/>
      <c r="K26" s="2"/>
    </row>
    <row r="27">
      <c r="A27" s="2"/>
      <c r="B27" s="2"/>
      <c r="C27" s="2"/>
      <c r="D27" s="2"/>
      <c r="I27" s="2"/>
      <c r="J27" s="2"/>
      <c r="K27" s="2"/>
    </row>
    <row r="28">
      <c r="A28" s="2"/>
      <c r="B28" s="2"/>
      <c r="C28" s="2"/>
      <c r="D28" s="2"/>
      <c r="I28" s="2"/>
      <c r="J28" s="2"/>
      <c r="K28" s="2"/>
    </row>
    <row r="29">
      <c r="A29" s="2"/>
      <c r="B29" s="2"/>
      <c r="C29" s="2"/>
      <c r="D29" s="2"/>
      <c r="I29" s="2"/>
      <c r="J29" s="2"/>
      <c r="K29" s="2"/>
    </row>
    <row r="30">
      <c r="A30" s="2"/>
      <c r="B30" s="2"/>
      <c r="C30" s="2"/>
      <c r="D30" s="2"/>
      <c r="I30" s="2"/>
      <c r="J30" s="2"/>
      <c r="K30" s="2"/>
    </row>
    <row r="31">
      <c r="B31" s="2"/>
      <c r="C31" s="2"/>
      <c r="D31" s="2"/>
      <c r="I31" s="2"/>
      <c r="J31" s="2"/>
      <c r="K31" s="2"/>
    </row>
    <row r="32">
      <c r="B32" s="2"/>
      <c r="C32" s="2"/>
      <c r="D32" s="2"/>
      <c r="I32" s="2"/>
      <c r="J32" s="2"/>
      <c r="K32" s="2"/>
    </row>
    <row r="33">
      <c r="B33" s="2"/>
      <c r="C33" s="2"/>
      <c r="D33" s="2"/>
      <c r="I33" s="2"/>
      <c r="J33" s="2"/>
      <c r="K33" s="2"/>
    </row>
    <row r="34">
      <c r="B34" s="2"/>
      <c r="C34" s="2"/>
      <c r="D34" s="2"/>
      <c r="I34" s="2"/>
      <c r="J34" s="2"/>
      <c r="K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  <row r="1002">
      <c r="D1002" s="2"/>
    </row>
    <row r="1003">
      <c r="D1003" s="2"/>
    </row>
    <row r="1004">
      <c r="D1004" s="2"/>
    </row>
  </sheetData>
  <mergeCells count="4">
    <mergeCell ref="E11:E12"/>
    <mergeCell ref="E13:E15"/>
    <mergeCell ref="E16:E19"/>
    <mergeCell ref="D18:D19"/>
  </mergeCells>
  <hyperlinks>
    <hyperlink r:id="rId2" ref="B4"/>
    <hyperlink r:id="rId3" ref="B5"/>
  </hyperlink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7" width="2.75"/>
  </cols>
  <sheetData>
    <row r="1">
      <c r="A1" s="33"/>
      <c r="B1" s="33"/>
      <c r="C1" s="33"/>
      <c r="D1" s="33"/>
      <c r="E1" s="33"/>
      <c r="F1" s="3" t="s">
        <v>251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>
      <c r="A2" s="33"/>
      <c r="B2" s="33"/>
      <c r="C2" s="33"/>
      <c r="D2" s="33"/>
      <c r="E2" s="33"/>
      <c r="F2" s="32" t="s">
        <v>252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AA2" s="57" t="s">
        <v>253</v>
      </c>
      <c r="AB2" s="1" t="s">
        <v>254</v>
      </c>
      <c r="AD2" s="33"/>
      <c r="AE2" s="33"/>
    </row>
    <row r="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Y3" s="33"/>
      <c r="Z3" s="58"/>
      <c r="AA3" s="59" t="s">
        <v>255</v>
      </c>
      <c r="AB3" s="17" t="s">
        <v>256</v>
      </c>
      <c r="AD3" s="33"/>
      <c r="AE3" s="33"/>
    </row>
    <row r="4">
      <c r="A4" s="33"/>
      <c r="B4" s="33"/>
      <c r="C4" s="33"/>
      <c r="D4" s="33"/>
      <c r="E4" s="33"/>
      <c r="F4" s="33"/>
      <c r="G4" s="33"/>
      <c r="H4" s="4" t="s">
        <v>257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AC4" s="33"/>
      <c r="AD4" s="33"/>
      <c r="AE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Z5" s="17" t="s">
        <v>258</v>
      </c>
      <c r="AB5" s="1" t="s">
        <v>259</v>
      </c>
      <c r="AC5" s="33"/>
      <c r="AD5" s="33"/>
      <c r="AE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58"/>
      <c r="AA6" s="59" t="s">
        <v>255</v>
      </c>
      <c r="AB6" s="60" t="s">
        <v>260</v>
      </c>
      <c r="AC6" s="33"/>
      <c r="AD6" s="33"/>
      <c r="AE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AB7" s="1"/>
      <c r="AC7" s="33"/>
      <c r="AD7" s="33"/>
      <c r="AE7" s="33"/>
    </row>
    <row r="8">
      <c r="A8" s="33"/>
      <c r="B8" s="33"/>
      <c r="C8" s="33"/>
      <c r="D8" s="33"/>
      <c r="E8" s="33"/>
      <c r="F8" s="33"/>
      <c r="G8" s="33"/>
      <c r="H8" s="61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AC8" s="62"/>
      <c r="AD8" s="62"/>
      <c r="AE8" s="62"/>
    </row>
    <row r="9">
      <c r="A9" s="33"/>
      <c r="B9" s="33"/>
      <c r="C9" s="33"/>
      <c r="D9" s="33"/>
      <c r="E9" s="33"/>
      <c r="F9" s="33"/>
      <c r="G9" s="33"/>
      <c r="H9" s="61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>
      <c r="A10" s="33"/>
      <c r="B10" s="33"/>
      <c r="C10" s="33"/>
      <c r="D10" s="33"/>
      <c r="E10" s="33"/>
      <c r="F10" s="33"/>
      <c r="G10" s="33"/>
      <c r="H10" s="61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B10" s="33"/>
      <c r="AC10" s="33"/>
      <c r="AD10" s="33"/>
      <c r="AE10" s="33"/>
    </row>
    <row r="11">
      <c r="A11" s="33"/>
      <c r="B11" s="33"/>
      <c r="C11" s="33"/>
      <c r="D11" s="33"/>
      <c r="E11" s="33"/>
      <c r="F11" s="33"/>
      <c r="G11" s="33"/>
      <c r="H11" s="61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V11" s="33"/>
      <c r="W11" s="33"/>
      <c r="X11" s="33"/>
      <c r="Y11" s="33"/>
      <c r="Z11" s="33"/>
      <c r="AA11" s="33"/>
      <c r="AB11" s="33"/>
      <c r="AC11" s="62"/>
      <c r="AD11" s="62"/>
      <c r="AE11" s="62"/>
    </row>
    <row r="12">
      <c r="A12" s="33"/>
      <c r="B12" s="33"/>
      <c r="C12" s="33"/>
      <c r="D12" s="33"/>
      <c r="E12" s="33"/>
      <c r="F12" s="33"/>
      <c r="G12" s="33"/>
      <c r="H12" s="61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W12" s="33"/>
      <c r="X12" s="33"/>
      <c r="Y12" s="33"/>
      <c r="Z12" s="33"/>
      <c r="AA12" s="33"/>
      <c r="AB12" s="33"/>
      <c r="AC12" s="62"/>
      <c r="AD12" s="62"/>
      <c r="AE12" s="62"/>
    </row>
    <row r="13">
      <c r="A13" s="33"/>
      <c r="B13" s="33"/>
      <c r="C13" s="33"/>
      <c r="D13" s="33"/>
      <c r="E13" s="33"/>
      <c r="F13" s="33"/>
      <c r="G13" s="33"/>
      <c r="H13" s="63" t="s">
        <v>261</v>
      </c>
      <c r="I13" s="64"/>
      <c r="J13" s="33" t="s">
        <v>262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 t="s">
        <v>263</v>
      </c>
      <c r="W13" s="33"/>
      <c r="X13" s="33"/>
      <c r="Y13" s="33"/>
      <c r="Z13" s="33"/>
      <c r="AA13" s="33"/>
      <c r="AB13" s="33"/>
      <c r="AC13" s="33"/>
      <c r="AD13" s="33"/>
      <c r="AE13" s="33"/>
    </row>
    <row r="14">
      <c r="A14" s="33"/>
      <c r="B14" s="33"/>
      <c r="C14" s="33"/>
      <c r="D14" s="33"/>
      <c r="E14" s="33"/>
      <c r="F14" s="33"/>
      <c r="G14" s="33"/>
      <c r="H14" s="61"/>
      <c r="I14" s="33"/>
      <c r="J14" s="33" t="s">
        <v>264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58"/>
      <c r="X14" s="33"/>
      <c r="Y14" s="33"/>
      <c r="Z14" s="33"/>
      <c r="AA14" s="33"/>
      <c r="AB14" s="33"/>
      <c r="AC14" s="33"/>
      <c r="AD14" s="33"/>
      <c r="AE14" s="33"/>
    </row>
    <row r="15">
      <c r="A15" s="33"/>
      <c r="B15" s="33"/>
      <c r="C15" s="33"/>
      <c r="D15" s="33" t="s">
        <v>265</v>
      </c>
      <c r="E15" s="33"/>
      <c r="F15" s="64"/>
      <c r="G15" s="64"/>
      <c r="H15" s="65"/>
      <c r="I15" s="45" t="s">
        <v>266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45" t="s">
        <v>267</v>
      </c>
      <c r="X15" s="33"/>
      <c r="Y15" s="17" t="s">
        <v>26</v>
      </c>
      <c r="Z15" s="33"/>
      <c r="AA15" s="33"/>
      <c r="AB15" s="33"/>
      <c r="AC15" s="33"/>
      <c r="AD15" s="33"/>
      <c r="AE15" s="33"/>
    </row>
    <row r="16">
      <c r="A16" s="33"/>
      <c r="B16" s="33"/>
      <c r="C16" s="33"/>
      <c r="D16" s="33"/>
      <c r="E16" s="31" t="s">
        <v>268</v>
      </c>
      <c r="F16" s="33"/>
      <c r="G16" s="33"/>
      <c r="H16" s="61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X16" s="33"/>
      <c r="Y16" s="33"/>
      <c r="Z16" s="33"/>
      <c r="AA16" s="33"/>
      <c r="AB16" s="33"/>
      <c r="AC16" s="33"/>
      <c r="AD16" s="33"/>
      <c r="AE16" s="33"/>
    </row>
    <row r="17">
      <c r="A17" s="33"/>
      <c r="B17" s="33"/>
      <c r="C17" s="33"/>
      <c r="D17" s="33"/>
      <c r="E17" s="33"/>
      <c r="F17" s="33"/>
      <c r="G17" s="33"/>
      <c r="H17" s="66" t="s">
        <v>269</v>
      </c>
      <c r="I17" s="33" t="s">
        <v>270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>
      <c r="A18" s="33"/>
      <c r="B18" s="33"/>
      <c r="C18" s="33"/>
      <c r="D18" s="33"/>
      <c r="E18" s="33"/>
      <c r="F18" s="33"/>
      <c r="G18" s="33"/>
      <c r="H18" s="61"/>
      <c r="I18" s="33" t="s">
        <v>271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>
      <c r="A19" s="33"/>
      <c r="B19" s="33"/>
      <c r="C19" s="33"/>
      <c r="D19" s="33"/>
      <c r="E19" s="33"/>
      <c r="F19" s="33"/>
      <c r="G19" s="33"/>
      <c r="H19" s="61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>
      <c r="A20" s="33"/>
      <c r="B20" s="33"/>
      <c r="C20" s="33"/>
      <c r="D20" s="33"/>
      <c r="E20" s="33"/>
      <c r="F20" s="33"/>
      <c r="G20" s="33"/>
      <c r="H20" s="61"/>
      <c r="I20" s="33"/>
      <c r="J20" s="33"/>
      <c r="K20" s="33"/>
      <c r="L20" s="33"/>
      <c r="M20" s="33"/>
      <c r="N20" s="33"/>
      <c r="O20" s="33"/>
      <c r="P20" s="64"/>
      <c r="Q20" s="64"/>
      <c r="R20" s="64"/>
      <c r="S20" s="64"/>
      <c r="T20" s="64"/>
      <c r="U20" s="64"/>
      <c r="V20" s="64"/>
      <c r="W20" s="45" t="s">
        <v>263</v>
      </c>
      <c r="X20" s="33"/>
      <c r="Y20" s="33"/>
      <c r="Z20" s="33"/>
      <c r="AA20" s="33"/>
      <c r="AB20" s="33"/>
      <c r="AC20" s="33"/>
      <c r="AD20" s="33"/>
      <c r="AE20" s="33"/>
    </row>
    <row r="21">
      <c r="A21" s="33"/>
      <c r="B21" s="33"/>
      <c r="C21" s="33"/>
      <c r="D21" s="33"/>
      <c r="E21" s="33"/>
      <c r="F21" s="33"/>
      <c r="G21" s="31" t="s">
        <v>136</v>
      </c>
      <c r="H21" s="65"/>
      <c r="I21" s="33"/>
      <c r="J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45" t="s">
        <v>272</v>
      </c>
      <c r="X21" s="33" t="s">
        <v>273</v>
      </c>
      <c r="Y21" s="33"/>
      <c r="Z21" s="33"/>
      <c r="AA21" s="33"/>
      <c r="AB21" s="33"/>
      <c r="AC21" s="33"/>
      <c r="AD21" s="33"/>
      <c r="AE21" s="33"/>
    </row>
    <row r="22">
      <c r="A22" s="33"/>
      <c r="B22" s="33"/>
      <c r="C22" s="33"/>
      <c r="D22" s="33"/>
      <c r="E22" s="33"/>
      <c r="F22" s="33"/>
      <c r="G22" s="32" t="s">
        <v>274</v>
      </c>
      <c r="H22" s="61"/>
      <c r="I22" s="32" t="s">
        <v>275</v>
      </c>
      <c r="J22" s="33"/>
      <c r="K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>
      <c r="A23" s="33"/>
      <c r="B23" s="33"/>
      <c r="C23" s="33"/>
      <c r="D23" s="33"/>
      <c r="E23" s="33"/>
      <c r="F23" s="33"/>
      <c r="G23" s="33"/>
      <c r="H23" s="61"/>
      <c r="I23" s="33"/>
      <c r="J23" s="33"/>
      <c r="K23" s="33"/>
      <c r="L23" s="45" t="s">
        <v>108</v>
      </c>
      <c r="M23" s="33"/>
      <c r="N23" s="33"/>
      <c r="O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>
      <c r="A24" s="33"/>
      <c r="B24" s="33"/>
      <c r="C24" s="33"/>
      <c r="D24" s="33"/>
      <c r="E24" s="33"/>
      <c r="F24" s="33"/>
      <c r="G24" s="33"/>
      <c r="H24" s="61"/>
      <c r="I24" s="33"/>
      <c r="J24" s="33"/>
      <c r="K24" s="33"/>
      <c r="L24" s="58"/>
      <c r="N24" s="33"/>
      <c r="O24" s="33"/>
      <c r="R24" s="33"/>
      <c r="S24" s="62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</row>
    <row r="25">
      <c r="A25" s="33"/>
      <c r="B25" s="33"/>
      <c r="C25" s="33"/>
      <c r="D25" s="33"/>
      <c r="E25" s="33"/>
      <c r="F25" s="33"/>
      <c r="G25" s="33"/>
      <c r="H25" s="61"/>
      <c r="I25" s="33"/>
      <c r="J25" s="33"/>
      <c r="K25" s="33"/>
      <c r="L25" s="31" t="s">
        <v>277</v>
      </c>
      <c r="M25" s="67" t="str">
        <f>HYPERLINK("http://wikireves.comli.com/spaceop/index.php/Alpha_Centauri","Alpha Centauri")</f>
        <v>Alpha Centauri</v>
      </c>
      <c r="N25" s="33"/>
      <c r="O25" s="33"/>
      <c r="R25" s="62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>
      <c r="A26" s="33"/>
      <c r="B26" s="33"/>
      <c r="C26" s="33"/>
      <c r="D26" s="33"/>
      <c r="E26" s="33"/>
      <c r="F26" s="33"/>
      <c r="G26" s="33"/>
      <c r="H26" s="61"/>
      <c r="I26" s="33"/>
      <c r="J26" s="33"/>
      <c r="K26" s="33"/>
      <c r="L26" s="33"/>
      <c r="M26" s="33"/>
      <c r="N26" s="33"/>
      <c r="O26" s="33"/>
      <c r="Q26" s="32" t="s">
        <v>280</v>
      </c>
      <c r="R26" s="33" t="s">
        <v>281</v>
      </c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>
      <c r="A27" s="33"/>
      <c r="B27" s="33"/>
      <c r="F27" s="33"/>
      <c r="G27" s="33"/>
      <c r="H27" s="61"/>
      <c r="I27" s="68"/>
      <c r="J27" s="68"/>
      <c r="K27" s="68"/>
      <c r="L27" s="68"/>
      <c r="M27" s="68"/>
      <c r="N27" s="68"/>
      <c r="O27" s="31" t="s">
        <v>120</v>
      </c>
      <c r="P27" s="32" t="s">
        <v>283</v>
      </c>
      <c r="Q27" s="69"/>
      <c r="R27" s="70"/>
      <c r="S27" s="71" t="s">
        <v>284</v>
      </c>
      <c r="T27" s="45" t="s">
        <v>285</v>
      </c>
      <c r="U27" s="68"/>
      <c r="V27" s="68"/>
      <c r="W27" s="68"/>
      <c r="X27" s="33"/>
      <c r="Y27" s="33"/>
      <c r="Z27" s="33"/>
      <c r="AA27" s="33"/>
      <c r="AB27" s="33"/>
      <c r="AC27" s="33"/>
      <c r="AD27" s="33"/>
      <c r="AE27" s="33"/>
    </row>
    <row r="28">
      <c r="A28" s="33"/>
      <c r="B28" s="33"/>
      <c r="C28" s="4" t="s">
        <v>286</v>
      </c>
      <c r="D28" s="33"/>
      <c r="F28" s="33"/>
      <c r="G28" s="33"/>
      <c r="H28" s="32" t="s">
        <v>106</v>
      </c>
      <c r="I28" s="33"/>
      <c r="J28" s="33"/>
      <c r="K28" s="33"/>
      <c r="L28" s="33"/>
      <c r="M28" s="33"/>
      <c r="N28" s="33"/>
      <c r="O28" s="72"/>
      <c r="P28" s="73" t="s">
        <v>287</v>
      </c>
      <c r="Q28" s="33"/>
      <c r="R28" s="1" t="s">
        <v>288</v>
      </c>
      <c r="S28" s="33"/>
      <c r="T28" s="1" t="s">
        <v>266</v>
      </c>
      <c r="U28" s="33"/>
      <c r="V28" s="33"/>
      <c r="W28" s="33"/>
      <c r="X28" s="22" t="s">
        <v>289</v>
      </c>
      <c r="Y28" s="33"/>
      <c r="Z28" s="33"/>
      <c r="AA28" s="33"/>
      <c r="AB28" s="33"/>
      <c r="AC28" s="33"/>
      <c r="AD28" s="33"/>
      <c r="AE28" s="33"/>
    </row>
    <row r="29">
      <c r="A29" s="33"/>
      <c r="B29" s="33"/>
      <c r="C29" s="32" t="s">
        <v>290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58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>
      <c r="A30" s="33"/>
      <c r="B30" s="33"/>
      <c r="C30" s="33"/>
      <c r="D30" s="33"/>
      <c r="E30" s="33"/>
      <c r="F30" s="33"/>
      <c r="G30" s="33"/>
      <c r="H30" s="4" t="s">
        <v>291</v>
      </c>
      <c r="I30" s="33"/>
      <c r="J30" s="33"/>
      <c r="K30" s="33"/>
      <c r="L30" s="33"/>
      <c r="M30" s="33"/>
      <c r="N30" s="33"/>
      <c r="O30" s="33"/>
      <c r="P30" s="26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>
      <c r="A31" s="33"/>
      <c r="B31" s="33"/>
      <c r="C31" s="33"/>
      <c r="D31" s="33"/>
      <c r="E31" s="33"/>
      <c r="F31" s="33"/>
      <c r="G31" s="33"/>
      <c r="H31" s="32" t="s">
        <v>295</v>
      </c>
      <c r="I31" s="33"/>
      <c r="J31" s="33"/>
      <c r="K31" s="33"/>
      <c r="L31" s="33"/>
      <c r="M31" s="33"/>
      <c r="N31" s="33"/>
      <c r="O31" s="33"/>
      <c r="P31" s="58"/>
      <c r="Q31" s="33"/>
      <c r="R31" s="33"/>
      <c r="S31" s="33"/>
      <c r="T31" s="33"/>
      <c r="W31" s="33"/>
      <c r="X31" s="33"/>
      <c r="Y31" s="33"/>
      <c r="Z31" s="33"/>
      <c r="AA31" s="33"/>
      <c r="AB31" s="33"/>
      <c r="AC31" s="33"/>
      <c r="AD31" s="33"/>
      <c r="AE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1" t="s">
        <v>297</v>
      </c>
      <c r="Q32" s="33" t="s">
        <v>92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</row>
  </sheetData>
  <mergeCells count="2">
    <mergeCell ref="F1:K1"/>
    <mergeCell ref="F2:K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9.13"/>
  </cols>
  <sheetData>
    <row r="2">
      <c r="I2" s="10" t="s">
        <v>276</v>
      </c>
    </row>
    <row r="56">
      <c r="A56" s="10" t="s">
        <v>278</v>
      </c>
      <c r="R56" s="10" t="s">
        <v>279</v>
      </c>
    </row>
    <row r="80">
      <c r="I80" s="10" t="s">
        <v>282</v>
      </c>
    </row>
  </sheetData>
  <mergeCells count="2">
    <mergeCell ref="I2:J2"/>
    <mergeCell ref="I80:J8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4" width="5.13"/>
    <col customWidth="1" min="5" max="5" width="6.88"/>
    <col customWidth="1" min="6" max="6" width="7.13"/>
    <col customWidth="1" min="7" max="7" width="5.75"/>
    <col customWidth="1" min="8" max="8" width="7.25"/>
    <col customWidth="1" min="9" max="23" width="3.88"/>
    <col customWidth="1" min="24" max="31" width="5.13"/>
  </cols>
  <sheetData>
    <row r="1">
      <c r="A1" s="33"/>
      <c r="B1" s="23"/>
      <c r="C1" s="33"/>
      <c r="D1" s="33"/>
      <c r="E1" s="33"/>
      <c r="F1" s="33"/>
      <c r="G1" s="33"/>
      <c r="H1" s="33"/>
      <c r="I1" s="33"/>
      <c r="J1" s="33"/>
      <c r="K1" s="33"/>
      <c r="L1" s="33"/>
      <c r="O1" s="33"/>
      <c r="P1" s="33"/>
      <c r="Q1" s="23"/>
      <c r="R1" s="23"/>
      <c r="S1" s="23"/>
      <c r="T1" s="33"/>
      <c r="U1" s="33"/>
      <c r="V1" s="33"/>
      <c r="W1" s="3"/>
      <c r="X1" s="23"/>
      <c r="Y1" s="22"/>
    </row>
    <row r="2">
      <c r="A2" s="33"/>
      <c r="B2" s="23"/>
      <c r="C2" s="33"/>
      <c r="D2" s="21" t="s">
        <v>10</v>
      </c>
      <c r="E2" s="21" t="s">
        <v>292</v>
      </c>
      <c r="F2" s="21" t="s">
        <v>293</v>
      </c>
      <c r="G2" s="8" t="s">
        <v>294</v>
      </c>
      <c r="H2" s="33"/>
      <c r="J2" s="33"/>
      <c r="K2" s="33"/>
      <c r="L2" s="13" t="s">
        <v>296</v>
      </c>
      <c r="N2" s="33"/>
      <c r="O2" s="33"/>
      <c r="P2" s="23"/>
      <c r="Q2" s="23"/>
      <c r="R2" s="23"/>
      <c r="T2" s="33"/>
      <c r="U2" s="33"/>
      <c r="V2" s="33"/>
      <c r="W2" s="3"/>
      <c r="X2" s="23"/>
      <c r="Y2" s="22"/>
    </row>
    <row r="3">
      <c r="A3" s="74"/>
      <c r="C3" s="13" t="s">
        <v>298</v>
      </c>
      <c r="D3" s="13" t="s">
        <v>299</v>
      </c>
      <c r="F3" s="13" t="s">
        <v>36</v>
      </c>
      <c r="G3" s="10" t="s">
        <v>300</v>
      </c>
      <c r="H3" s="25" t="s">
        <v>17</v>
      </c>
      <c r="I3" s="10">
        <v>1.0</v>
      </c>
      <c r="J3" s="10">
        <v>2.0</v>
      </c>
      <c r="K3" s="10">
        <v>3.0</v>
      </c>
      <c r="L3" s="3">
        <v>4.0</v>
      </c>
      <c r="M3" s="10">
        <v>5.0</v>
      </c>
      <c r="N3" s="3">
        <v>10.0</v>
      </c>
      <c r="O3" s="3">
        <v>15.0</v>
      </c>
      <c r="P3" s="3">
        <v>20.0</v>
      </c>
      <c r="Q3" s="3">
        <v>30.0</v>
      </c>
      <c r="R3" s="3">
        <v>40.0</v>
      </c>
      <c r="X3" s="34"/>
      <c r="Y3" s="32"/>
      <c r="Z3" s="45"/>
    </row>
    <row r="4">
      <c r="A4" s="9"/>
      <c r="B4" s="13" t="s">
        <v>301</v>
      </c>
      <c r="C4" s="75">
        <v>0.01</v>
      </c>
      <c r="D4" s="1">
        <v>0.001</v>
      </c>
      <c r="E4" s="10" t="s">
        <v>302</v>
      </c>
      <c r="H4" s="57" t="s">
        <v>303</v>
      </c>
      <c r="I4" s="76">
        <v>90.0</v>
      </c>
      <c r="J4" s="77">
        <v>130.0</v>
      </c>
      <c r="K4" s="77">
        <v>155.0</v>
      </c>
      <c r="L4" s="77">
        <v>180.0</v>
      </c>
      <c r="M4" s="77">
        <v>200.0</v>
      </c>
      <c r="N4" s="77">
        <v>300.0</v>
      </c>
      <c r="O4" s="78">
        <v>350.0</v>
      </c>
      <c r="P4" s="78">
        <v>400.0</v>
      </c>
      <c r="Q4" s="78">
        <v>500.0</v>
      </c>
      <c r="R4" s="78">
        <v>550.0</v>
      </c>
      <c r="X4" s="21"/>
      <c r="Y4" s="32"/>
      <c r="Z4" s="38"/>
    </row>
    <row r="5">
      <c r="A5" s="21"/>
      <c r="B5" s="79" t="s">
        <v>304</v>
      </c>
      <c r="C5" s="80">
        <v>1.0</v>
      </c>
      <c r="D5" s="14">
        <v>0.1</v>
      </c>
      <c r="E5" s="14">
        <v>10.0</v>
      </c>
      <c r="F5" s="14">
        <v>0.5</v>
      </c>
      <c r="G5" s="81">
        <v>1728.0</v>
      </c>
      <c r="H5" s="82"/>
      <c r="I5" s="83">
        <v>9.0</v>
      </c>
      <c r="J5" s="14">
        <v>13.0</v>
      </c>
      <c r="K5" s="84">
        <v>15.5</v>
      </c>
      <c r="L5" s="14">
        <v>18.0</v>
      </c>
      <c r="M5" s="14">
        <v>20.0</v>
      </c>
      <c r="N5" s="14">
        <v>30.0</v>
      </c>
      <c r="O5" s="14">
        <v>40.0</v>
      </c>
      <c r="P5" s="14">
        <v>50.0</v>
      </c>
      <c r="Q5" s="14">
        <v>70.0</v>
      </c>
      <c r="R5" s="14">
        <v>90.0</v>
      </c>
      <c r="X5" s="32"/>
      <c r="Y5" s="32"/>
      <c r="Z5" s="45"/>
    </row>
    <row r="6">
      <c r="A6" s="21"/>
      <c r="B6" s="13" t="s">
        <v>305</v>
      </c>
      <c r="C6" s="75">
        <v>1.0</v>
      </c>
      <c r="D6" s="8">
        <v>0.2</v>
      </c>
      <c r="E6" s="8">
        <v>10.0</v>
      </c>
      <c r="F6" s="8">
        <v>1.0</v>
      </c>
      <c r="G6" s="85">
        <v>3500.0</v>
      </c>
      <c r="H6" s="86"/>
      <c r="I6" s="87">
        <v>7.0</v>
      </c>
      <c r="J6" s="87"/>
      <c r="K6" s="87">
        <v>12.0</v>
      </c>
      <c r="L6" s="87"/>
      <c r="M6" s="87">
        <v>15.0</v>
      </c>
      <c r="N6" s="87">
        <v>20.0</v>
      </c>
      <c r="O6" s="87">
        <v>25.0</v>
      </c>
      <c r="P6" s="87">
        <v>30.0</v>
      </c>
      <c r="Q6" s="87">
        <v>40.0</v>
      </c>
      <c r="R6" s="87">
        <v>50.0</v>
      </c>
      <c r="X6" s="32"/>
      <c r="Y6" s="32"/>
      <c r="Z6" s="45"/>
    </row>
    <row r="7">
      <c r="B7" s="79" t="s">
        <v>306</v>
      </c>
      <c r="C7" s="80">
        <v>1.0</v>
      </c>
      <c r="D7" s="14">
        <v>0.2</v>
      </c>
      <c r="E7" s="14">
        <v>5.0</v>
      </c>
      <c r="F7" s="14">
        <v>0.5</v>
      </c>
      <c r="G7" s="88">
        <v>1728.0</v>
      </c>
      <c r="H7" s="89"/>
      <c r="I7" s="83">
        <v>6.0</v>
      </c>
      <c r="J7" s="14">
        <v>9.0</v>
      </c>
      <c r="K7" s="14">
        <v>11.0</v>
      </c>
      <c r="L7" s="14">
        <v>13.0</v>
      </c>
      <c r="M7" s="14">
        <v>15.0</v>
      </c>
      <c r="N7" s="14">
        <v>25.0</v>
      </c>
      <c r="O7" s="14">
        <v>35.0</v>
      </c>
      <c r="P7" s="14">
        <v>45.0</v>
      </c>
      <c r="Q7" s="14">
        <v>65.0</v>
      </c>
      <c r="R7" s="14">
        <v>85.0</v>
      </c>
      <c r="X7" s="32"/>
      <c r="Y7" s="32"/>
      <c r="Z7" s="45"/>
    </row>
    <row r="8">
      <c r="A8" s="21"/>
      <c r="B8" s="13" t="s">
        <v>307</v>
      </c>
      <c r="C8" s="75">
        <v>1.0</v>
      </c>
      <c r="D8" s="8">
        <v>0.4</v>
      </c>
      <c r="E8" s="8">
        <v>5.0</v>
      </c>
      <c r="F8" s="8">
        <v>1.0</v>
      </c>
      <c r="G8" s="85">
        <v>3500.0</v>
      </c>
      <c r="H8" s="57"/>
      <c r="I8" s="90">
        <v>4.0</v>
      </c>
      <c r="J8" s="8">
        <v>6.0</v>
      </c>
      <c r="K8" s="8">
        <v>8.0</v>
      </c>
      <c r="L8" s="8">
        <v>9.0</v>
      </c>
      <c r="M8" s="8">
        <v>10.0</v>
      </c>
      <c r="N8" s="8">
        <v>15.0</v>
      </c>
      <c r="O8" s="8">
        <v>20.0</v>
      </c>
      <c r="P8" s="8">
        <v>25.0</v>
      </c>
      <c r="Q8" s="8">
        <v>35.0</v>
      </c>
      <c r="R8" s="8">
        <v>45.0</v>
      </c>
      <c r="X8" s="32"/>
      <c r="Y8" s="32"/>
      <c r="Z8" s="45"/>
    </row>
    <row r="9">
      <c r="A9" s="21"/>
      <c r="B9" s="79" t="s">
        <v>308</v>
      </c>
      <c r="C9" s="80">
        <v>1.0</v>
      </c>
      <c r="D9" s="14">
        <v>5.0</v>
      </c>
      <c r="E9" s="14">
        <v>1.0</v>
      </c>
      <c r="F9" s="14">
        <v>2.5</v>
      </c>
      <c r="G9" s="88">
        <v>8600.0</v>
      </c>
      <c r="H9" s="89"/>
      <c r="I9" s="84">
        <v>1.0</v>
      </c>
      <c r="J9" s="84">
        <v>2.0</v>
      </c>
      <c r="K9" s="84">
        <v>2.0</v>
      </c>
      <c r="L9" s="84">
        <v>3.0</v>
      </c>
      <c r="M9" s="84">
        <v>3.0</v>
      </c>
      <c r="N9" s="84">
        <v>5.0</v>
      </c>
      <c r="O9" s="84">
        <v>7.0</v>
      </c>
      <c r="P9" s="84">
        <v>9.0</v>
      </c>
      <c r="Q9" s="84">
        <v>13.0</v>
      </c>
      <c r="R9" s="84">
        <v>17.0</v>
      </c>
      <c r="X9" s="32"/>
      <c r="Y9" s="32"/>
      <c r="Z9" s="45"/>
    </row>
    <row r="10">
      <c r="A10" s="21"/>
      <c r="B10" s="13" t="s">
        <v>309</v>
      </c>
      <c r="C10" s="75">
        <v>0.0</v>
      </c>
      <c r="D10" s="8">
        <v>1.0</v>
      </c>
      <c r="E10" s="8">
        <v>2.0</v>
      </c>
      <c r="F10" s="8">
        <v>1.0</v>
      </c>
      <c r="G10" s="85">
        <v>3500.0</v>
      </c>
      <c r="H10" s="57"/>
      <c r="I10" s="90">
        <f t="shared" ref="I10:R10" si="1">2+2+I3-2</f>
        <v>3</v>
      </c>
      <c r="J10" s="8">
        <f t="shared" si="1"/>
        <v>4</v>
      </c>
      <c r="K10" s="8">
        <f t="shared" si="1"/>
        <v>5</v>
      </c>
      <c r="L10" s="8">
        <f t="shared" si="1"/>
        <v>6</v>
      </c>
      <c r="M10" s="8">
        <f t="shared" si="1"/>
        <v>7</v>
      </c>
      <c r="N10" s="8">
        <f t="shared" si="1"/>
        <v>12</v>
      </c>
      <c r="O10" s="8">
        <f t="shared" si="1"/>
        <v>17</v>
      </c>
      <c r="P10" s="8">
        <f t="shared" si="1"/>
        <v>22</v>
      </c>
      <c r="Q10" s="8">
        <f t="shared" si="1"/>
        <v>32</v>
      </c>
      <c r="R10" s="8">
        <f t="shared" si="1"/>
        <v>42</v>
      </c>
      <c r="X10" s="32"/>
      <c r="Y10" s="32"/>
      <c r="Z10" s="45"/>
    </row>
    <row r="11">
      <c r="A11" s="21"/>
      <c r="B11" s="79" t="s">
        <v>310</v>
      </c>
      <c r="C11" s="80">
        <v>0.0</v>
      </c>
      <c r="D11" s="14">
        <v>1.0</v>
      </c>
      <c r="E11" s="14">
        <v>5.0</v>
      </c>
      <c r="F11" s="14">
        <v>1.0</v>
      </c>
      <c r="G11" s="88">
        <v>8600.0</v>
      </c>
      <c r="H11" s="82"/>
      <c r="I11" s="83"/>
      <c r="J11" s="14"/>
      <c r="K11" s="14"/>
      <c r="L11" s="14"/>
      <c r="M11" s="14">
        <v>6.0</v>
      </c>
      <c r="N11" s="14">
        <v>9.0</v>
      </c>
      <c r="O11" s="14">
        <v>11.0</v>
      </c>
      <c r="P11" s="14">
        <v>13.0</v>
      </c>
      <c r="Q11" s="14">
        <v>17.0</v>
      </c>
      <c r="R11" s="14">
        <v>21.0</v>
      </c>
      <c r="X11" s="32"/>
      <c r="Y11" s="32"/>
      <c r="Z11" s="45"/>
    </row>
    <row r="12">
      <c r="A12" s="21"/>
      <c r="B12" s="13" t="s">
        <v>311</v>
      </c>
      <c r="C12" s="75">
        <v>0.0</v>
      </c>
      <c r="D12" s="8">
        <v>40.0</v>
      </c>
      <c r="E12" s="8">
        <v>1.0</v>
      </c>
      <c r="F12" s="8">
        <v>20.0</v>
      </c>
      <c r="G12" s="57" t="s">
        <v>312</v>
      </c>
      <c r="H12" s="57"/>
      <c r="I12" s="91">
        <v>0.0</v>
      </c>
      <c r="J12" s="87">
        <v>1.0</v>
      </c>
      <c r="K12" s="87"/>
      <c r="L12" s="87"/>
      <c r="M12" s="87"/>
      <c r="N12" s="92">
        <v>1.5</v>
      </c>
      <c r="O12" s="87">
        <v>2.0</v>
      </c>
      <c r="P12" s="87"/>
      <c r="Q12" s="87">
        <v>3.0</v>
      </c>
      <c r="R12" s="87"/>
      <c r="X12" s="32"/>
      <c r="Y12" s="32"/>
      <c r="Z12" s="45"/>
    </row>
    <row r="13">
      <c r="A13" s="21"/>
      <c r="B13" s="79" t="s">
        <v>27</v>
      </c>
      <c r="C13" s="80">
        <v>0.0</v>
      </c>
      <c r="D13" s="14">
        <v>1.0</v>
      </c>
      <c r="E13" s="14">
        <v>100.0</v>
      </c>
      <c r="F13" s="14">
        <v>50.0</v>
      </c>
      <c r="G13" s="82" t="s">
        <v>313</v>
      </c>
      <c r="H13" s="89"/>
      <c r="I13" s="84">
        <v>2.0</v>
      </c>
      <c r="J13" s="84">
        <v>3.0</v>
      </c>
      <c r="K13" s="84"/>
      <c r="L13" s="84">
        <v>4.0</v>
      </c>
      <c r="M13" s="84"/>
      <c r="N13" s="84">
        <v>6.0</v>
      </c>
      <c r="O13" s="84">
        <v>8.0</v>
      </c>
      <c r="P13" s="84">
        <v>9.0</v>
      </c>
      <c r="Q13" s="84">
        <v>11.0</v>
      </c>
      <c r="R13" s="84">
        <v>13.0</v>
      </c>
      <c r="X13" s="32"/>
      <c r="Y13" s="32"/>
      <c r="Z13" s="45"/>
    </row>
    <row r="14">
      <c r="X14" s="32"/>
      <c r="Y14" s="33"/>
    </row>
    <row r="15">
      <c r="G15" s="33"/>
      <c r="H15" s="33"/>
      <c r="I15" s="33"/>
      <c r="L15" s="33"/>
      <c r="Q15" s="33"/>
      <c r="R15" s="17"/>
      <c r="S15" s="21"/>
      <c r="X15" s="21"/>
      <c r="Y15" s="21"/>
      <c r="Z15" s="45"/>
    </row>
    <row r="16">
      <c r="B16" s="93" t="s">
        <v>314</v>
      </c>
      <c r="C16" s="33"/>
      <c r="D16" s="1" t="s">
        <v>315</v>
      </c>
      <c r="F16" s="1" t="s">
        <v>316</v>
      </c>
      <c r="G16" s="17"/>
      <c r="H16" s="17"/>
      <c r="I16" s="21" t="s">
        <v>317</v>
      </c>
      <c r="J16" s="32"/>
      <c r="K16" s="32"/>
      <c r="L16" s="21" t="s">
        <v>318</v>
      </c>
      <c r="M16" s="32"/>
      <c r="N16" s="21"/>
      <c r="O16" s="21" t="s">
        <v>319</v>
      </c>
      <c r="P16" s="32"/>
      <c r="Q16" s="21" t="s">
        <v>320</v>
      </c>
      <c r="R16" s="32"/>
      <c r="S16" s="21" t="s">
        <v>321</v>
      </c>
      <c r="X16" s="32"/>
      <c r="Y16" s="32"/>
      <c r="Z16" s="17"/>
    </row>
    <row r="17">
      <c r="B17" s="38"/>
      <c r="C17" s="33"/>
      <c r="F17" s="33"/>
      <c r="O17" s="33"/>
      <c r="P17" s="28"/>
      <c r="Q17" s="17"/>
      <c r="R17" s="17"/>
      <c r="S17" s="17"/>
      <c r="T17" s="33"/>
      <c r="U17" s="33"/>
      <c r="V17" s="33"/>
      <c r="W17" s="21"/>
    </row>
    <row r="18">
      <c r="B18" s="13" t="s">
        <v>322</v>
      </c>
      <c r="C18" s="6" t="s">
        <v>323</v>
      </c>
      <c r="O18" s="33"/>
      <c r="P18" s="31"/>
      <c r="U18" s="33"/>
      <c r="V18" s="33"/>
      <c r="W18" s="21"/>
      <c r="X18" s="32"/>
      <c r="Y18" s="17"/>
    </row>
    <row r="19">
      <c r="B19" s="94"/>
      <c r="O19" s="33"/>
      <c r="P19" s="57"/>
      <c r="W19" s="95"/>
      <c r="X19" s="32"/>
      <c r="Y19" s="32"/>
    </row>
    <row r="20">
      <c r="B20" s="38" t="s">
        <v>324</v>
      </c>
      <c r="C20" s="13"/>
      <c r="D20" s="10" t="s">
        <v>10</v>
      </c>
      <c r="E20" s="10" t="s">
        <v>292</v>
      </c>
      <c r="F20" s="10" t="s">
        <v>325</v>
      </c>
      <c r="H20" s="25"/>
      <c r="I20" s="10">
        <v>1.0</v>
      </c>
      <c r="J20" s="10">
        <v>2.0</v>
      </c>
      <c r="K20" s="10">
        <v>3.0</v>
      </c>
      <c r="L20" s="3">
        <v>4.0</v>
      </c>
      <c r="M20" s="10">
        <v>5.0</v>
      </c>
      <c r="N20" s="3">
        <v>10.0</v>
      </c>
      <c r="O20" s="3">
        <v>15.0</v>
      </c>
      <c r="P20" s="3">
        <v>20.0</v>
      </c>
      <c r="Q20" s="3">
        <v>30.0</v>
      </c>
      <c r="R20" s="3">
        <v>40.0</v>
      </c>
      <c r="S20" s="3">
        <v>50.0</v>
      </c>
      <c r="T20" s="96">
        <v>1.0</v>
      </c>
      <c r="Y20" s="8"/>
    </row>
    <row r="21">
      <c r="B21" s="25" t="s">
        <v>326</v>
      </c>
      <c r="C21" s="2"/>
      <c r="D21" s="97">
        <v>0.05</v>
      </c>
      <c r="E21" s="97">
        <v>100.0</v>
      </c>
      <c r="F21" s="28">
        <f>0.01*60*60*24*D21*E21</f>
        <v>4320</v>
      </c>
      <c r="G21" s="1" t="s">
        <v>294</v>
      </c>
      <c r="H21" s="86" t="s">
        <v>303</v>
      </c>
      <c r="I21" s="77">
        <f t="shared" ref="I21:T21" si="2">if(I20-$D$23*2 &lt; 0, I26, $E$21*2+MAX(I20-$D$23*2,0)/$F$22)</f>
        <v>12.66175649</v>
      </c>
      <c r="J21" s="77">
        <f t="shared" si="2"/>
        <v>17.90642775</v>
      </c>
      <c r="K21" s="77">
        <f t="shared" si="2"/>
        <v>21.93080556</v>
      </c>
      <c r="L21" s="77">
        <f t="shared" si="2"/>
        <v>25.32351298</v>
      </c>
      <c r="M21" s="77">
        <f t="shared" si="2"/>
        <v>28.31254823</v>
      </c>
      <c r="N21" s="77">
        <f t="shared" si="2"/>
        <v>40.03998969</v>
      </c>
      <c r="O21" s="77">
        <f t="shared" si="2"/>
        <v>49.03877203</v>
      </c>
      <c r="P21" s="77">
        <f t="shared" si="2"/>
        <v>56.62509646</v>
      </c>
      <c r="Q21" s="77">
        <f t="shared" si="2"/>
        <v>69.35129649</v>
      </c>
      <c r="R21" s="77">
        <f t="shared" si="2"/>
        <v>80.07997939</v>
      </c>
      <c r="S21" s="77">
        <f t="shared" si="2"/>
        <v>89.53213877</v>
      </c>
      <c r="T21" s="107">
        <f t="shared" si="2"/>
        <v>12.66175649</v>
      </c>
      <c r="Y21" s="21"/>
    </row>
    <row r="22">
      <c r="A22" s="108"/>
      <c r="B22" s="109"/>
      <c r="F22" s="110">
        <f>F21/149597870.691*60*60*24</f>
        <v>2.495008774</v>
      </c>
      <c r="G22" s="111" t="s">
        <v>345</v>
      </c>
      <c r="O22" s="33"/>
      <c r="P22" s="32"/>
      <c r="Q22" s="33"/>
      <c r="R22" s="32"/>
      <c r="S22" s="32"/>
      <c r="T22" s="46"/>
      <c r="U22" s="32"/>
      <c r="W22" s="46"/>
      <c r="X22" s="32"/>
      <c r="Y22" s="21"/>
    </row>
    <row r="23">
      <c r="A23" s="108"/>
      <c r="B23" s="109"/>
      <c r="C23" s="28" t="s">
        <v>349</v>
      </c>
      <c r="D23" s="113">
        <f>F22*E21/2</f>
        <v>124.7504387</v>
      </c>
      <c r="E23" s="1" t="s">
        <v>17</v>
      </c>
      <c r="F23" s="114">
        <f>F21/299792.458</f>
        <v>0.01440996891</v>
      </c>
      <c r="G23" s="1" t="s">
        <v>71</v>
      </c>
      <c r="O23" s="33"/>
      <c r="P23" s="32"/>
      <c r="Q23" s="33"/>
      <c r="R23" s="32"/>
      <c r="S23" s="32"/>
      <c r="T23" s="45"/>
      <c r="U23" s="32"/>
      <c r="W23" s="45"/>
      <c r="X23" s="32"/>
    </row>
    <row r="24">
      <c r="A24" s="115"/>
      <c r="B24" s="109"/>
      <c r="F24">
        <f>E21*D21</f>
        <v>5</v>
      </c>
      <c r="G24" s="1" t="s">
        <v>373</v>
      </c>
      <c r="O24" s="33"/>
      <c r="P24" s="32"/>
      <c r="Q24" s="33"/>
      <c r="R24" s="32"/>
      <c r="S24" s="32"/>
      <c r="T24" s="46"/>
      <c r="U24" s="32"/>
      <c r="W24" s="46"/>
      <c r="X24" s="21"/>
      <c r="Y24" s="33"/>
    </row>
    <row r="25">
      <c r="A25" s="33"/>
      <c r="B25" s="109"/>
      <c r="O25" s="33"/>
      <c r="P25" s="33"/>
      <c r="Q25" s="33"/>
      <c r="R25" s="33"/>
      <c r="S25" s="33"/>
      <c r="T25" s="33"/>
      <c r="U25" s="33"/>
      <c r="Y25" s="23"/>
      <c r="Z25" s="3"/>
      <c r="AA25" s="23"/>
    </row>
    <row r="26">
      <c r="B26" s="109"/>
      <c r="H26" s="28" t="s">
        <v>378</v>
      </c>
      <c r="I26" s="113">
        <f t="shared" ref="I26:T26" si="3">20*SQRT(I20/($D$21*86400*86400*1/149597870.691))</f>
        <v>12.66175649</v>
      </c>
      <c r="J26" s="113">
        <f t="shared" si="3"/>
        <v>17.90642775</v>
      </c>
      <c r="K26" s="113">
        <f t="shared" si="3"/>
        <v>21.93080556</v>
      </c>
      <c r="L26" s="113">
        <f t="shared" si="3"/>
        <v>25.32351298</v>
      </c>
      <c r="M26" s="113">
        <f t="shared" si="3"/>
        <v>28.31254823</v>
      </c>
      <c r="N26" s="113">
        <f t="shared" si="3"/>
        <v>40.03998969</v>
      </c>
      <c r="O26" s="113">
        <f t="shared" si="3"/>
        <v>49.03877203</v>
      </c>
      <c r="P26" s="113">
        <f t="shared" si="3"/>
        <v>56.62509646</v>
      </c>
      <c r="Q26" s="113">
        <f t="shared" si="3"/>
        <v>69.35129649</v>
      </c>
      <c r="R26" s="113">
        <f t="shared" si="3"/>
        <v>80.07997939</v>
      </c>
      <c r="S26" s="113">
        <f t="shared" si="3"/>
        <v>89.53213877</v>
      </c>
      <c r="T26" s="113">
        <f t="shared" si="3"/>
        <v>12.66175649</v>
      </c>
      <c r="Z26" s="21"/>
      <c r="AA26" s="29"/>
    </row>
    <row r="27">
      <c r="A27" s="33"/>
      <c r="B27" s="109"/>
      <c r="Z27" s="21"/>
      <c r="AA27" s="29"/>
    </row>
    <row r="28">
      <c r="A28" s="33"/>
      <c r="B28" s="25" t="s">
        <v>390</v>
      </c>
      <c r="D28" s="10" t="s">
        <v>10</v>
      </c>
      <c r="E28" s="10" t="s">
        <v>292</v>
      </c>
      <c r="F28" s="10" t="s">
        <v>325</v>
      </c>
      <c r="H28" s="25"/>
      <c r="I28" s="10">
        <v>1.0</v>
      </c>
      <c r="J28" s="10">
        <v>2.0</v>
      </c>
      <c r="K28" s="10">
        <v>3.0</v>
      </c>
      <c r="L28" s="3">
        <v>4.0</v>
      </c>
      <c r="M28" s="10">
        <v>5.0</v>
      </c>
      <c r="N28" s="3">
        <v>10.0</v>
      </c>
      <c r="O28" s="3">
        <v>15.0</v>
      </c>
      <c r="P28" s="3">
        <v>20.0</v>
      </c>
      <c r="Q28" s="3">
        <v>30.0</v>
      </c>
      <c r="R28" s="3">
        <v>40.0</v>
      </c>
      <c r="S28" s="3">
        <v>50.0</v>
      </c>
      <c r="T28" s="96">
        <v>13.0</v>
      </c>
      <c r="Y28" s="46"/>
      <c r="Z28" s="21"/>
      <c r="AA28" s="29"/>
    </row>
    <row r="29">
      <c r="A29" s="33"/>
      <c r="D29" s="97">
        <v>1.0</v>
      </c>
      <c r="E29" s="97">
        <v>2.0</v>
      </c>
      <c r="F29" s="28">
        <f>0.01*60*60*24*D29*E29</f>
        <v>1728</v>
      </c>
      <c r="G29" s="1" t="s">
        <v>294</v>
      </c>
      <c r="H29" s="86" t="s">
        <v>303</v>
      </c>
      <c r="I29" s="77">
        <f t="shared" ref="I29:T29" si="4">(I28-$D$31-$D$23)/$F$22+$E$21+$E$29</f>
        <v>52.00080019</v>
      </c>
      <c r="J29" s="77">
        <f t="shared" si="4"/>
        <v>52.40160039</v>
      </c>
      <c r="K29" s="77">
        <f t="shared" si="4"/>
        <v>52.80240058</v>
      </c>
      <c r="L29" s="77">
        <f t="shared" si="4"/>
        <v>53.20320077</v>
      </c>
      <c r="M29" s="77">
        <f t="shared" si="4"/>
        <v>53.60400097</v>
      </c>
      <c r="N29" s="77">
        <f t="shared" si="4"/>
        <v>55.60800194</v>
      </c>
      <c r="O29" s="77">
        <f t="shared" si="4"/>
        <v>57.61200291</v>
      </c>
      <c r="P29" s="77">
        <f t="shared" si="4"/>
        <v>59.61600387</v>
      </c>
      <c r="Q29" s="77">
        <f t="shared" si="4"/>
        <v>63.62400581</v>
      </c>
      <c r="R29" s="77">
        <f t="shared" si="4"/>
        <v>67.63200775</v>
      </c>
      <c r="S29" s="77">
        <f t="shared" si="4"/>
        <v>71.64000968</v>
      </c>
      <c r="T29" s="77">
        <f t="shared" si="4"/>
        <v>56.81040252</v>
      </c>
      <c r="Y29" s="45"/>
      <c r="Z29" s="21"/>
      <c r="AA29" s="38"/>
    </row>
    <row r="30">
      <c r="F30" s="110">
        <f>F29/149597870.691*60*60*24</f>
        <v>0.9980035097</v>
      </c>
      <c r="G30" s="111" t="s">
        <v>345</v>
      </c>
      <c r="I30" s="8">
        <v>5.0</v>
      </c>
      <c r="J30" s="8">
        <v>6.0</v>
      </c>
      <c r="K30" s="2"/>
      <c r="L30" s="2"/>
      <c r="M30" s="2"/>
      <c r="N30" s="2"/>
      <c r="O30" s="32"/>
      <c r="P30" s="32"/>
      <c r="Q30" s="32"/>
      <c r="R30" s="32"/>
      <c r="S30" s="32"/>
      <c r="T30" s="119"/>
      <c r="U30" s="32"/>
      <c r="W30" s="46"/>
      <c r="X30" s="32"/>
      <c r="Y30" s="29"/>
      <c r="Z30" s="21"/>
      <c r="AA30" s="43"/>
    </row>
    <row r="31">
      <c r="A31" s="33"/>
      <c r="C31" s="28" t="s">
        <v>349</v>
      </c>
      <c r="D31" s="113">
        <f>F30*E29/2</f>
        <v>0.9980035097</v>
      </c>
      <c r="E31" s="1" t="s">
        <v>17</v>
      </c>
      <c r="F31" s="114">
        <f>F29/299792.458</f>
        <v>0.005763987565</v>
      </c>
      <c r="G31" s="1" t="s">
        <v>71</v>
      </c>
      <c r="O31" s="33"/>
      <c r="P31" s="32"/>
      <c r="Q31" s="33"/>
      <c r="R31" s="32"/>
      <c r="S31" s="32"/>
      <c r="T31" s="45"/>
      <c r="U31" s="32"/>
      <c r="W31" s="45"/>
      <c r="X31" s="32"/>
    </row>
    <row r="32">
      <c r="A32" s="33"/>
      <c r="F32">
        <f>E29*D29</f>
        <v>2</v>
      </c>
      <c r="G32" s="1" t="s">
        <v>373</v>
      </c>
      <c r="O32" s="33"/>
      <c r="P32" s="32"/>
      <c r="Q32" s="33"/>
      <c r="R32" s="32"/>
      <c r="S32" s="32"/>
      <c r="T32" s="46"/>
      <c r="U32" s="32"/>
      <c r="W32" s="46"/>
      <c r="X32" s="21"/>
    </row>
    <row r="33">
      <c r="A33" s="33"/>
      <c r="B33" s="33"/>
      <c r="O33" s="33"/>
      <c r="P33" s="33"/>
      <c r="Q33" s="33"/>
      <c r="R33" s="33"/>
      <c r="S33" s="33"/>
      <c r="T33" s="33"/>
      <c r="U33" s="33"/>
    </row>
    <row r="34">
      <c r="A34" s="33"/>
      <c r="B34" s="33"/>
      <c r="H34" s="28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</row>
    <row r="35">
      <c r="A35" s="33"/>
      <c r="B35" s="33"/>
      <c r="I35" s="120"/>
      <c r="J35" s="120"/>
      <c r="K35" s="120"/>
      <c r="L35" s="120"/>
    </row>
    <row r="36">
      <c r="A36" s="33"/>
      <c r="B36" s="33"/>
      <c r="J36" s="121"/>
      <c r="K36" s="122"/>
      <c r="L36" s="121"/>
      <c r="N36" s="33"/>
    </row>
    <row r="37">
      <c r="A37" s="33"/>
      <c r="B37" s="33"/>
      <c r="J37" s="121"/>
    </row>
    <row r="38">
      <c r="A38" s="33"/>
      <c r="B38" s="33"/>
    </row>
    <row r="39">
      <c r="A39" s="33"/>
      <c r="B39" s="33"/>
    </row>
    <row r="40">
      <c r="N40" s="33"/>
    </row>
    <row r="41">
      <c r="N41" s="33"/>
    </row>
    <row r="42">
      <c r="A42" s="33"/>
      <c r="B42" s="33"/>
      <c r="N42" s="33"/>
    </row>
    <row r="43">
      <c r="A43" s="33"/>
      <c r="B43" s="33"/>
      <c r="N43" s="33"/>
    </row>
    <row r="44">
      <c r="A44" s="33"/>
      <c r="B44" s="33"/>
      <c r="N44" s="33"/>
    </row>
    <row r="45">
      <c r="A45" s="33"/>
      <c r="B45" s="33"/>
      <c r="N45" s="33"/>
    </row>
    <row r="46">
      <c r="A46" s="33"/>
      <c r="B46" s="33"/>
      <c r="N46" s="33"/>
    </row>
    <row r="47">
      <c r="A47" s="33"/>
      <c r="B47" s="33"/>
      <c r="N47" s="33"/>
    </row>
  </sheetData>
  <mergeCells count="8">
    <mergeCell ref="F20:G20"/>
    <mergeCell ref="U22:V22"/>
    <mergeCell ref="U23:V23"/>
    <mergeCell ref="U24:V24"/>
    <mergeCell ref="F28:G28"/>
    <mergeCell ref="U30:V30"/>
    <mergeCell ref="U31:V31"/>
    <mergeCell ref="U32:V32"/>
  </mergeCells>
  <hyperlinks>
    <hyperlink r:id="rId1" ref="C18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5" max="5" width="8.5"/>
    <col customWidth="1" min="7" max="7" width="7.5"/>
  </cols>
  <sheetData>
    <row r="1">
      <c r="B1" s="1"/>
    </row>
    <row r="2">
      <c r="B2" s="5" t="s">
        <v>327</v>
      </c>
    </row>
    <row r="3">
      <c r="B3" s="98" t="s">
        <v>328</v>
      </c>
      <c r="C3" s="99"/>
      <c r="D3" s="99"/>
      <c r="E3" s="100"/>
      <c r="F3" s="99"/>
      <c r="G3" s="99"/>
    </row>
    <row r="4">
      <c r="B4" s="101"/>
      <c r="C4" s="99"/>
      <c r="D4" s="99"/>
      <c r="E4" s="100"/>
      <c r="F4" s="99"/>
      <c r="G4" s="99"/>
    </row>
    <row r="5">
      <c r="B5" s="101" t="s">
        <v>106</v>
      </c>
      <c r="C5" s="99" t="s">
        <v>55</v>
      </c>
      <c r="D5" s="99" t="s">
        <v>329</v>
      </c>
      <c r="E5" s="100"/>
      <c r="F5" s="99" t="s">
        <v>330</v>
      </c>
      <c r="G5" s="99" t="s">
        <v>331</v>
      </c>
    </row>
    <row r="6">
      <c r="B6" s="100" t="s">
        <v>332</v>
      </c>
      <c r="C6" s="102" t="s">
        <v>333</v>
      </c>
      <c r="D6" s="102" t="s">
        <v>269</v>
      </c>
      <c r="E6" s="103"/>
      <c r="F6" s="104" t="s">
        <v>334</v>
      </c>
      <c r="G6" s="105">
        <v>-30.0</v>
      </c>
    </row>
    <row r="7">
      <c r="B7" s="100" t="s">
        <v>335</v>
      </c>
      <c r="C7" s="102">
        <v>4.0</v>
      </c>
      <c r="D7" s="102" t="s">
        <v>277</v>
      </c>
      <c r="E7" s="106" t="s">
        <v>336</v>
      </c>
      <c r="F7" s="104" t="s">
        <v>337</v>
      </c>
      <c r="G7" s="105">
        <v>-62.0</v>
      </c>
    </row>
    <row r="8">
      <c r="B8" s="100" t="s">
        <v>136</v>
      </c>
      <c r="C8" s="102">
        <v>6.0</v>
      </c>
      <c r="D8" s="106" t="s">
        <v>274</v>
      </c>
      <c r="E8" s="104" t="s">
        <v>338</v>
      </c>
      <c r="F8" s="102" t="s">
        <v>339</v>
      </c>
      <c r="G8" s="105">
        <v>4.0</v>
      </c>
    </row>
    <row r="9">
      <c r="B9" s="100" t="s">
        <v>92</v>
      </c>
      <c r="C9" s="102">
        <v>7.0</v>
      </c>
      <c r="D9" s="106" t="s">
        <v>297</v>
      </c>
      <c r="E9" s="104" t="s">
        <v>340</v>
      </c>
      <c r="F9" s="102" t="s">
        <v>341</v>
      </c>
      <c r="G9" s="105">
        <v>-60.0</v>
      </c>
    </row>
    <row r="10">
      <c r="B10" s="100" t="s">
        <v>120</v>
      </c>
      <c r="C10" s="102">
        <v>8.0</v>
      </c>
      <c r="D10" s="106" t="s">
        <v>283</v>
      </c>
      <c r="E10" s="104" t="s">
        <v>342</v>
      </c>
      <c r="F10" s="102" t="s">
        <v>341</v>
      </c>
      <c r="G10" s="105">
        <f>7</f>
        <v>7</v>
      </c>
    </row>
    <row r="11">
      <c r="B11" s="100" t="s">
        <v>343</v>
      </c>
      <c r="C11" s="102">
        <v>8.0</v>
      </c>
      <c r="D11" s="106" t="s">
        <v>344</v>
      </c>
      <c r="E11" s="103"/>
      <c r="F11" s="102" t="s">
        <v>346</v>
      </c>
      <c r="G11" s="105">
        <v>-16.0</v>
      </c>
    </row>
    <row r="12">
      <c r="B12" s="100" t="s">
        <v>347</v>
      </c>
      <c r="C12" s="102">
        <v>8.0</v>
      </c>
      <c r="D12" s="112" t="s">
        <v>348</v>
      </c>
      <c r="E12" s="103"/>
      <c r="F12" s="100"/>
      <c r="G12" s="100"/>
    </row>
    <row r="13">
      <c r="B13" s="100" t="s">
        <v>281</v>
      </c>
      <c r="C13" s="102">
        <v>9.0</v>
      </c>
      <c r="D13" s="106" t="s">
        <v>280</v>
      </c>
      <c r="E13" s="104" t="s">
        <v>338</v>
      </c>
      <c r="F13" s="102" t="s">
        <v>341</v>
      </c>
      <c r="G13" s="105">
        <v>35.0</v>
      </c>
    </row>
    <row r="14">
      <c r="B14" s="100" t="s">
        <v>270</v>
      </c>
      <c r="C14" s="102">
        <v>10.0</v>
      </c>
      <c r="D14" s="106" t="s">
        <v>269</v>
      </c>
      <c r="E14" s="104" t="s">
        <v>342</v>
      </c>
      <c r="F14" s="102" t="s">
        <v>350</v>
      </c>
      <c r="G14" s="105">
        <v>-24.0</v>
      </c>
    </row>
    <row r="15">
      <c r="B15" s="100" t="s">
        <v>351</v>
      </c>
      <c r="C15" s="102">
        <v>10.0</v>
      </c>
      <c r="D15" s="106" t="s">
        <v>352</v>
      </c>
      <c r="E15" s="103"/>
      <c r="F15" s="102" t="s">
        <v>353</v>
      </c>
      <c r="G15" s="105">
        <v>44.0</v>
      </c>
    </row>
    <row r="16">
      <c r="B16" s="100" t="s">
        <v>354</v>
      </c>
      <c r="C16" s="102">
        <v>10.0</v>
      </c>
      <c r="D16" s="106" t="s">
        <v>355</v>
      </c>
      <c r="E16" s="103"/>
      <c r="F16" s="102" t="s">
        <v>356</v>
      </c>
      <c r="G16" s="105">
        <v>-10.0</v>
      </c>
    </row>
    <row r="17">
      <c r="B17" s="100" t="s">
        <v>357</v>
      </c>
      <c r="C17" s="102">
        <v>10.0</v>
      </c>
      <c r="D17" s="106" t="s">
        <v>358</v>
      </c>
      <c r="E17" s="103"/>
      <c r="F17" s="102" t="s">
        <v>359</v>
      </c>
      <c r="G17" s="105">
        <v>-35.0</v>
      </c>
    </row>
    <row r="18">
      <c r="B18" s="100" t="s">
        <v>285</v>
      </c>
      <c r="C18" s="102">
        <v>11.0</v>
      </c>
      <c r="D18" s="106" t="s">
        <v>283</v>
      </c>
      <c r="E18" s="104" t="s">
        <v>342</v>
      </c>
      <c r="F18" s="102" t="s">
        <v>360</v>
      </c>
      <c r="G18" s="105">
        <v>0.0</v>
      </c>
    </row>
    <row r="19">
      <c r="B19" s="100" t="s">
        <v>361</v>
      </c>
      <c r="C19" s="102">
        <v>11.0</v>
      </c>
      <c r="D19" s="106" t="s">
        <v>352</v>
      </c>
      <c r="E19" s="103"/>
      <c r="F19" s="102" t="s">
        <v>359</v>
      </c>
      <c r="G19" s="105">
        <v>-15.0</v>
      </c>
    </row>
    <row r="20">
      <c r="B20" s="100" t="s">
        <v>362</v>
      </c>
      <c r="C20" s="102">
        <v>11.0</v>
      </c>
      <c r="D20" s="106" t="s">
        <v>344</v>
      </c>
      <c r="E20" s="103"/>
      <c r="F20" s="102" t="s">
        <v>363</v>
      </c>
      <c r="G20" s="105">
        <v>5.0</v>
      </c>
    </row>
    <row r="21">
      <c r="B21" s="100" t="s">
        <v>364</v>
      </c>
      <c r="C21" s="102">
        <v>11.0</v>
      </c>
      <c r="D21" s="106" t="s">
        <v>365</v>
      </c>
      <c r="E21" s="103"/>
      <c r="F21" s="102" t="s">
        <v>366</v>
      </c>
      <c r="G21" s="105">
        <v>40.0</v>
      </c>
    </row>
    <row r="22">
      <c r="B22" s="100" t="s">
        <v>265</v>
      </c>
      <c r="C22" s="102">
        <v>11.0</v>
      </c>
      <c r="D22" s="102" t="s">
        <v>274</v>
      </c>
      <c r="E22" s="103"/>
      <c r="F22" s="102" t="s">
        <v>350</v>
      </c>
      <c r="G22" s="105">
        <v>60.0</v>
      </c>
    </row>
    <row r="23">
      <c r="B23" s="100"/>
      <c r="C23" s="100"/>
      <c r="D23" s="100"/>
      <c r="E23" s="100"/>
      <c r="F23" s="100"/>
      <c r="G23" s="100"/>
    </row>
    <row r="24">
      <c r="B24" s="100" t="s">
        <v>367</v>
      </c>
      <c r="C24" s="102">
        <v>11.0</v>
      </c>
      <c r="D24" s="102" t="s">
        <v>368</v>
      </c>
      <c r="E24" s="103"/>
      <c r="F24" s="102" t="s">
        <v>369</v>
      </c>
      <c r="G24" s="105">
        <v>44.0</v>
      </c>
    </row>
    <row r="25">
      <c r="B25" s="100" t="s">
        <v>370</v>
      </c>
      <c r="C25" s="102">
        <v>12.0</v>
      </c>
      <c r="D25" s="102" t="s">
        <v>371</v>
      </c>
      <c r="E25" s="103"/>
      <c r="F25" s="102" t="s">
        <v>372</v>
      </c>
      <c r="G25" s="105">
        <v>-56.0</v>
      </c>
    </row>
    <row r="26">
      <c r="B26" s="100" t="s">
        <v>34</v>
      </c>
      <c r="C26" s="102">
        <v>12.0</v>
      </c>
      <c r="D26" s="102" t="s">
        <v>355</v>
      </c>
      <c r="E26" s="103"/>
      <c r="F26" s="102" t="s">
        <v>319</v>
      </c>
      <c r="G26" s="105">
        <v>-15.0</v>
      </c>
    </row>
    <row r="27">
      <c r="B27" s="100" t="s">
        <v>374</v>
      </c>
      <c r="C27" s="102">
        <v>12.0</v>
      </c>
      <c r="D27" s="106" t="s">
        <v>365</v>
      </c>
      <c r="E27" s="103"/>
      <c r="F27" s="102" t="s">
        <v>375</v>
      </c>
      <c r="G27" s="105">
        <v>9.0</v>
      </c>
    </row>
    <row r="28">
      <c r="B28" s="100" t="s">
        <v>376</v>
      </c>
      <c r="C28" s="102">
        <v>12.0</v>
      </c>
      <c r="D28" s="106" t="s">
        <v>348</v>
      </c>
      <c r="E28" s="103"/>
      <c r="F28" s="102" t="s">
        <v>377</v>
      </c>
      <c r="G28" s="105">
        <v>5.0</v>
      </c>
    </row>
    <row r="29">
      <c r="B29" s="100" t="s">
        <v>379</v>
      </c>
      <c r="C29" s="102">
        <v>12.0</v>
      </c>
      <c r="D29" s="106" t="s">
        <v>380</v>
      </c>
      <c r="E29" s="103"/>
      <c r="F29" s="102" t="s">
        <v>381</v>
      </c>
      <c r="G29" s="105">
        <v>16.0</v>
      </c>
    </row>
    <row r="30">
      <c r="B30" s="100" t="s">
        <v>382</v>
      </c>
      <c r="C30" s="102">
        <v>13.0</v>
      </c>
      <c r="D30" s="112" t="s">
        <v>344</v>
      </c>
      <c r="E30" s="103"/>
      <c r="F30" s="102" t="s">
        <v>383</v>
      </c>
      <c r="G30" s="105">
        <v>-45.0</v>
      </c>
    </row>
    <row r="31">
      <c r="B31" s="100" t="s">
        <v>384</v>
      </c>
      <c r="C31" s="102">
        <v>14.0</v>
      </c>
      <c r="D31" s="106" t="s">
        <v>344</v>
      </c>
      <c r="E31" s="103"/>
      <c r="F31" s="102" t="s">
        <v>383</v>
      </c>
      <c r="G31" s="105">
        <v>5.0</v>
      </c>
    </row>
    <row r="32">
      <c r="B32" s="100" t="s">
        <v>385</v>
      </c>
      <c r="C32" s="102">
        <v>16.0</v>
      </c>
      <c r="D32" s="112" t="s">
        <v>386</v>
      </c>
      <c r="E32" s="103"/>
      <c r="F32" s="102" t="s">
        <v>375</v>
      </c>
      <c r="G32" s="105">
        <v>9.0</v>
      </c>
    </row>
    <row r="33">
      <c r="B33" s="100" t="s">
        <v>262</v>
      </c>
      <c r="C33" s="102">
        <v>13.0</v>
      </c>
      <c r="D33" s="102" t="s">
        <v>264</v>
      </c>
      <c r="E33" s="106" t="s">
        <v>336</v>
      </c>
      <c r="F33" s="102" t="s">
        <v>350</v>
      </c>
      <c r="G33" s="116">
        <v>-63.0</v>
      </c>
    </row>
    <row r="34">
      <c r="B34" s="100" t="s">
        <v>273</v>
      </c>
      <c r="C34" s="102">
        <v>14.0</v>
      </c>
      <c r="D34" s="102" t="s">
        <v>272</v>
      </c>
      <c r="E34" s="104" t="s">
        <v>342</v>
      </c>
      <c r="F34" s="102" t="s">
        <v>387</v>
      </c>
      <c r="G34" s="105">
        <v>-12.0</v>
      </c>
    </row>
    <row r="35">
      <c r="B35" s="100"/>
      <c r="C35" s="102">
        <v>14.0</v>
      </c>
      <c r="D35" s="117" t="s">
        <v>277</v>
      </c>
      <c r="E35" s="106" t="s">
        <v>336</v>
      </c>
      <c r="F35" s="102" t="s">
        <v>388</v>
      </c>
      <c r="G35" s="105">
        <v>-50.0</v>
      </c>
    </row>
    <row r="37">
      <c r="B37" s="118" t="s">
        <v>389</v>
      </c>
    </row>
  </sheetData>
  <hyperlinks>
    <hyperlink r:id="rId1" ref="B2"/>
    <hyperlink r:id="rId2" ref="B37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391</v>
      </c>
    </row>
    <row r="3">
      <c r="B3" s="5" t="s">
        <v>392</v>
      </c>
    </row>
  </sheetData>
  <hyperlinks>
    <hyperlink r:id="rId1" ref="B2"/>
    <hyperlink r:id="rId2" ref="B3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393</v>
      </c>
    </row>
  </sheetData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394</v>
      </c>
    </row>
  </sheetData>
  <hyperlinks>
    <hyperlink r:id="rId1" ref="B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395</v>
      </c>
    </row>
  </sheetData>
  <drawing r:id="rId1"/>
</worksheet>
</file>