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Batteries" sheetId="2" r:id="rId5"/>
    <sheet state="visible" name="Sheet46" sheetId="3" r:id="rId6"/>
    <sheet state="visible" name="Augments 2" sheetId="4" r:id="rId7"/>
    <sheet state="visible" name="Engines" sheetId="5" r:id="rId8"/>
    <sheet state="visible" name="MICFAM" sheetId="6" r:id="rId9"/>
    <sheet state="visible" name="Batterie humaine" sheetId="7" r:id="rId10"/>
    <sheet state="visible" name="Augments" sheetId="8" r:id="rId11"/>
    <sheet state="visible" name="gravity" sheetId="9" r:id="rId12"/>
    <sheet state="visible" name="Explosives" sheetId="10" r:id="rId13"/>
    <sheet state="visible" name="Stratios mass" sheetId="11" r:id="rId14"/>
    <sheet state="visible" name="gyro" sheetId="12" r:id="rId15"/>
    <sheet state="visible" name="Sail" sheetId="13" r:id="rId16"/>
    <sheet state="visible" name="Heat " sheetId="14" r:id="rId17"/>
    <sheet state="visible" name="Stratios laser" sheetId="15" r:id="rId18"/>
    <sheet state="visible" name="Localisations" sheetId="16" r:id="rId19"/>
    <sheet state="visible" name="Avaries" sheetId="17" r:id="rId20"/>
    <sheet state="visible" name="Calculs" sheetId="18" r:id="rId21"/>
    <sheet state="visible" name="Laser" sheetId="19" r:id="rId22"/>
    <sheet state="visible" name="shield" sheetId="20" r:id="rId23"/>
    <sheet state="visible" name="Sheet27" sheetId="21" r:id="rId24"/>
    <sheet state="visible" name="Sheet26" sheetId="22" r:id="rId25"/>
    <sheet state="visible" name="gravity assist" sheetId="23" r:id="rId26"/>
    <sheet state="visible" name="Sheet8" sheetId="24" r:id="rId27"/>
    <sheet state="visible" name="Ship size  mass" sheetId="25" r:id="rId28"/>
    <sheet state="visible" name="Others" sheetId="26" r:id="rId29"/>
    <sheet state="visible" name="coilgun" sheetId="27" r:id="rId30"/>
    <sheet state="visible" name="Kinetic" sheetId="28" r:id="rId31"/>
    <sheet state="visible" name="Kinetic2" sheetId="29" r:id="rId32"/>
    <sheet state="visible" name="Armor2" sheetId="30" r:id="rId33"/>
    <sheet state="visible" name="Laser2" sheetId="31" r:id="rId34"/>
    <sheet state="visible" name="Materials" sheetId="32" r:id="rId35"/>
    <sheet state="visible" name="Armor" sheetId="33" r:id="rId36"/>
    <sheet state="visible" name="Sheet31" sheetId="34" r:id="rId37"/>
    <sheet state="visible" name="Ship weapons" sheetId="35" r:id="rId38"/>
    <sheet state="visible" name="Exacting" sheetId="36" r:id="rId39"/>
    <sheet state="visible" name="guns" sheetId="37" r:id="rId40"/>
    <sheet state="visible" name="Stratios" sheetId="38" r:id="rId41"/>
    <sheet state="visible" name="20s refs" sheetId="39" r:id="rId42"/>
    <sheet state="visible" name="Cooling" sheetId="40" r:id="rId43"/>
    <sheet state="visible" name="Truman" sheetId="41" r:id="rId44"/>
    <sheet state="visible" name="West (Proxima station)" sheetId="42" r:id="rId45"/>
    <sheet state="visible" name="Groupe 1" sheetId="43" r:id="rId46"/>
    <sheet state="visible" name="Sheet6" sheetId="44" r:id="rId47"/>
    <sheet state="visible" name="Groupe 2" sheetId="45" r:id="rId48"/>
    <sheet state="visible" name="Sheet5" sheetId="46" r:id="rId4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Total d'énergie stockée * efficiency</t>
      </text>
    </comment>
    <comment authorId="0" ref="I3">
      <text>
        <t xml:space="preserve">Total d'énergie stockée</t>
      </text>
    </comment>
    <comment authorId="0" ref="J3">
      <text>
        <t xml:space="preserve">Total d'énergie stockée * efficiency</t>
      </text>
    </comment>
    <comment authorId="0" ref="N3">
      <text>
        <t xml:space="preserve">Vitesse de charge / décharge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7">
      <text>
        <t xml:space="preserve">Taille 2
20% engine (1t)
20% fuel
20% wings / tanks
60-90 kN / t
80 kg/sec fuel</t>
      </text>
    </comment>
    <comment authorId="0" ref="C65">
      <text>
        <t xml:space="preserve">Taille 0</t>
      </text>
    </comment>
    <comment authorId="0" ref="F3">
      <text>
        <t xml:space="preserve">Total corps + processeur</t>
      </text>
    </comment>
    <comment authorId="0" ref="G3">
      <text>
        <t xml:space="preserve">Autonomie de la batterie interne (carbs / optimized sugar cell)
Sprint ~ secondes
Course ~ minutes
Marche ~ heures</t>
      </text>
    </comment>
    <comment authorId="0" ref="H3">
      <text>
        <t xml:space="preserve">Poids transporté maximum
Pour humain, base = 100 kg
Sinon voir table</t>
      </text>
    </comment>
    <comment authorId="0" ref="C30">
      <text>
        <t xml:space="preserve">4 jambes élastiques en CNT
1 jump / seconde</t>
      </text>
    </comment>
    <comment authorId="0" ref="C28">
      <text>
        <t xml:space="preserve">Peuvent s'arquer à l'envers
Griffes + gecko + mag pour traction
Rollers déployables
/!\ Accélérations dangereuses</t>
      </text>
    </comment>
    <comment authorId="0" ref="C59">
      <text>
        <t xml:space="preserve">10% fuel
10% engine
30% rotors</t>
      </text>
    </comment>
    <comment authorId="0" ref="N3">
      <text>
        <t xml:space="preserve">Peak power (secondes - minutes)
Soutenu = 1 / 10 </t>
      </text>
    </comment>
    <comment authorId="0" ref="C53">
      <text>
        <t xml:space="preserve">Taille -2</t>
      </text>
    </comment>
    <comment authorId="0" ref="R3">
      <text>
        <t xml:space="preserve">Peak power usage (secondes - minutes)
Soutenu = 1 / 10 (heures)
</t>
      </text>
    </comment>
    <comment authorId="0" ref="C51">
      <text>
        <t xml:space="preserve">Taille 0</t>
      </text>
    </comment>
    <comment authorId="0" ref="V3">
      <text>
        <t xml:space="preserve">Useable</t>
      </text>
    </comment>
    <comment authorId="0" ref="C47">
      <text>
        <t xml:space="preserve">Versatile et flexible
50 cm de long</t>
      </text>
    </comment>
    <comment authorId="0" ref="C45">
      <text>
        <t xml:space="preserve">Précision extrême
+1D pour manipuler objets microscopiques (électronique etc)</t>
      </text>
    </comment>
    <comment authorId="0" ref="AA3">
      <text>
        <t xml:space="preserve">useable</t>
      </text>
    </comment>
    <comment authorId="0" ref="C43">
      <text>
        <t xml:space="preserve">+1D aux actions de tir</t>
      </text>
    </comment>
    <comment authorId="0" ref="G10">
      <text>
        <t xml:space="preserve">Autonomie de la batterie interne (solid state)
Gaming ~ x 1
Desktop app ~ x 2
Browsing ~ x 5
Idle ~ x 10
Veille ~ x 1000</t>
      </text>
    </comment>
    <comment authorId="0" ref="C70">
      <text>
        <t xml:space="preserve">10% engine
20% wings + tank
100% fuel
</t>
      </text>
    </comment>
    <comment authorId="0" ref="C68">
      <text>
        <t xml:space="preserve">2 x Merlin 1D
Poids : 1t 
Fuel : 600 kg / sec
Thrust : 2,000 kN</t>
      </text>
    </comment>
    <comment authorId="0" ref="C66">
      <text>
        <t xml:space="preserve">Chemical rocket. 1 seconde de fuel (10 actions)
/!\ Accélérations léthales
20 kg engine + 10 kg fuel
Ve = 5 kms (LH2 / LOX)
mass flow = 10 kg / sec</t>
      </text>
    </comment>
    <comment authorId="0" ref="N10">
      <text>
        <t xml:space="preserve">Density</t>
      </text>
    </comment>
    <comment authorId="0" ref="O10">
      <text>
        <t xml:space="preserve">Peak power usage 
Desktop apps ~ power / 2
Browsing ~ power / 5
Idle ~ power / 10</t>
      </text>
    </comment>
    <comment authorId="0" ref="Q10">
      <text>
        <t xml:space="preserve">Solid state battery 
energy = 500 Wh/kg = 1.8 MJ/kg
power = 2 kW/kg
mass = 10% total
</t>
      </text>
    </comment>
    <comment authorId="0" ref="C60">
      <text>
        <t xml:space="preserve">Taille -1</t>
      </text>
    </comment>
    <comment authorId="0" ref="C44">
      <text>
        <t xml:space="preserve">Après usage, 1 seconde pour réarmer</t>
      </text>
    </comment>
    <comment authorId="0" ref="L50">
      <text>
        <t xml:space="preserve">Acceleration sur courts instants
Rapaces ~ 5g en piqué, 1g soutenu
Insectes ~ 10g burst, 5g soutenu</t>
      </text>
    </comment>
    <comment authorId="0" ref="R23">
      <text>
        <t xml:space="preserve">Pour Corps 3</t>
      </text>
    </comment>
    <comment authorId="0" ref="C69">
      <text>
        <t xml:space="preserve">Fusion-assisted combustion of metallic hydrogen pellets 
Adaptable Ve 400 - 200 - 100 kms
Vitesse x 2 = Fuel / 4
Cooling not included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Exhaust velocity</t>
      </text>
    </comment>
    <comment authorId="0" ref="C17">
      <text>
        <t xml:space="preserve">Thrust power</t>
      </text>
    </comment>
    <comment authorId="0" ref="E2">
      <text>
        <t xml:space="preserve">Thrust</t>
      </text>
    </comment>
    <comment authorId="0" ref="D17">
      <text>
        <t xml:space="preserve">Exhaust velocity</t>
      </text>
    </comment>
    <comment authorId="0" ref="E17">
      <text>
        <t xml:space="preserve">Thrust</t>
      </text>
    </comment>
    <comment authorId="0" ref="C43">
      <text>
        <t xml:space="preserve">Thrust power</t>
      </text>
    </comment>
    <comment authorId="0" ref="J17">
      <text>
        <t xml:space="preserve">delta V selon mass ratio</t>
      </text>
    </comment>
    <comment authorId="0" ref="J15">
      <text>
        <t xml:space="preserve">Wet mass / dry mass</t>
      </text>
    </comment>
    <comment authorId="0" ref="K15">
      <text>
        <t xml:space="preserve">1 to 5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Total corps + processeur</t>
      </text>
    </comment>
    <comment authorId="0" ref="F3">
      <text>
        <t xml:space="preserve">Top speed = sprint x total weight / body mass
Accel ~ top speed in m/s²
Also limited by traction 
Standard : 1g (10 m/s²)
Gecko, mag boots : 10g
Cyberlegs : 10g
Booster : +10g</t>
      </text>
    </comment>
    <comment authorId="0" ref="C14">
      <text>
        <t xml:space="preserve">Graphene+ (supercapacitor)
Energy density = 1 kWh / kg = 0.36 MW / kg (theoretical)
Stores less than fat but can discharge far more quickly</t>
      </text>
    </comment>
    <comment authorId="0" ref="I3">
      <text>
        <t xml:space="preserve">% de batterie dépensée par seconde (à plein régime)
Corps &gt; inclut 4 membres
Membres &gt; si membre supp</t>
      </text>
    </comment>
    <comment authorId="0" ref="C13">
      <text>
        <t xml:space="preserve">Processeur 6 non-intrusif
Sac à dos de 40 kg (énergie incluse)
</t>
      </text>
    </comment>
    <comment authorId="0" ref="C12">
      <text>
        <t xml:space="preserve">Torche à fusion miniaturisée
Engine : combustion 40 kg
Fuel : MH 1 kg (0.1 kg / sec)
Sink : LiH 10 kg (1 kg / sec)
/!\ Explosif</t>
      </text>
    </comment>
    <comment authorId="0" ref="C11">
      <text>
        <t xml:space="preserve">Pour taille 0 : Armure 4, 120 kg</t>
      </text>
    </comment>
    <comment authorId="0" ref="C10">
      <text>
        <t xml:space="preserve">Inclut chair, sang, peau, etc</t>
      </text>
    </comment>
    <comment authorId="0" ref="C24">
      <text>
        <t xml:space="preserve">Eau dédiée au refroidissement
Suivant intensité :
- Conduction (sous la peau)
- Transpiration
- Vapeur</t>
      </text>
    </comment>
    <comment authorId="0" ref="C22">
      <text>
        <t xml:space="preserve">Cooling, power and comms</t>
      </text>
    </comment>
    <comment authorId="0" ref="C21">
      <text>
        <t xml:space="preserve">Inclut chair, sang, peau, etc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34">
      <text>
        <t xml:space="preserve">100m</t>
      </text>
    </comment>
    <comment authorId="0" ref="Y85">
      <text>
        <t xml:space="preserve">AU</t>
      </text>
    </comment>
    <comment authorId="0" ref="V33">
      <text>
        <t xml:space="preserve">50m</t>
      </text>
    </comment>
    <comment authorId="0" ref="A10">
      <text>
        <t xml:space="preserve">cm-1</t>
      </text>
    </comment>
    <comment authorId="0" ref="B27">
      <text>
        <t xml:space="preserve">nuclear powered laser</t>
      </text>
    </comment>
    <comment authorId="0" ref="V31">
      <text>
        <t xml:space="preserve">5m</t>
      </text>
    </comment>
    <comment authorId="0" ref="V29">
      <text>
        <t xml:space="preserve">1m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AP of standard bullet</t>
      </text>
    </comment>
    <comment authorId="0" ref="E4">
      <text>
        <t xml:space="preserve">Close = 10m
Short = 100m
Medium = 500m
Long = 2 km
∞ = 10 km/s</t>
      </text>
    </comment>
    <comment authorId="0" ref="F4">
      <text>
        <t xml:space="preserve">User size - Weapon size =
  -2 : 1 hand
  -1 : 2 hands
   0 : 2 hands, encumbered
   1 : too heavy</t>
      </text>
    </comment>
    <comment authorId="0" ref="M4">
      <text>
        <t xml:space="preserve">Number of layers pierced</t>
      </text>
    </comment>
    <comment authorId="0" ref="A21">
      <text>
        <t xml:space="preserve">Monomolecular weapons</t>
      </text>
    </comment>
    <comment authorId="0" ref="E25">
      <text>
        <t xml:space="preserve">Close = 10m
Short = 100m
Medium = 500m
Long = 2 km
∞ = 10 km/s</t>
      </text>
    </comment>
    <comment authorId="0" ref="F25">
      <text>
        <t xml:space="preserve">Weapon size - User size =
  0 : 1 hand
  1 : 2 hands
  2 : 2 hands, encumbered
  3 : too heavy</t>
      </text>
    </comment>
    <comment authorId="0" ref="E20">
      <text>
        <t xml:space="preserve">Close = 10m
Short = 100m
Medium = 500m
Long = 2 km
∞ = 10 km/s</t>
      </text>
    </comment>
    <comment authorId="0" ref="A15">
      <text>
        <t xml:space="preserve">Coilguns shoot rods at 10 km/s or Mach 29
The rod makes sonic booms about as loud as gunshots
Powerful EM fields disrupts the weapon</t>
      </text>
    </comment>
    <comment authorId="0" ref="F20">
      <text>
        <t xml:space="preserve">Weapon size - User size =
  0 : 1 hand
  1 : 2 hands
  2 : 2 hands, encumbered
  3 : too heavy</t>
      </text>
    </comment>
    <comment authorId="0" ref="C14">
      <text>
        <t xml:space="preserve">X+ = X damage + can spend hits for damage</t>
      </text>
    </comment>
    <comment authorId="0" ref="E14">
      <text>
        <t xml:space="preserve">Close = 10m
Short = 100m
Medium = 500m
Long = 2 km
∞ = 10 km/s</t>
      </text>
    </comment>
    <comment authorId="0" ref="J19">
      <text>
        <t xml:space="preserve">CNT core with abrasive UHTCMC</t>
      </text>
    </comment>
    <comment authorId="0" ref="F14">
      <text>
        <t xml:space="preserve">Weapon size - User size =
  0 : 1 hand
  1 : 2 hands
  2 : 2 hands, encumbered
  3 : too heavy</t>
      </text>
    </comment>
    <comment authorId="0" ref="C4">
      <text>
        <t xml:space="preserve">Damage of standard bullet
RAF : x3 = 3 bullets / shot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servos take 1/3 mass</t>
      </text>
    </comment>
    <comment authorId="0" ref="L9">
      <text>
        <t xml:space="preserve">Reactive</t>
      </text>
    </comment>
    <comment authorId="0" ref="L7">
      <text>
        <t xml:space="preserve">torso front + back</t>
      </text>
    </comment>
    <comment authorId="0" ref="B26">
      <text>
        <t xml:space="preserve">Size -1</t>
      </text>
    </comment>
    <comment authorId="0" ref="B12">
      <text>
        <t xml:space="preserve">Size 1
Battery (12h)
Autonomy (1h)
</t>
      </text>
    </comment>
    <comment authorId="0" ref="B8">
      <text>
        <t xml:space="preserve">Autonomy (24h)</t>
      </text>
    </comment>
    <comment authorId="0" ref="C4">
      <text>
        <t xml:space="preserve">K2 x3 = stops 2 damage 3 times before breaking
Damage &lt; armor has no effect
Damage &gt; armor hits the next armor</t>
      </text>
    </comment>
    <comment authorId="0" ref="D4">
      <text>
        <t xml:space="preserve">Reduces the effective range of lasers</t>
      </text>
    </comment>
    <comment authorId="0" ref="E4">
      <text>
        <t xml:space="preserve">Number of armor layers.
Layers protect against AP and absorb laser damage
Each layer is 1 cm thick</t>
      </text>
    </comment>
    <comment authorId="0" ref="N12">
      <text>
        <t xml:space="preserve">servos take mass</t>
      </text>
    </comment>
    <comment authorId="0" ref="J4">
      <text>
        <t xml:space="preserve">Tensile strength (yield) * thickness</t>
      </text>
    </comment>
    <comment authorId="0" ref="K4">
      <text>
        <t xml:space="preserve">Heat resistance = depth * melting point / heat capacity</t>
      </text>
    </comment>
    <comment authorId="0" ref="B27">
      <text>
        <t xml:space="preserve">Size 0</t>
      </text>
    </comment>
    <comment authorId="0" ref="C25">
      <text>
        <t xml:space="preserve">K2 x3 = stops 2 damage 3 times before breaking
Damage &lt; armor has no effect
Damage &gt; armor hits the next armor</t>
      </text>
    </comment>
    <comment authorId="0" ref="E25">
      <text>
        <t xml:space="preserve">Number of armor layers.
Layers protect against AP and absorb laser damage
Each layer is 1 cm thick</t>
      </text>
    </comment>
    <comment authorId="0" ref="C21">
      <text>
        <t xml:space="preserve">K2 x3 = stops 2 damage 3 times before breaking
Damage &lt; armor has no effect
Damage &gt; armor hits the next armor</t>
      </text>
    </comment>
    <comment authorId="0" ref="E21">
      <text>
        <t xml:space="preserve">Number of armor layers.
Layers protect against AP and absorb laser damage
Each layer is 1 cm thick</t>
      </text>
    </comment>
    <comment authorId="0" ref="J25">
      <text>
        <t xml:space="preserve">Tensile strength (yield) * thickness</t>
      </text>
    </comment>
    <comment authorId="0" ref="K25">
      <text>
        <t xml:space="preserve">Heat resistance = depth * melting point / heat capacity</t>
      </text>
    </comment>
    <comment authorId="0" ref="C15">
      <text>
        <t xml:space="preserve">K2 x3 = stops 2 damage 3 times before breaking
Damage &lt; armor has no effect
Damage &gt; armor hits the next armor</t>
      </text>
    </comment>
    <comment authorId="0" ref="B13">
      <text>
        <t xml:space="preserve">Size 1
Battery (24h)
Autonomy (24h)</t>
      </text>
    </comment>
    <comment authorId="0" ref="J21">
      <text>
        <t xml:space="preserve">Tensile strength (yield) * thickness</t>
      </text>
    </comment>
    <comment authorId="0" ref="E15">
      <text>
        <t xml:space="preserve">Number of armor layers.
Layers protect against AP and absorb laser damage
Each layer is 1 cm thick</t>
      </text>
    </comment>
    <comment authorId="0" ref="K21">
      <text>
        <t xml:space="preserve">Heat resistance = depth * melting point / heat capacity</t>
      </text>
    </comment>
    <comment authorId="0" ref="B11">
      <text>
        <t xml:space="preserve">Autonomous (24h)
Joints = K2 / T3</t>
      </text>
    </comment>
    <comment authorId="0" ref="B9">
      <text>
        <t xml:space="preserve">Autonomy (1h), Battery (∞)
Reactive armor. If not conscious of the attack, armor is offline.
At rest, programmable clothes + 5 pieces of jewelry.
O² reserves limit autonomy, but can remained pressurized indefinitely with external reserves.
Graphene &gt; power loss very low. Recycles body heat and friction to recharge.
Battery can still be damaged or emptied by other means.</t>
      </text>
    </comment>
    <comment authorId="0" ref="B7">
      <text>
        <t xml:space="preserve">Old school stuff from the 21st century</t>
      </text>
    </comment>
    <comment authorId="0" ref="J15">
      <text>
        <t xml:space="preserve">Tensile strength (yield) * thickness</t>
      </text>
    </comment>
    <comment authorId="0" ref="K15">
      <text>
        <t xml:space="preserve">Heat resistance = depth * melting point / heat capacity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7">
      <text>
        <t xml:space="preserve">In perfect conditions, 1ms burst</t>
      </text>
    </comment>
    <comment authorId="0" ref="G145">
      <text>
        <t xml:space="preserve">Lens radius</t>
      </text>
    </comment>
    <comment authorId="0" ref="H145">
      <text>
        <t xml:space="preserve">Output power
Input = 10 kW/kg (photonic crystal)</t>
      </text>
    </comment>
    <comment authorId="0" ref="G143">
      <text>
        <t xml:space="preserve">Lens radius</t>
      </text>
    </comment>
    <comment authorId="0" ref="I145">
      <text>
        <t xml:space="preserve">Heat capacity of heat sink
Basic clip has 100s of continuous fire</t>
      </text>
    </comment>
    <comment authorId="0" ref="B137">
      <text>
        <t xml:space="preserve">Water absorbs heat
Armor -1 (power/10) every cm</t>
      </text>
    </comment>
    <comment authorId="0" ref="D139">
      <text>
        <t xml:space="preserve">Each pulses vaporizes 1 layer of armor or deals 1 damage</t>
      </text>
    </comment>
    <comment authorId="0" ref="H143">
      <text>
        <t xml:space="preserve">Output power</t>
      </text>
    </comment>
    <comment authorId="0" ref="J145">
      <text>
        <t xml:space="preserve">Wavelength</t>
      </text>
    </comment>
    <comment authorId="0" ref="E139">
      <text>
        <t xml:space="preserve">Clip spent / shot
A spent clip can be reused after cooling the heat sink and recharging the battery</t>
      </text>
    </comment>
    <comment authorId="0" ref="I143">
      <text>
        <t xml:space="preserve">Heat capacity of heat sink</t>
      </text>
    </comment>
    <comment authorId="0" ref="K145">
      <text>
        <t xml:space="preserve">Energy converted to laser power (as opposed to waste heat)</t>
      </text>
    </comment>
    <comment authorId="0" ref="B135">
      <text>
        <t xml:space="preserve">Not cumulative with good angle or itself</t>
      </text>
    </comment>
    <comment authorId="0" ref="D137">
      <text>
        <t xml:space="preserve">Each pulses vaporizes 1 layer of armor or deals 1 damage</t>
      </text>
    </comment>
    <comment authorId="0" ref="J143">
      <text>
        <t xml:space="preserve">Wavelength</t>
      </text>
    </comment>
    <comment authorId="0" ref="B134">
      <text>
        <t xml:space="preserve">Spend 1 hit for range</t>
      </text>
    </comment>
    <comment authorId="0" ref="E137">
      <text>
        <t xml:space="preserve">Clip spent / shot
A spent clip can be reused after cooling the heat sink and recharging the battery</t>
      </text>
    </comment>
    <comment authorId="0" ref="K143">
      <text>
        <t xml:space="preserve">Energy converted to laser power (as opposed to waste heat)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https://en.wikipedia.org/wiki/Ultra-high_temperature_ceramic_matrix_composite</t>
      </text>
    </comment>
    <comment authorId="0" ref="B32">
      <text>
        <t xml:space="preserve">3D chainmail of CNT + CMC plating</t>
      </text>
    </comment>
    <comment authorId="0" ref="F3">
      <text>
        <t xml:space="preserve">Energy need to vaporize</t>
      </text>
    </comment>
    <comment authorId="0" ref="B15">
      <text>
        <t xml:space="preserve">https://en.wikipedia.org/wiki/Reinforced_carbon%E2%80%93carbon
https://en.wikipedia.org/wiki/Ceramic_matrix_composite</t>
      </text>
    </comment>
    <comment authorId="0" ref="B29">
      <text>
        <t xml:space="preserve">carbon nanotube / aerographene polymer</t>
      </text>
    </comment>
    <comment authorId="0" ref="E32">
      <text>
        <t xml:space="preserve">Ceramic plating</t>
      </text>
    </comment>
    <comment authorId="0" ref="B28">
      <text>
        <t xml:space="preserve">https://en.wikipedia.org/wiki/Forged_composite</t>
      </text>
    </comment>
    <comment authorId="0" ref="B27">
      <text>
        <t xml:space="preserve">https://en.wikipedia.org/wiki/Carbon-fiber_reinforced_polymer</t>
      </text>
    </comment>
    <comment authorId="0" ref="N3">
      <text>
        <t xml:space="preserve">Fracture toughness</t>
      </text>
    </comment>
    <comment authorId="0" ref="B23">
      <text>
        <t xml:space="preserve">https://www.researchgate.net/figure/Mechanical-properties-of-AF1410-steel_tbl1_368683013
https://www.matweb.com/search/datasheet_print.aspx?matguid=b5a2b726fb3a4cde861bb11e539047d2</t>
      </text>
    </comment>
    <comment authorId="0" ref="R3">
      <text>
        <t xml:space="preserve">Resilience = Yield strength ² / 2 (Young modulus)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5">
      <text>
        <t xml:space="preserve">cd = combat distance = 20 km
( 18 km = distance moved in 1 min at 1g)</t>
      </text>
    </comment>
    <comment authorId="0" ref="P5">
      <text>
        <t xml:space="preserve">cd = combat distance = 20 km
( 18 km = distance moved in 1 min at 1g)</t>
      </text>
    </comment>
    <comment authorId="0" ref="C4">
      <text>
        <t xml:space="preserve">Number of weapons online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16">
      <text>
        <t xml:space="preserve">Acquisition dice pool = Sensors + CPU
Accuracy dice pool = Sensors</t>
      </text>
    </comment>
    <comment authorId="0" ref="K25">
      <text>
        <t xml:space="preserve">0 = off
1 = on
2 = overclock</t>
      </text>
    </comment>
    <comment authorId="0" ref="AH15">
      <text>
        <t xml:space="preserve">Limits autopilot dice pool
Initiative = CPU + skill of captain
Maximum of targets locked = CPU</t>
      </text>
    </comment>
    <comment authorId="0" ref="AH14">
      <text>
        <t xml:space="preserve">Power plant efficiency (included in profile)</t>
      </text>
    </comment>
    <comment authorId="0" ref="Y4">
      <text>
        <t xml:space="preserve">1 gd = 1g during 24h = 864 km/s</t>
      </text>
    </comment>
    <comment authorId="0" ref="AH13">
      <text>
        <t xml:space="preserve">Turn rate = Agility x 30°
Pilot dice pool = Agility
Default = 7 - class</t>
      </text>
    </comment>
    <comment authorId="0" ref="AH12">
      <text>
        <t xml:space="preserve">Quality of the tech 
Value from 1 to 6
Used for dice pools
Reduced if damaged</t>
      </text>
    </comment>
    <comment authorId="0" ref="AF25">
      <text>
        <t xml:space="preserve">Laser : Lens radius (m)
Gun : Barrel length (m)
Rack : number of tubes</t>
      </text>
    </comment>
    <comment authorId="0" ref="K12">
      <text>
        <t xml:space="preserve">0 = off / destroyed
1 = on
2 = overclock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0 = off / destroyed
1 = on
2 = overclock</t>
      </text>
    </comment>
    <comment authorId="0" ref="AF28">
      <text>
        <t xml:space="preserve">Laser : Lens radius (m)
Gun : Barrel length (m)
Rack : number of tubes</t>
      </text>
    </comment>
    <comment authorId="0" ref="Q8">
      <text>
        <t xml:space="preserve">Deuterium
Basic fusion fuel
High thrust but low fuel economy</t>
      </text>
    </comment>
    <comment authorId="0" ref="S9">
      <text>
        <t xml:space="preserve">1 gh = 1g during 1h = 36 km/s</t>
      </text>
    </comment>
    <comment authorId="0" ref="V8">
      <text>
        <t xml:space="preserve">Helium 3
Used in Fusion drives for cruising
Medium thrust and fuel economy</t>
      </text>
    </comment>
    <comment authorId="0" ref="K28">
      <text>
        <t xml:space="preserve">Number of weapons online
UV laser :
Longer pulses = range x 2, damage / 2</t>
      </text>
    </comment>
    <comment authorId="0" ref="Y9">
      <text>
        <t xml:space="preserve">1 gd = 1g during 24h = 864 km/s = 0.003c</t>
      </text>
    </comment>
    <comment authorId="0" ref="AG16">
      <text>
        <t xml:space="preserve">Accuracy 
Scan </t>
      </text>
    </comment>
    <comment authorId="0" ref="AG15">
      <text>
        <t xml:space="preserve">Course plot
Acquisition
Max targets locked</t>
      </text>
    </comment>
    <comment authorId="0" ref="AG14">
      <text>
        <t xml:space="preserve">Power generated </t>
      </text>
    </comment>
    <comment authorId="0" ref="AB8">
      <text>
        <t xml:space="preserve">Antimatter
Used in AM drive 
Low thrust but high fuel economy</t>
      </text>
    </comment>
    <comment authorId="0" ref="AG13">
      <text>
        <t xml:space="preserve">Manoeuver
Evasion
Turn rate = Agility x 30° / min
Default = 7 - class</t>
      </text>
    </comment>
    <comment authorId="0" ref="AD9">
      <text>
        <t xml:space="preserve">1 gd = 1g during 24h = 864 km/s = 0.003c</t>
      </text>
    </comment>
    <comment authorId="0" ref="AG12">
      <text>
        <t xml:space="preserve">Quality of the tech 
Value from 1 to 6
Used for dice pools
Reduced if damaged</t>
      </text>
    </comment>
    <comment authorId="0" ref="AB3">
      <text>
        <t xml:space="preserve">Fuel exhaust velocity</t>
      </text>
    </comment>
    <comment authorId="0" ref="K18">
      <text>
        <t xml:space="preserve">Number of panels deployed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0 = off / destroyed
1 = on
2 = overclock</t>
      </text>
    </comment>
    <comment authorId="0" ref="K26">
      <text>
        <t xml:space="preserve">0 = off / destroyed
1 = on
2 = overclock</t>
      </text>
    </comment>
    <comment authorId="0" ref="AH16">
      <text>
        <t xml:space="preserve">Acquisition dice pool = Sensors
</t>
      </text>
    </comment>
    <comment authorId="0" ref="AH15">
      <text>
        <t xml:space="preserve">Limits autopilot dice pool
Initiative = CPU + skill of captain</t>
      </text>
    </comment>
    <comment authorId="0" ref="AH14">
      <text>
        <t xml:space="preserve">Power plant efficiency (included in profile)</t>
      </text>
    </comment>
    <comment authorId="0" ref="AH13">
      <text>
        <t xml:space="preserve">Turn rate = Agility x 30°
Pilot dice pool = Agility
Default = 7 - class</t>
      </text>
    </comment>
    <comment authorId="0" ref="Z4">
      <text>
        <t xml:space="preserve">1 gd = 1g during 24h = 864 km/s</t>
      </text>
    </comment>
    <comment authorId="0" ref="AH12">
      <text>
        <t xml:space="preserve">Quality of the tech 
Value from 1 to 6
Used for dice pools
Reduced if damaged</t>
      </text>
    </comment>
  </commentList>
</comments>
</file>

<file path=xl/sharedStrings.xml><?xml version="1.0" encoding="utf-8"?>
<sst xmlns="http://schemas.openxmlformats.org/spreadsheetml/2006/main" count="7852" uniqueCount="2775">
  <si>
    <t>Activity</t>
  </si>
  <si>
    <t>Metabolic power (W)</t>
  </si>
  <si>
    <t>Mechanical power (W)</t>
  </si>
  <si>
    <t>Implied efficiency</t>
  </si>
  <si>
    <t>Rest / quiet sitting</t>
  </si>
  <si>
    <t>80 – 120 W</t>
  </si>
  <si>
    <t>Battery</t>
  </si>
  <si>
    <t>~5 – 20 W (postural)</t>
  </si>
  <si>
    <t>~5–20% (very low useful work)</t>
  </si>
  <si>
    <t>Standing (light activity)</t>
  </si>
  <si>
    <t>120 – 180 W</t>
  </si>
  <si>
    <t>20 – 50 W</t>
  </si>
  <si>
    <t>~15–30%</t>
  </si>
  <si>
    <t>Density</t>
  </si>
  <si>
    <t>Walking (5 km/h)</t>
  </si>
  <si>
    <t>200 – 350 W</t>
  </si>
  <si>
    <t>60 – 120 W</t>
  </si>
  <si>
    <t>~20–35%</t>
  </si>
  <si>
    <t>Brisk walk / power walk</t>
  </si>
  <si>
    <t>300 – 450 W</t>
  </si>
  <si>
    <t>80 – 150 W</t>
  </si>
  <si>
    <t>~25–35%</t>
  </si>
  <si>
    <t>Easy jogging (8 km/h)</t>
  </si>
  <si>
    <t>500 – 700 W</t>
  </si>
  <si>
    <t>150 – 250 W</t>
  </si>
  <si>
    <t>time</t>
  </si>
  <si>
    <t>Steady run (10 km/h)</t>
  </si>
  <si>
    <t>700 – 900 W</t>
  </si>
  <si>
    <t>km/h</t>
  </si>
  <si>
    <t>degats</t>
  </si>
  <si>
    <t>kN/kg</t>
  </si>
  <si>
    <t>Marathon pace (elite ~20 km/h unrealistic; typical marathon pace)</t>
  </si>
  <si>
    <t>kW/kg</t>
  </si>
  <si>
    <t>600 – 900 W (sustained hours)</t>
  </si>
  <si>
    <t>kW / kg</t>
  </si>
  <si>
    <t>150 – 300 W</t>
  </si>
  <si>
    <t>kg</t>
  </si>
  <si>
    <t>%total</t>
  </si>
  <si>
    <t>MW</t>
  </si>
  <si>
    <t>Hard run / threshold (race pace)</t>
  </si>
  <si>
    <t>Charge</t>
  </si>
  <si>
    <t>900 – 1,500 W</t>
  </si>
  <si>
    <t>250 – 500 W</t>
  </si>
  <si>
    <t>MJ</t>
  </si>
  <si>
    <t>All-out sprint (100 m, elite)</t>
  </si>
  <si>
    <t>Discharge</t>
  </si>
  <si>
    <t>2,000 – 6,000 W (short, seconds)</t>
  </si>
  <si>
    <t>sec</t>
  </si>
  <si>
    <t>500 – 1,500 W</t>
  </si>
  <si>
    <t>~~20–30% (mechanical peak may be higher for limbs)</t>
  </si>
  <si>
    <t>Short explosive burst (single jump, lift)</t>
  </si>
  <si>
    <t>MJ / kg</t>
  </si>
  <si>
    <t>1,000 – 10,000 W (very short)</t>
  </si>
  <si>
    <t>200 – 3,000 W (depending on task)</t>
  </si>
  <si>
    <t>highly variable</t>
  </si>
  <si>
    <t>Max instantaneous leg muscle power (elite)</t>
  </si>
  <si>
    <t>Corps</t>
  </si>
  <si>
    <t>— (metabolic supplied from ATP/PCr + glycolysis)</t>
  </si>
  <si>
    <t>~1,000–3,000 W (legs peak, for &lt;1 s)</t>
  </si>
  <si>
    <t>n/a (burst systems + elastic storage)</t>
  </si>
  <si>
    <t>Wh / kg</t>
  </si>
  <si>
    <t>kWh / kg</t>
  </si>
  <si>
    <t>Indice</t>
  </si>
  <si>
    <t>kcal / h</t>
  </si>
  <si>
    <t>Cout</t>
  </si>
  <si>
    <t>kW</t>
  </si>
  <si>
    <t>Load</t>
  </si>
  <si>
    <t>Energy</t>
  </si>
  <si>
    <t>Sprint</t>
  </si>
  <si>
    <t>Punch</t>
  </si>
  <si>
    <t>Strength</t>
  </si>
  <si>
    <t>Power</t>
  </si>
  <si>
    <t>Heat</t>
  </si>
  <si>
    <t>Mass</t>
  </si>
  <si>
    <t>Muscle</t>
  </si>
  <si>
    <t>Useable</t>
  </si>
  <si>
    <t>Synthesis</t>
  </si>
  <si>
    <t>Eff</t>
  </si>
  <si>
    <t>Time</t>
  </si>
  <si>
    <t>Water</t>
  </si>
  <si>
    <t>Bio</t>
  </si>
  <si>
    <t>Standard</t>
  </si>
  <si>
    <t>Li - Ion</t>
  </si>
  <si>
    <t>x 1</t>
  </si>
  <si>
    <t>0+</t>
  </si>
  <si>
    <t>min</t>
  </si>
  <si>
    <t>GW</t>
  </si>
  <si>
    <t>km/s</t>
  </si>
  <si>
    <t>kN</t>
  </si>
  <si>
    <t>kg/sec</t>
  </si>
  <si>
    <t>t</t>
  </si>
  <si>
    <t>kN / kg</t>
  </si>
  <si>
    <t>GW / t</t>
  </si>
  <si>
    <t>g</t>
  </si>
  <si>
    <t>Ve</t>
  </si>
  <si>
    <t>Thrust</t>
  </si>
  <si>
    <t>Fuel</t>
  </si>
  <si>
    <t>T / m</t>
  </si>
  <si>
    <t>P / m</t>
  </si>
  <si>
    <t>ship</t>
  </si>
  <si>
    <t>accel</t>
  </si>
  <si>
    <t>Athlétique</t>
  </si>
  <si>
    <t>Supersonic jet</t>
  </si>
  <si>
    <t>x 3</t>
  </si>
  <si>
    <t>Transhumain</t>
  </si>
  <si>
    <t>Solid state</t>
  </si>
  <si>
    <t>x 5</t>
  </si>
  <si>
    <t>1+</t>
  </si>
  <si>
    <t>Merlin 1D</t>
  </si>
  <si>
    <t>Carbs</t>
  </si>
  <si>
    <t>Metahumain</t>
  </si>
  <si>
    <t>F=ve​P​=1.5×1053.8×1012​=25.3×106N=25.3MN</t>
  </si>
  <si>
    <t>x 10</t>
  </si>
  <si>
    <t>a=mF​=300,00025.3×106​=84.3m/s2≈8.6g</t>
  </si>
  <si>
    <t>2+</t>
  </si>
  <si>
    <t>h</t>
  </si>
  <si>
    <t>n</t>
  </si>
  <si>
    <t>COMBAT MODE</t>
  </si>
  <si>
    <t>FOR 10 SECONDS BURST</t>
  </si>
  <si>
    <t>Raptor 2</t>
  </si>
  <si>
    <t>P</t>
  </si>
  <si>
    <t>TW</t>
  </si>
  <si>
    <t>minutes</t>
  </si>
  <si>
    <t>Flops</t>
  </si>
  <si>
    <t>W/kg</t>
  </si>
  <si>
    <t>W</t>
  </si>
  <si>
    <t>Processeur</t>
  </si>
  <si>
    <t>Sugar cell (+)</t>
  </si>
  <si>
    <t>Saturn V</t>
  </si>
  <si>
    <t>MICFAM</t>
  </si>
  <si>
    <t>Ref</t>
  </si>
  <si>
    <t>Perf</t>
  </si>
  <si>
    <t>MW/kg</t>
  </si>
  <si>
    <t>Engine</t>
  </si>
  <si>
    <t>Free</t>
  </si>
  <si>
    <t>Delta v</t>
  </si>
  <si>
    <t>MICFAM MH 1</t>
  </si>
  <si>
    <t>Heatsink</t>
  </si>
  <si>
    <t>Graisse</t>
  </si>
  <si>
    <t>Smartphone</t>
  </si>
  <si>
    <t>e11</t>
  </si>
  <si>
    <t>MICFAM MH 2</t>
  </si>
  <si>
    <t>Exhaust velocity</t>
  </si>
  <si>
    <t>kms</t>
  </si>
  <si>
    <t>MICFAM MH 3</t>
  </si>
  <si>
    <t>MICFAM Cruise</t>
  </si>
  <si>
    <t>TW/t</t>
  </si>
  <si>
    <t>Pro</t>
  </si>
  <si>
    <t>km/r</t>
  </si>
  <si>
    <t>Fat cell (+)</t>
  </si>
  <si>
    <t>%</t>
  </si>
  <si>
    <t>Laptop</t>
  </si>
  <si>
    <t>e12</t>
  </si>
  <si>
    <t>TJ</t>
  </si>
  <si>
    <t>Nozzle eff</t>
  </si>
  <si>
    <t>ratio</t>
  </si>
  <si>
    <t>Gamer</t>
  </si>
  <si>
    <t>Gaming laptop</t>
  </si>
  <si>
    <t>e13</t>
  </si>
  <si>
    <t>Graphene</t>
  </si>
  <si>
    <t>Epstein</t>
  </si>
  <si>
    <t>Hacker</t>
  </si>
  <si>
    <t>Custom rig</t>
  </si>
  <si>
    <t>e14</t>
  </si>
  <si>
    <t>Maison</t>
  </si>
  <si>
    <t>3+2D</t>
  </si>
  <si>
    <t>Desktop</t>
  </si>
  <si>
    <t>Booster DDE</t>
  </si>
  <si>
    <t>Magasin</t>
  </si>
  <si>
    <t>4+2D</t>
  </si>
  <si>
    <t>Serveur</t>
  </si>
  <si>
    <t>5+3D</t>
  </si>
  <si>
    <t>F = 2Pn / Ve</t>
  </si>
  <si>
    <t>10 ton</t>
  </si>
  <si>
    <t>F</t>
  </si>
  <si>
    <t>Mainframe</t>
  </si>
  <si>
    <t>6+4D</t>
  </si>
  <si>
    <t>500 ton</t>
  </si>
  <si>
    <t>Supercomputer</t>
  </si>
  <si>
    <t>e18</t>
  </si>
  <si>
    <t>Jet suit</t>
  </si>
  <si>
    <t>MN</t>
  </si>
  <si>
    <t>RTG (Voyager)</t>
  </si>
  <si>
    <t>-</t>
  </si>
  <si>
    <t>Oversize</t>
  </si>
  <si>
    <t>+1D</t>
  </si>
  <si>
    <t>+1</t>
  </si>
  <si>
    <t>=</t>
  </si>
  <si>
    <t>Ship mass</t>
  </si>
  <si>
    <t>m</t>
  </si>
  <si>
    <t>Miniaturized</t>
  </si>
  <si>
    <t>-1D</t>
  </si>
  <si>
    <t>MH</t>
  </si>
  <si>
    <t>/ 10</t>
  </si>
  <si>
    <t>Tritium</t>
  </si>
  <si>
    <t>ans</t>
  </si>
  <si>
    <t>% / sec</t>
  </si>
  <si>
    <t>Nickel 63</t>
  </si>
  <si>
    <t>Acceleration</t>
  </si>
  <si>
    <t>Mass ratio</t>
  </si>
  <si>
    <t>a</t>
  </si>
  <si>
    <t>m/s</t>
  </si>
  <si>
    <t>Wet mass</t>
  </si>
  <si>
    <t>Jambes</t>
  </si>
  <si>
    <t>Masse</t>
  </si>
  <si>
    <t>Carbon 14</t>
  </si>
  <si>
    <t>Jump</t>
  </si>
  <si>
    <t>Speed</t>
  </si>
  <si>
    <t>Taille</t>
  </si>
  <si>
    <t>Scale</t>
  </si>
  <si>
    <t>Li - Air</t>
  </si>
  <si>
    <t>m/s²</t>
  </si>
  <si>
    <t>LiH</t>
  </si>
  <si>
    <t>Heat sink</t>
  </si>
  <si>
    <t>1 g</t>
  </si>
  <si>
    <t>50 g</t>
  </si>
  <si>
    <t>x 50</t>
  </si>
  <si>
    <t>Gen T</t>
  </si>
  <si>
    <t>100 g</t>
  </si>
  <si>
    <t>1 kg</t>
  </si>
  <si>
    <t>Tp (TW)</t>
  </si>
  <si>
    <t>Ve (km/s)</t>
  </si>
  <si>
    <t>T (kN)</t>
  </si>
  <si>
    <t>m = F / Ve</t>
  </si>
  <si>
    <t>Mass flow</t>
  </si>
  <si>
    <t>Mass (t)</t>
  </si>
  <si>
    <t>dV (km/s)</t>
  </si>
  <si>
    <t xml:space="preserve">dV (c) </t>
  </si>
  <si>
    <t>accel (g)</t>
  </si>
  <si>
    <t>5 kg</t>
  </si>
  <si>
    <t>Horse power</t>
  </si>
  <si>
    <t>AM Beam MAX</t>
  </si>
  <si>
    <t>D+A</t>
  </si>
  <si>
    <t>10 kg</t>
  </si>
  <si>
    <t>20 kg</t>
  </si>
  <si>
    <t>x 2</t>
  </si>
  <si>
    <t>kg/s</t>
  </si>
  <si>
    <t>Speedrun</t>
  </si>
  <si>
    <t>100 kg</t>
  </si>
  <si>
    <t>Cricket</t>
  </si>
  <si>
    <t>Brayton cycle</t>
  </si>
  <si>
    <t>1 t</t>
  </si>
  <si>
    <t>500 kg</t>
  </si>
  <si>
    <t>/ 2</t>
  </si>
  <si>
    <t>Waste heat</t>
  </si>
  <si>
    <t>Spring</t>
  </si>
  <si>
    <t>10 t</t>
  </si>
  <si>
    <t>2 t</t>
  </si>
  <si>
    <t>/ 5</t>
  </si>
  <si>
    <t>Cheetah</t>
  </si>
  <si>
    <t>GW = GJ/s</t>
  </si>
  <si>
    <t>100 t</t>
  </si>
  <si>
    <t>Roues</t>
  </si>
  <si>
    <t>x10</t>
  </si>
  <si>
    <t>Chenilles</t>
  </si>
  <si>
    <t>x100</t>
  </si>
  <si>
    <t>ETHER</t>
  </si>
  <si>
    <t>Radiator</t>
  </si>
  <si>
    <t>Spider</t>
  </si>
  <si>
    <t>burn time</t>
  </si>
  <si>
    <t>s</t>
  </si>
  <si>
    <t>ICF MAX</t>
  </si>
  <si>
    <t>MW/t</t>
  </si>
  <si>
    <t>%corps</t>
  </si>
  <si>
    <t>fuel used</t>
  </si>
  <si>
    <t>kJ</t>
  </si>
  <si>
    <t xml:space="preserve">    Low gear</t>
  </si>
  <si>
    <t>P+H</t>
  </si>
  <si>
    <t>Bras</t>
  </si>
  <si>
    <t>Lift</t>
  </si>
  <si>
    <t>Melee</t>
  </si>
  <si>
    <t>Swing</t>
  </si>
  <si>
    <t>NSWR MAX</t>
  </si>
  <si>
    <t>% fuel tank</t>
  </si>
  <si>
    <t>U</t>
  </si>
  <si>
    <t>Orion MAX</t>
  </si>
  <si>
    <t>Gorille</t>
  </si>
  <si>
    <t>waste heat</t>
  </si>
  <si>
    <t>x 20</t>
  </si>
  <si>
    <t>ICF Exacting</t>
  </si>
  <si>
    <t>Gunslinger</t>
  </si>
  <si>
    <t>Mantis</t>
  </si>
  <si>
    <t>3+</t>
  </si>
  <si>
    <t>% of heat sink</t>
  </si>
  <si>
    <t>Tinker</t>
  </si>
  <si>
    <t>Heavy duty</t>
  </si>
  <si>
    <t>x 100</t>
  </si>
  <si>
    <t>speed</t>
  </si>
  <si>
    <t>delta v</t>
  </si>
  <si>
    <t>Tentacule</t>
  </si>
  <si>
    <t>displacement</t>
  </si>
  <si>
    <t>d</t>
  </si>
  <si>
    <t>Ailes</t>
  </si>
  <si>
    <t>Turn</t>
  </si>
  <si>
    <t>Accel</t>
  </si>
  <si>
    <t>km</t>
  </si>
  <si>
    <t>Venusien</t>
  </si>
  <si>
    <t>ICF Stratios</t>
  </si>
  <si>
    <t>1 hour</t>
  </si>
  <si>
    <t>90°</t>
  </si>
  <si>
    <t>1 / 5</t>
  </si>
  <si>
    <t>40+</t>
  </si>
  <si>
    <t>Accel : sustained / dive</t>
  </si>
  <si>
    <t>CRUISE MODE</t>
  </si>
  <si>
    <t>Swan</t>
  </si>
  <si>
    <t>30+</t>
  </si>
  <si>
    <t>Dive : speed x 2</t>
  </si>
  <si>
    <t>Falcon</t>
  </si>
  <si>
    <t>2 / 20</t>
  </si>
  <si>
    <t>Hummingbird</t>
  </si>
  <si>
    <t>2 / 10</t>
  </si>
  <si>
    <t>10+</t>
  </si>
  <si>
    <t>Dragonfly</t>
  </si>
  <si>
    <t>180°</t>
  </si>
  <si>
    <t>5 / 10</t>
  </si>
  <si>
    <t>13h</t>
  </si>
  <si>
    <t>Helices</t>
  </si>
  <si>
    <t>eVTOL</t>
  </si>
  <si>
    <t>0 - 1</t>
  </si>
  <si>
    <t>D</t>
  </si>
  <si>
    <t>10 min</t>
  </si>
  <si>
    <t>AU</t>
  </si>
  <si>
    <t>Helico</t>
  </si>
  <si>
    <t>1 - 2</t>
  </si>
  <si>
    <t>Accel phase</t>
  </si>
  <si>
    <t>Thopter</t>
  </si>
  <si>
    <t>j</t>
  </si>
  <si>
    <t>AM Beam Stratios</t>
  </si>
  <si>
    <t>Minidrone</t>
  </si>
  <si>
    <t>Microdrone</t>
  </si>
  <si>
    <t>ICF Nestor</t>
  </si>
  <si>
    <t>Rockets / jets</t>
  </si>
  <si>
    <t>Booster 'DDE'</t>
  </si>
  <si>
    <t>1 sec</t>
  </si>
  <si>
    <t>45°</t>
  </si>
  <si>
    <t>F-16</t>
  </si>
  <si>
    <t>Firefly</t>
  </si>
  <si>
    <t>Rocket</t>
  </si>
  <si>
    <t>7+</t>
  </si>
  <si>
    <t>10 sec</t>
  </si>
  <si>
    <t>ICF - MH</t>
  </si>
  <si>
    <t>13+</t>
  </si>
  <si>
    <t>Boeing</t>
  </si>
  <si>
    <t>10 hour</t>
  </si>
  <si>
    <t>D+T</t>
  </si>
  <si>
    <t>% fuel</t>
  </si>
  <si>
    <t>Epstein 2</t>
  </si>
  <si>
    <t>AV:T</t>
  </si>
  <si>
    <t>D+H</t>
  </si>
  <si>
    <t>AU/j</t>
  </si>
  <si>
    <t xml:space="preserve">     Cruise</t>
  </si>
  <si>
    <t xml:space="preserve">     Combat</t>
  </si>
  <si>
    <t>distance</t>
  </si>
  <si>
    <t>MI Fusion Icarus</t>
  </si>
  <si>
    <t>Orion 10k</t>
  </si>
  <si>
    <t>km/s/j</t>
  </si>
  <si>
    <t>Orion 4k</t>
  </si>
  <si>
    <t>Orion USAF</t>
  </si>
  <si>
    <t>Orion Fusion</t>
  </si>
  <si>
    <t>Orion Fission</t>
  </si>
  <si>
    <t>Gen G</t>
  </si>
  <si>
    <t>Tp (GW)</t>
  </si>
  <si>
    <t>Slough Fusion</t>
  </si>
  <si>
    <t>Small waste heat</t>
  </si>
  <si>
    <t>t/j</t>
  </si>
  <si>
    <t>mass ratio</t>
  </si>
  <si>
    <t>Total delta v</t>
  </si>
  <si>
    <t>MT Fusion THIO</t>
  </si>
  <si>
    <t xml:space="preserve">     40 Hz pulses</t>
  </si>
  <si>
    <t xml:space="preserve">     200 Hz pulses</t>
  </si>
  <si>
    <t>IC Fusion D-T</t>
  </si>
  <si>
    <t>time to cool</t>
  </si>
  <si>
    <t>cd</t>
  </si>
  <si>
    <t>IC Fusion D-D</t>
  </si>
  <si>
    <t>ANTIMATTER MODE</t>
  </si>
  <si>
    <t>c</t>
  </si>
  <si>
    <t>E = P * t</t>
  </si>
  <si>
    <t>Energy needed</t>
  </si>
  <si>
    <t>E</t>
  </si>
  <si>
    <t>TJ (for 1g of matter + 1g of antimatter)</t>
  </si>
  <si>
    <t>Antimatter needed</t>
  </si>
  <si>
    <t>Target mass</t>
  </si>
  <si>
    <t>energy</t>
  </si>
  <si>
    <t>carry</t>
  </si>
  <si>
    <t xml:space="preserve"> Cooling : continuous 2 kW, burst 10 kW (vapor). (100 - 500 W/m²K)</t>
  </si>
  <si>
    <t>Muscles</t>
  </si>
  <si>
    <t>Lift : body weight x</t>
  </si>
  <si>
    <t>CPU</t>
  </si>
  <si>
    <t>h (passive)</t>
  </si>
  <si>
    <t>% corps</t>
  </si>
  <si>
    <t>kW/m² K</t>
  </si>
  <si>
    <t>Q_conv</t>
  </si>
  <si>
    <t>Prix</t>
  </si>
  <si>
    <t>Q_conv = h · A · ΔT</t>
  </si>
  <si>
    <t>Bones</t>
  </si>
  <si>
    <t>Taille -3</t>
  </si>
  <si>
    <t>Taille -2</t>
  </si>
  <si>
    <t>h (active)</t>
  </si>
  <si>
    <t>Taille -1</t>
  </si>
  <si>
    <t>Taille 0</t>
  </si>
  <si>
    <t>Taille 1</t>
  </si>
  <si>
    <t>Taille 2</t>
  </si>
  <si>
    <t>Organs</t>
  </si>
  <si>
    <t>structure</t>
  </si>
  <si>
    <t>x5</t>
  </si>
  <si>
    <t>x2</t>
  </si>
  <si>
    <t>x1</t>
  </si>
  <si>
    <t>x0</t>
  </si>
  <si>
    <t>2 mm CNM</t>
  </si>
  <si>
    <t>x20</t>
  </si>
  <si>
    <t>x3</t>
  </si>
  <si>
    <t>ΔT</t>
  </si>
  <si>
    <t>K</t>
  </si>
  <si>
    <t>cooling</t>
  </si>
  <si>
    <t>Actual</t>
  </si>
  <si>
    <t>Surhumain</t>
  </si>
  <si>
    <t>x50</t>
  </si>
  <si>
    <t>carrying cap</t>
  </si>
  <si>
    <t>Factor</t>
  </si>
  <si>
    <t>x80</t>
  </si>
  <si>
    <t>x30</t>
  </si>
  <si>
    <t>x15</t>
  </si>
  <si>
    <t>x8</t>
  </si>
  <si>
    <t>x4</t>
  </si>
  <si>
    <t>kJ / min</t>
  </si>
  <si>
    <t>Prototype</t>
  </si>
  <si>
    <t>?</t>
  </si>
  <si>
    <t>x40</t>
  </si>
  <si>
    <t>Membres</t>
  </si>
  <si>
    <t>Cyberlegs</t>
  </si>
  <si>
    <t>Hardware</t>
  </si>
  <si>
    <t>Bras Mantis</t>
  </si>
  <si>
    <t>MJ / h</t>
  </si>
  <si>
    <t>Membre blindé</t>
  </si>
  <si>
    <t>kJ / kg</t>
  </si>
  <si>
    <t>+100</t>
  </si>
  <si>
    <t>+10</t>
  </si>
  <si>
    <t>Externe</t>
  </si>
  <si>
    <t>Cyberdeck</t>
  </si>
  <si>
    <t>Batterie</t>
  </si>
  <si>
    <t>x0.5</t>
  </si>
  <si>
    <t>Fat</t>
  </si>
  <si>
    <t>Total mass</t>
  </si>
  <si>
    <t>Cerveau</t>
  </si>
  <si>
    <t>Ossature</t>
  </si>
  <si>
    <t>Organes</t>
  </si>
  <si>
    <t>Muscle mass</t>
  </si>
  <si>
    <t>athlete</t>
  </si>
  <si>
    <t>Muscles (aggro)</t>
  </si>
  <si>
    <t>peak</t>
  </si>
  <si>
    <t>Eau</t>
  </si>
  <si>
    <t>Muscles (high)</t>
  </si>
  <si>
    <t>sust</t>
  </si>
  <si>
    <t>Muscles (low)</t>
  </si>
  <si>
    <t xml:space="preserve">mass </t>
  </si>
  <si>
    <t>earth</t>
  </si>
  <si>
    <t>volume</t>
  </si>
  <si>
    <t>CPU mass</t>
  </si>
  <si>
    <t>CPU (high)</t>
  </si>
  <si>
    <t>rocky :</t>
  </si>
  <si>
    <t>CPU (low)</t>
  </si>
  <si>
    <t>gravity</t>
  </si>
  <si>
    <t>Max discharge</t>
  </si>
  <si>
    <t>Average</t>
  </si>
  <si>
    <t>N/kg</t>
  </si>
  <si>
    <t>Athletic</t>
  </si>
  <si>
    <t>legs</t>
  </si>
  <si>
    <t>Force</t>
  </si>
  <si>
    <t>hold</t>
  </si>
  <si>
    <t>Graisse +</t>
  </si>
  <si>
    <t>Eau +</t>
  </si>
  <si>
    <t>Structure</t>
  </si>
  <si>
    <t>Carbs +</t>
  </si>
  <si>
    <t>limit</t>
  </si>
  <si>
    <t>ARBITRARY</t>
  </si>
  <si>
    <t>v=​(2Pη / (ρCd​A))^1/3</t>
  </si>
  <si>
    <t>η</t>
  </si>
  <si>
    <t>(efficiency)</t>
  </si>
  <si>
    <t>ρ</t>
  </si>
  <si>
    <t>kg/m3 (air density)</t>
  </si>
  <si>
    <t>CdA</t>
  </si>
  <si>
    <t>m² (aerodynamism)</t>
  </si>
  <si>
    <t>F (legs)</t>
  </si>
  <si>
    <t>N</t>
  </si>
  <si>
    <t>a = F/m</t>
  </si>
  <si>
    <t>PeakOverpressure_psi</t>
  </si>
  <si>
    <t>PeakOverpressure_kPa</t>
  </si>
  <si>
    <t>Human_effects</t>
  </si>
  <si>
    <t>Window_glass_3mm</t>
  </si>
  <si>
    <t>Car_passenger</t>
  </si>
  <si>
    <t>strength</t>
  </si>
  <si>
    <t>Light_wood_frame_house</t>
  </si>
  <si>
    <t>Brick_masonry_house</t>
  </si>
  <si>
    <t>Reinforced_concrete_30cm</t>
  </si>
  <si>
    <t>Steel_plate_5cm</t>
  </si>
  <si>
    <t>Fmax</t>
  </si>
  <si>
    <t>J</t>
  </si>
  <si>
    <t>No significant injury if sheltered; minimal structural effect</t>
  </si>
  <si>
    <t>Very unlikely to break</t>
  </si>
  <si>
    <t>No structural damage</t>
  </si>
  <si>
    <t>No damage</t>
  </si>
  <si>
    <t>legs muscles</t>
  </si>
  <si>
    <t>TNT equivalent</t>
  </si>
  <si>
    <t>Pmax</t>
  </si>
  <si>
    <t>Possible eardrum rupture for some; minor debris risk</t>
  </si>
  <si>
    <t>Small windows may crack or pop out</t>
  </si>
  <si>
    <t>No structural damage; falling debris possible</t>
  </si>
  <si>
    <t>W1/3TNT</t>
  </si>
  <si>
    <t>power</t>
  </si>
  <si>
    <t>Vmax</t>
  </si>
  <si>
    <t>High chance of eardrum rupture; glass injuries likely</t>
  </si>
  <si>
    <t>Most residential windows break</t>
  </si>
  <si>
    <t>Localized denting or cracking</t>
  </si>
  <si>
    <t>Minor structural damage (doors or windows)</t>
  </si>
  <si>
    <t>Minor to moderate non-structural damage</t>
  </si>
  <si>
    <t>Negligible</t>
  </si>
  <si>
    <t>Z(P)</t>
  </si>
  <si>
    <t>Increased lung trauma risk; many injured from debris</t>
  </si>
  <si>
    <t>All standard windows shatter</t>
  </si>
  <si>
    <t>Possible broken windows; glass and trim ripped off</t>
  </si>
  <si>
    <t>Significant damage to trim and roof elements</t>
  </si>
  <si>
    <t>Partial collapse of unreinforced walls possible</t>
  </si>
  <si>
    <t>Possible chipping or spalling</t>
  </si>
  <si>
    <t>No perforation</t>
  </si>
  <si>
    <t>light damage</t>
  </si>
  <si>
    <t>1 psi</t>
  </si>
  <si>
    <t>kPa</t>
  </si>
  <si>
    <t>High probability of serious lung injury; fatalities outdoors</t>
  </si>
  <si>
    <t>Commercial glazing fails</t>
  </si>
  <si>
    <t>Doors blown off; body intrusion possible</t>
  </si>
  <si>
    <t>Partial collapse of light structures</t>
  </si>
  <si>
    <t>Severe structural damage to masonry</t>
  </si>
  <si>
    <t>Localized spalling; generally intact</t>
  </si>
  <si>
    <t>heavy damage</t>
  </si>
  <si>
    <t>5 psi</t>
  </si>
  <si>
    <t>Severe injuries common; many fatalities outdoors</t>
  </si>
  <si>
    <t>All glazing and curtain walls fail</t>
  </si>
  <si>
    <t>Heavy deformation; possible rolling of vehicles</t>
  </si>
  <si>
    <t>Severe damage to wood-frame structures</t>
  </si>
  <si>
    <t>Heavy damage; collapse of many masonry buildings</t>
  </si>
  <si>
    <t>Heavy spalling; thin-section breach possible</t>
  </si>
  <si>
    <t>severe damage</t>
  </si>
  <si>
    <t>10 psi</t>
  </si>
  <si>
    <t>Very high lethality in the open; massive destruction</t>
  </si>
  <si>
    <t>Almost all glazing destroyed</t>
  </si>
  <si>
    <t>Vehicles overturned or crushed by debris</t>
  </si>
  <si>
    <t>Most wood houses destroyed</t>
  </si>
  <si>
    <t>Severe structural collapse</t>
  </si>
  <si>
    <t>Serious RC damage; through-breaches possible</t>
  </si>
  <si>
    <t>No perforation; mounts may fail</t>
  </si>
  <si>
    <t>Essentially unsurvivable in the open; complete destruction locally</t>
  </si>
  <si>
    <t>Catastrophic building failure</t>
  </si>
  <si>
    <t>Vehicles destroyed</t>
  </si>
  <si>
    <t>Complete destruction of light buildings</t>
  </si>
  <si>
    <t>Wide collapse of masonry</t>
  </si>
  <si>
    <t>Large-scale shattering or spalling</t>
  </si>
  <si>
    <t>No clean perforation; mounts fail</t>
  </si>
  <si>
    <t>Near-certain fatality; near-total obliteration</t>
  </si>
  <si>
    <t>Few intact structures remain</t>
  </si>
  <si>
    <t>Vehicles vaporized by fragments</t>
  </si>
  <si>
    <t>Nothing left of light buildings</t>
  </si>
  <si>
    <t>Serious crushing of heavy masonry</t>
  </si>
  <si>
    <t>α</t>
  </si>
  <si>
    <t>Major breach or failure of concrete</t>
  </si>
  <si>
    <t>Possible large plastic deformation; still unlikely to perforate</t>
  </si>
  <si>
    <t>Complete annihilation locally</t>
  </si>
  <si>
    <t>Absolute annihilation of exposed objects</t>
  </si>
  <si>
    <t>All vehicles destroyed</t>
  </si>
  <si>
    <t>All building types destroyed</t>
  </si>
  <si>
    <t>Heavy damage to reinforced structures</t>
  </si>
  <si>
    <t>Full plastic failure of concrete</t>
  </si>
  <si>
    <t>Perforation depends on impulse/duration; near steel yield</t>
  </si>
  <si>
    <t>elite</t>
  </si>
  <si>
    <t>Catastrophic; extreme environment</t>
  </si>
  <si>
    <t>sprint</t>
  </si>
  <si>
    <t>Absolute annihilation</t>
  </si>
  <si>
    <t>Steel and heavy structures shredded</t>
  </si>
  <si>
    <t>No light buildings remain</t>
  </si>
  <si>
    <t>Crushing and destruction of masonry</t>
  </si>
  <si>
    <t>human leg</t>
  </si>
  <si>
    <t>Concrete obliterated</t>
  </si>
  <si>
    <t>sprint force</t>
  </si>
  <si>
    <t>Fragment-driven penetration dominates</t>
  </si>
  <si>
    <t>arm speed</t>
  </si>
  <si>
    <t>jump force</t>
  </si>
  <si>
    <t>cyber leg</t>
  </si>
  <si>
    <t>Skeletal muscle</t>
  </si>
  <si>
    <t>N/m²</t>
  </si>
  <si>
    <t>drone</t>
  </si>
  <si>
    <t>k</t>
  </si>
  <si>
    <t>scaled F/W</t>
  </si>
  <si>
    <t>density</t>
  </si>
  <si>
    <t>kg/m3</t>
  </si>
  <si>
    <t>f</t>
  </si>
  <si>
    <t>V</t>
  </si>
  <si>
    <t>by mass</t>
  </si>
  <si>
    <t>F/W (lift) nature</t>
  </si>
  <si>
    <t>real</t>
  </si>
  <si>
    <t>eq</t>
  </si>
  <si>
    <t>L (human)</t>
  </si>
  <si>
    <t>m3</t>
  </si>
  <si>
    <t>x body weight</t>
  </si>
  <si>
    <t>L (mouse)</t>
  </si>
  <si>
    <t>L (ant)</t>
  </si>
  <si>
    <t>L (elephant)</t>
  </si>
  <si>
    <t>L (power)</t>
  </si>
  <si>
    <t>L (tank)</t>
  </si>
  <si>
    <t>Others</t>
  </si>
  <si>
    <t>L (dog)</t>
  </si>
  <si>
    <t>dry mass</t>
  </si>
  <si>
    <t>4 TW MICFAM engine</t>
  </si>
  <si>
    <t>Cooling</t>
  </si>
  <si>
    <t>3 50x20m retractable L-ETHER wings (10 GW), coolant pumps</t>
  </si>
  <si>
    <t>2 TJ (Lithium hydride + L-ETHER hab wheel)</t>
  </si>
  <si>
    <t>Carbon steel hull with ceramic plating, lightweight CNT polymer internal structure</t>
  </si>
  <si>
    <t>jump</t>
  </si>
  <si>
    <t>Backup fusion core, graphene capacitors and power buses</t>
  </si>
  <si>
    <t>Life support</t>
  </si>
  <si>
    <t>Facilities for a military crew of 10, food and water, recycling</t>
  </si>
  <si>
    <t>Armor</t>
  </si>
  <si>
    <t>Multi-layered whipple shield, front only</t>
  </si>
  <si>
    <t>Weapons</t>
  </si>
  <si>
    <t>Laser turret, keel-mounted coilgun</t>
  </si>
  <si>
    <t>Auxiliary</t>
  </si>
  <si>
    <t>Side thrusters, gyroscope (mounted in the hab wheel), wings and landing struts</t>
  </si>
  <si>
    <t>Bio-computer with DNA storage, autonomous AI</t>
  </si>
  <si>
    <t>Sensors</t>
  </si>
  <si>
    <t>Sensors suite (radar, lidar, optical, EM sensors, internal monitoring) + Comms array</t>
  </si>
  <si>
    <t>Miscellaneous</t>
  </si>
  <si>
    <t>Laser sail, land rover, repair drones and other equipment</t>
  </si>
  <si>
    <t>taille -4</t>
  </si>
  <si>
    <t>taille -3</t>
  </si>
  <si>
    <t>taille -2</t>
  </si>
  <si>
    <t>taille -1</t>
  </si>
  <si>
    <t>B</t>
  </si>
  <si>
    <t>T</t>
  </si>
  <si>
    <t>r</t>
  </si>
  <si>
    <t>taille 0</t>
  </si>
  <si>
    <t>shaft radius</t>
  </si>
  <si>
    <t>A</t>
  </si>
  <si>
    <t>m²</t>
  </si>
  <si>
    <t>magnetic bearing area</t>
  </si>
  <si>
    <t>τ max</t>
  </si>
  <si>
    <t>taille 1</t>
  </si>
  <si>
    <t>MN·m</t>
  </si>
  <si>
    <t>ring torque</t>
  </si>
  <si>
    <t>τmax = r⋅ B² A / 2μ0​​</t>
  </si>
  <si>
    <t>max Ωt​​</t>
  </si>
  <si>
    <t>rad</t>
  </si>
  <si>
    <t>τ=L⋅Ωt​</t>
  </si>
  <si>
    <t>deg</t>
  </si>
  <si>
    <t>L = mrv</t>
  </si>
  <si>
    <t>L</t>
  </si>
  <si>
    <t>taille 2</t>
  </si>
  <si>
    <t>kg·m²/s</t>
  </si>
  <si>
    <t>ring mass</t>
  </si>
  <si>
    <t>v</t>
  </si>
  <si>
    <t>I</t>
  </si>
  <si>
    <t>taille 3</t>
  </si>
  <si>
    <t xml:space="preserve"> kg·m²</t>
  </si>
  <si>
    <t>Ship moment of inertia        2.88×10^7 kg·m²</t>
  </si>
  <si>
    <t>Ωt​​</t>
  </si>
  <si>
    <t>taille 4</t>
  </si>
  <si>
    <t>deg/s</t>
  </si>
  <si>
    <t>ωship​</t>
  </si>
  <si>
    <t>rad/s</t>
  </si>
  <si>
    <t>energy cost for torque</t>
  </si>
  <si>
    <t>P=LΩt²</t>
  </si>
  <si>
    <t>GJ</t>
  </si>
  <si>
    <t>rotational energy stored</t>
  </si>
  <si>
    <t>E = 1/2 mv²</t>
  </si>
  <si>
    <t>Torque</t>
  </si>
  <si>
    <t>F = Pm​*A = A * B² / 2μ0​​</t>
  </si>
  <si>
    <t>c=</t>
  </si>
  <si>
    <t>Heat res</t>
  </si>
  <si>
    <t>F=(1+R)⋅P​  /  c</t>
  </si>
  <si>
    <t>W/m²</t>
  </si>
  <si>
    <t>solar power at 0.05 AU</t>
  </si>
  <si>
    <t>Reflectivity</t>
  </si>
  <si>
    <t>MW/m²</t>
  </si>
  <si>
    <t>Max laser power</t>
  </si>
  <si>
    <t>Where:</t>
  </si>
  <si>
    <t>area for 1 PW</t>
  </si>
  <si>
    <t>F = thrust (Newtons)</t>
  </si>
  <si>
    <t>km²</t>
  </si>
  <si>
    <t>Laser power</t>
  </si>
  <si>
    <t>PW</t>
  </si>
  <si>
    <t>P = laser power (Watts)</t>
  </si>
  <si>
    <t>vapo</t>
  </si>
  <si>
    <t>nm</t>
  </si>
  <si>
    <t>w = L * 1.22 * λ / D​</t>
  </si>
  <si>
    <t>HEAT SINK</t>
  </si>
  <si>
    <t>ship mass</t>
  </si>
  <si>
    <t xml:space="preserve">Metastable Lithium Hybrid </t>
  </si>
  <si>
    <t>LiH sensible heat</t>
  </si>
  <si>
    <t>MJ/kg</t>
  </si>
  <si>
    <t>Li</t>
  </si>
  <si>
    <t>g/mol</t>
  </si>
  <si>
    <t>R = reflectivity (unitless, e.g. 0.98 for 98%)</t>
  </si>
  <si>
    <t>LiD sensible heat</t>
  </si>
  <si>
    <t>LiH heat of fusion</t>
  </si>
  <si>
    <t>H</t>
  </si>
  <si>
    <t>L = w * D  / ( 1.22 * λ )</t>
  </si>
  <si>
    <t>LiD heat of fusion</t>
  </si>
  <si>
    <t>Decomposition</t>
  </si>
  <si>
    <t>LiH &gt; Li + 1/2 H2 decomposition is endothermic</t>
  </si>
  <si>
    <t>chemical decomposition</t>
  </si>
  <si>
    <t>w = spot size</t>
  </si>
  <si>
    <t>c = speed of light ≈ 3×10^8 m/s</t>
  </si>
  <si>
    <t>L = distance</t>
  </si>
  <si>
    <t>H2</t>
  </si>
  <si>
    <t>λ = wavelength</t>
  </si>
  <si>
    <t>F≈1.98⋅P​ / c</t>
  </si>
  <si>
    <t>D = lens diameter</t>
  </si>
  <si>
    <t>D2</t>
  </si>
  <si>
    <t>Engineered for higher temp</t>
  </si>
  <si>
    <t>sensible heat 2000K</t>
  </si>
  <si>
    <t>LiD</t>
  </si>
  <si>
    <t>Lithium vaporization</t>
  </si>
  <si>
    <t>ly</t>
  </si>
  <si>
    <t>aτ</t>
  </si>
  <si>
    <t>Latent heat of vaporization:  21 MJ/kg</t>
  </si>
  <si>
    <t>mol/kg</t>
  </si>
  <si>
    <t>D2 vaporization</t>
  </si>
  <si>
    <t>Vaporization</t>
  </si>
  <si>
    <t>also using some dissociation/ionization energy</t>
  </si>
  <si>
    <t>H2 vaporization</t>
  </si>
  <si>
    <t>proper time</t>
  </si>
  <si>
    <t>Latent + sensible heat to 2000 K: ~445 MJ/kg</t>
  </si>
  <si>
    <t>ΔH</t>
  </si>
  <si>
    <t>kJ/mol</t>
  </si>
  <si>
    <t>total</t>
  </si>
  <si>
    <t>ARRAY</t>
  </si>
  <si>
    <t>Radius</t>
  </si>
  <si>
    <t>Vapor is recaptured and ran through the Ether dust radiators to recondense</t>
  </si>
  <si>
    <t>Mt</t>
  </si>
  <si>
    <t>Spot size</t>
  </si>
  <si>
    <t>km radius</t>
  </si>
  <si>
    <t>LiH mass</t>
  </si>
  <si>
    <t>Efficiency</t>
  </si>
  <si>
    <t>Distance</t>
  </si>
  <si>
    <t>MJ/kg (vapo at 2000K)</t>
  </si>
  <si>
    <t>Operation temp</t>
  </si>
  <si>
    <t>LiH mol</t>
  </si>
  <si>
    <t>Collector area</t>
  </si>
  <si>
    <t>mol</t>
  </si>
  <si>
    <t>H2 released</t>
  </si>
  <si>
    <t>tonnage</t>
  </si>
  <si>
    <t xml:space="preserve">  </t>
  </si>
  <si>
    <t>sink</t>
  </si>
  <si>
    <t>full array</t>
  </si>
  <si>
    <t>Temp</t>
  </si>
  <si>
    <t>km square</t>
  </si>
  <si>
    <t>venting</t>
  </si>
  <si>
    <t>at 1g/m²</t>
  </si>
  <si>
    <t>Pressure</t>
  </si>
  <si>
    <t>atm</t>
  </si>
  <si>
    <t>spacing</t>
  </si>
  <si>
    <t>R =</t>
  </si>
  <si>
    <t>L·atm/(mol·K)</t>
  </si>
  <si>
    <t>V = nRT / P</t>
  </si>
  <si>
    <t>Laser area</t>
  </si>
  <si>
    <t>Q=m⋅[cp​⋅(Tmelt​−Tstart​)+Lf​]</t>
  </si>
  <si>
    <t xml:space="preserve">Lithium vapor at </t>
  </si>
  <si>
    <t>10% array</t>
  </si>
  <si>
    <t>Focus distance</t>
  </si>
  <si>
    <t>x10x10m</t>
  </si>
  <si>
    <t>Q is energy stored</t>
  </si>
  <si>
    <t>m is mass</t>
  </si>
  <si>
    <t>days of accel</t>
  </si>
  <si>
    <t>&gt; lens diameter</t>
  </si>
  <si>
    <t>cp​ is specific heat (J/kg·K)</t>
  </si>
  <si>
    <t>COOLING</t>
  </si>
  <si>
    <t>Tmelt​ is melting point</t>
  </si>
  <si>
    <t>Ether dust tech</t>
  </si>
  <si>
    <t>kW/m²</t>
  </si>
  <si>
    <t>baseline</t>
  </si>
  <si>
    <t>Tstart​ is starting temperature</t>
  </si>
  <si>
    <t>at 2000K</t>
  </si>
  <si>
    <t>Lf​ is latent heat of fusion (J/kg)</t>
  </si>
  <si>
    <t>base</t>
  </si>
  <si>
    <t>kg/m²</t>
  </si>
  <si>
    <t>D = 1.22 λ L / w</t>
  </si>
  <si>
    <t>Coolant</t>
  </si>
  <si>
    <t>wing</t>
  </si>
  <si>
    <t>high tech</t>
  </si>
  <si>
    <t>Wing</t>
  </si>
  <si>
    <t>CNT polymer + graphene</t>
  </si>
  <si>
    <t>Support structure</t>
  </si>
  <si>
    <t>days</t>
  </si>
  <si>
    <t>Folding trusses/ribs, actuators &amp; mechanisms, control surfaces</t>
  </si>
  <si>
    <t>&gt; lens area</t>
  </si>
  <si>
    <t>cloud distance</t>
  </si>
  <si>
    <t>Cooling hardware</t>
  </si>
  <si>
    <t>Pressurized pipes, magnetic pumps, sensors</t>
  </si>
  <si>
    <t>top / bottom</t>
  </si>
  <si>
    <t>Alens = PI * (D/2)²</t>
  </si>
  <si>
    <t>fill factor (sparse)</t>
  </si>
  <si>
    <t>&gt; already accounted for in heat sink</t>
  </si>
  <si>
    <t>ROUNDED</t>
  </si>
  <si>
    <t>module area</t>
  </si>
  <si>
    <t>long edge</t>
  </si>
  <si>
    <t>Module power</t>
  </si>
  <si>
    <t>&gt; module count</t>
  </si>
  <si>
    <t>wings</t>
  </si>
  <si>
    <t>short edge</t>
  </si>
  <si>
    <t>N = Alens / (fill * Amodule)</t>
  </si>
  <si>
    <t>Module mass</t>
  </si>
  <si>
    <t>wheel</t>
  </si>
  <si>
    <t>cloud surface area</t>
  </si>
  <si>
    <t>&gt; module power</t>
  </si>
  <si>
    <t>RadHull</t>
  </si>
  <si>
    <t>total wing area (3 wings)</t>
  </si>
  <si>
    <t>10% loss</t>
  </si>
  <si>
    <t>total cloud surface (3 wings)</t>
  </si>
  <si>
    <t>lithium nanodroplets (~10 nm radius):</t>
  </si>
  <si>
    <t>Particle mass m</t>
  </si>
  <si>
    <t>1.16×10−26kg</t>
  </si>
  <si>
    <t>&gt; mirror area</t>
  </si>
  <si>
    <t>Thermal velocity vth​</t>
  </si>
  <si>
    <t>~2,200 m/s (at 2000 K)</t>
  </si>
  <si>
    <t>Particle charge q</t>
  </si>
  <si>
    <t>5.5×10−18C</t>
  </si>
  <si>
    <t>LITHIUM VAPOR VOLUME</t>
  </si>
  <si>
    <t>&gt; mirror mass</t>
  </si>
  <si>
    <t>V=nRT​ / P</t>
  </si>
  <si>
    <t>n=1.44×10^7 mol</t>
  </si>
  <si>
    <t>100t</t>
  </si>
  <si>
    <t>R=8.314 J/mol K</t>
  </si>
  <si>
    <t>ideal gas constant</t>
  </si>
  <si>
    <t>T=2500 K</t>
  </si>
  <si>
    <t>&gt; solar panel mass</t>
  </si>
  <si>
    <t>R</t>
  </si>
  <si>
    <t>P=60,800 Pa</t>
  </si>
  <si>
    <t>0.6 atm</t>
  </si>
  <si>
    <t>Pa</t>
  </si>
  <si>
    <t>V=</t>
  </si>
  <si>
    <t>at 100g/m² but 100x smaller</t>
  </si>
  <si>
    <t>container</t>
  </si>
  <si>
    <t>m d'arete</t>
  </si>
  <si>
    <t>d &lt;= λ * L /  R</t>
  </si>
  <si>
    <t>fill factor</t>
  </si>
  <si>
    <t>m thickness</t>
  </si>
  <si>
    <t>x10^6</t>
  </si>
  <si>
    <t>m3 tungsten volume</t>
  </si>
  <si>
    <t>99.9% loss</t>
  </si>
  <si>
    <t>DUSTY PLASMA</t>
  </si>
  <si>
    <t>90% loss</t>
  </si>
  <si>
    <t>tungsten / lithium</t>
  </si>
  <si>
    <t>GRAPHITE</t>
  </si>
  <si>
    <t>major radius R</t>
  </si>
  <si>
    <t>P = ϵσT^4</t>
  </si>
  <si>
    <t>graphite dusty plasma</t>
  </si>
  <si>
    <t>minor radius r</t>
  </si>
  <si>
    <t>ϵ = emissivity</t>
  </si>
  <si>
    <t>torus outer area A</t>
  </si>
  <si>
    <t>&gt; collector area</t>
  </si>
  <si>
    <t>σ =  constant</t>
  </si>
  <si>
    <t>W/m²K^4</t>
  </si>
  <si>
    <t>Heat rad</t>
  </si>
  <si>
    <t>T = operating temp</t>
  </si>
  <si>
    <t>&gt; min spacing d</t>
  </si>
  <si>
    <t>torus volume V</t>
  </si>
  <si>
    <t>&gt; min fill</t>
  </si>
  <si>
    <t>dust mass density</t>
  </si>
  <si>
    <t>&gt; to 0.01</t>
  </si>
  <si>
    <t>P=</t>
  </si>
  <si>
    <t>argon density</t>
  </si>
  <si>
    <t>x10^3</t>
  </si>
  <si>
    <t>&gt; at 0.1 atm</t>
  </si>
  <si>
    <t>total density</t>
  </si>
  <si>
    <t>total mass</t>
  </si>
  <si>
    <t>Target dust surface area per m³:</t>
  </si>
  <si>
    <t>Adust​≈10^5−10^6 m2/m3</t>
  </si>
  <si>
    <t>--</t>
  </si>
  <si>
    <t>Rcoil</t>
  </si>
  <si>
    <t>Rtorus</t>
  </si>
  <si>
    <t>Bcoil</t>
  </si>
  <si>
    <t>B = μ0​ NI / (2 R)</t>
  </si>
  <si>
    <t>Field at center of torus</t>
  </si>
  <si>
    <t>B(Rtorus)</t>
  </si>
  <si>
    <t>field strength at torus</t>
  </si>
  <si>
    <t>μ0​=4π×10−7 H/m</t>
  </si>
  <si>
    <t>Plasma beta (β) ≤ 0.01–0.1</t>
  </si>
  <si>
    <t>this means magnetic pressure dominates, and the plasma stays tightly confined.</t>
  </si>
  <si>
    <t>at 0.1 atm &gt; magnetic field strength B = 1.58 T</t>
  </si>
  <si>
    <t>NI</t>
  </si>
  <si>
    <t>A-turns</t>
  </si>
  <si>
    <t>ideally &gt; 2T for long-term confinement</t>
  </si>
  <si>
    <t>turns</t>
  </si>
  <si>
    <t>&gt; 100 turns</t>
  </si>
  <si>
    <t>A = I / J</t>
  </si>
  <si>
    <t>J (graphene)</t>
  </si>
  <si>
    <t>A/m²</t>
  </si>
  <si>
    <t>&gt; total length</t>
  </si>
  <si>
    <t>&gt; conductor volume</t>
  </si>
  <si>
    <t>p (graphene)</t>
  </si>
  <si>
    <t>coil mass</t>
  </si>
  <si>
    <t>structure ratio</t>
  </si>
  <si>
    <t>&lt;3</t>
  </si>
  <si>
    <t>cryo ratio</t>
  </si>
  <si>
    <t>&lt;0.4</t>
  </si>
  <si>
    <t>shielding ratio</t>
  </si>
  <si>
    <t>&lt;0.2</t>
  </si>
  <si>
    <t>power ratio</t>
  </si>
  <si>
    <t>safety ratio</t>
  </si>
  <si>
    <t>total mass 2</t>
  </si>
  <si>
    <t>t for 10 GW</t>
  </si>
  <si>
    <t>ITER : 3.3x</t>
  </si>
  <si>
    <t>But ITER operates at higher fields and far larger scale</t>
  </si>
  <si>
    <t>GW/t</t>
  </si>
  <si>
    <t>safe distance d</t>
  </si>
  <si>
    <t>from the ship</t>
  </si>
  <si>
    <t>from other coils if co-planar, less if perpendicular</t>
  </si>
  <si>
    <t>🔵 FRONT Arc</t>
  </si>
  <si>
    <t>Roll</t>
  </si>
  <si>
    <t>Protection</t>
  </si>
  <si>
    <t>System</t>
  </si>
  <si>
    <t>Subsystem</t>
  </si>
  <si>
    <t>Light</t>
  </si>
  <si>
    <t>Heavy</t>
  </si>
  <si>
    <t>Critical</t>
  </si>
  <si>
    <t>TOP / BOTTOM ARC (Polar attack vectors)</t>
  </si>
  <si>
    <t>🛡️</t>
  </si>
  <si>
    <t>⚡</t>
  </si>
  <si>
    <t>Reactor Core</t>
  </si>
  <si>
    <t>Output reduced; auxiliary grid compensates</t>
  </si>
  <si>
    <t>Partial shutdown; reroute power</t>
  </si>
  <si>
    <t>Reactor fails; risk of meltdown or explosion</t>
  </si>
  <si>
    <t>Deepest, central. Only reachable if top armor is breached.</t>
  </si>
  <si>
    <t>🧠</t>
  </si>
  <si>
    <t>Bridge / Command Core</t>
  </si>
  <si>
    <t>Brief command delay</t>
  </si>
  <si>
    <t>AI loop errors; command loss for 1 round</t>
  </si>
  <si>
    <t>Total CPU loss; ship control reverts to emergency backup</t>
  </si>
  <si>
    <t>May be dorsal; some risk depending on design.</t>
  </si>
  <si>
    <t>Habitat Section</t>
  </si>
  <si>
    <t>Minor crew injuries or decompression</t>
  </si>
  <si>
    <t>Significant hull breach; life support stress</t>
  </si>
  <si>
    <t>Habitat destroyed; crew casualties and full decompression</t>
  </si>
  <si>
    <t>Accessible mid-ship hit.</t>
  </si>
  <si>
    <t>⚠️</t>
  </si>
  <si>
    <t>🌡️</t>
  </si>
  <si>
    <t>Cooling Systems</t>
  </si>
  <si>
    <t>Minor coolant leak; reduced heat capacity</t>
  </si>
  <si>
    <t>Overheating; reactor throttled</t>
  </si>
  <si>
    <t>Coolant loop ruptured; core shutdown imminent</t>
  </si>
  <si>
    <t>Sensors / Comms</t>
  </si>
  <si>
    <t>Often mounted top and bottom for full-sky coverage.</t>
  </si>
  <si>
    <t>🎯</t>
  </si>
  <si>
    <t>📡</t>
  </si>
  <si>
    <t>Sensors / Comms Array</t>
  </si>
  <si>
    <t>Signal jitter; targeting penalties</t>
  </si>
  <si>
    <t>Sensor lock lost; comms blackout</t>
  </si>
  <si>
    <t>Sensor suite destroyed; blind and deaf in front arc</t>
  </si>
  <si>
    <t>Radiators</t>
  </si>
  <si>
    <t>Extended vertically in many designs; big and weak.</t>
  </si>
  <si>
    <t>Front Armor / Hull</t>
  </si>
  <si>
    <t>Minor scorch or spalling</t>
  </si>
  <si>
    <t>Armor plate cracked; weak point created</t>
  </si>
  <si>
    <t>Armor breached; front internal systems exposed</t>
  </si>
  <si>
    <t>Dorsal/Ventral Armor</t>
  </si>
  <si>
    <t>Most common surface hit.</t>
  </si>
  <si>
    <t>Weapons (Forward)</t>
  </si>
  <si>
    <t>1 forward weapon disabled</t>
  </si>
  <si>
    <t>Multiple barrels offline; weapon misfires</t>
  </si>
  <si>
    <t>Full battery destroyed or explodes</t>
  </si>
  <si>
    <t>Weapons (Turrets)</t>
  </si>
  <si>
    <t>Top-mounted guns, flak, or CIWS systems.</t>
  </si>
  <si>
    <t>🚀</t>
  </si>
  <si>
    <t>Fuel Tanks</t>
  </si>
  <si>
    <t>Small leak; slight thrust penalty</t>
  </si>
  <si>
    <t>Fuel dump; ship slows</t>
  </si>
  <si>
    <t>Fuel fire or loss; burn duration reduced significantly</t>
  </si>
  <si>
    <t>May wrap around midsection.</t>
  </si>
  <si>
    <t>Power Vein</t>
  </si>
  <si>
    <t>Local arc; minor output drop</t>
  </si>
  <si>
    <t>Grid instability; reroute needed</t>
  </si>
  <si>
    <t>Short circuit disables major subsystems</t>
  </si>
  <si>
    <t>Power Trunking</t>
  </si>
  <si>
    <t>Central lines passing vertically.</t>
  </si>
  <si>
    <t>Secondary Systems</t>
  </si>
  <si>
    <t>Alarms or lights fail; minor utility loss</t>
  </si>
  <si>
    <t>Internal bulkheads jam; doors or support fail</t>
  </si>
  <si>
    <t>Full subsystem loss; e.g., medbay, backups, or support AI</t>
  </si>
  <si>
    <t>Life support, storage modules, soft targets.</t>
  </si>
  <si>
    <t>Propulsion Ancillaries</t>
  </si>
  <si>
    <t>Gimbal failure; steering penalty</t>
  </si>
  <si>
    <t>Burn precision degraded; drift introduced</t>
  </si>
  <si>
    <t>Full steering failure; major maneuvering impossible</t>
  </si>
  <si>
    <t>Docking Bays / Hangars</t>
  </si>
  <si>
    <t>Often dorsal/ventral for cargo or landers.</t>
  </si>
  <si>
    <t>🟡 SIDE Arc</t>
  </si>
  <si>
    <t>Minor control spike; temporary throttling</t>
  </si>
  <si>
    <t>Output irregularity; forced safety constraints</t>
  </si>
  <si>
    <t>Core instability; emergency SCRAM or meltdown risk</t>
  </si>
  <si>
    <t>Local rerouting; brief flicker</t>
  </si>
  <si>
    <t>Surging; secondary nodes cut off</t>
  </si>
  <si>
    <t>Wide power outage across one or more systems</t>
  </si>
  <si>
    <t>Momentary system desync</t>
  </si>
  <si>
    <t>Coordination loss; action delay</t>
  </si>
  <si>
    <t>Bridge offline; command rerouted or disrupted entirely</t>
  </si>
  <si>
    <t>Targeting penalty; degraded resolution</t>
  </si>
  <si>
    <t>Full quadrant blind; sensor blackout</t>
  </si>
  <si>
    <t>Sensor array destroyed; no external awareness on this side</t>
  </si>
  <si>
    <t>Efficiency drop; local overheating</t>
  </si>
  <si>
    <t>Coolant throughput halved; reactor throttled</t>
  </si>
  <si>
    <t>Heat rejection failure; thermal buildup threatening system stability</t>
  </si>
  <si>
    <t>Side Hull / Armor</t>
  </si>
  <si>
    <t>Surface scarring; no penetration</t>
  </si>
  <si>
    <t>Cracked plating; risk of breach under pressure</t>
  </si>
  <si>
    <t>Hull breach; interior compartments exposed to space</t>
  </si>
  <si>
    <t>Shaken crew; minor compartment disruption</t>
  </si>
  <si>
    <t>Habitat compromised; crew injured</t>
  </si>
  <si>
    <t>Major breach; crew casualties and life support failure</t>
  </si>
  <si>
    <t>Weapons (Side)</t>
  </si>
  <si>
    <t>Jammed weapon; RoF reduced</t>
  </si>
  <si>
    <t>Weapon mount damaged; full arc offline</t>
  </si>
  <si>
    <t>Weapons destroyed or blown off; explosion risk nearby</t>
  </si>
  <si>
    <t>Cooling systems</t>
  </si>
  <si>
    <t>Pressurization loss; transfer pump failure</t>
  </si>
  <si>
    <t>Fuel leak; throttling required</t>
  </si>
  <si>
    <t>Tank rupture; risk of fire/explosion and mass loss</t>
  </si>
  <si>
    <t>Utility outage; minimal operational impact</t>
  </si>
  <si>
    <t>Redundant function lost; increased system load elsewhere</t>
  </si>
  <si>
    <t>Secondary systems destroyed; damage control, life support etc. fail</t>
  </si>
  <si>
    <t>Minor thrust fluctuation; attitude hold degraded</t>
  </si>
  <si>
    <t>Stabilizers or guidance fail; erratic maneuvering</t>
  </si>
  <si>
    <t>Full control loss on one axis; spin or tumble risk</t>
  </si>
  <si>
    <t>Rear Hull / Armor</t>
  </si>
  <si>
    <t>Propulsion Nozzles</t>
  </si>
  <si>
    <t>🔴 REAR Arc</t>
  </si>
  <si>
    <t>Engine Mounts</t>
  </si>
  <si>
    <t>Minor control delays; backup systems online</t>
  </si>
  <si>
    <t>Severe latency; partial loss of ship control</t>
  </si>
  <si>
    <t>Core AI offline; command rerouted or lost</t>
  </si>
  <si>
    <t>Local injuries or decompression</t>
  </si>
  <si>
    <t>Major breach; life support failing</t>
  </si>
  <si>
    <t>Section destroyed; survivors at risk</t>
  </si>
  <si>
    <t>Reactor Shielding</t>
  </si>
  <si>
    <t>Reduced thermal capacity; reactor throttled</t>
  </si>
  <si>
    <t>Major sink ruptured; overheating begins</t>
  </si>
  <si>
    <t>Cooling collapse; system-wide overheating risk</t>
  </si>
  <si>
    <t>Comms/Sensor Suite</t>
  </si>
  <si>
    <t>Signal interference; degraded targeting</t>
  </si>
  <si>
    <t>Array damage; blind spots in coverage</t>
  </si>
  <si>
    <t>Total blackout; sensor blackout in rear hemisphere</t>
  </si>
  <si>
    <t>Power fluctuations; minor load-shedding</t>
  </si>
  <si>
    <t>Partial power loss; rerouting required</t>
  </si>
  <si>
    <t>Power grid failure; system-wide blackouts</t>
  </si>
  <si>
    <t>Armor blistered; cosmetic burns</t>
  </si>
  <si>
    <t>Armor section holed; exposed internals</t>
  </si>
  <si>
    <t>Hull breach; internal compartments compromised</t>
  </si>
  <si>
    <t>Main Nozzle</t>
  </si>
  <si>
    <t>Thrust instability; vectoring loss</t>
  </si>
  <si>
    <t>Nozzle damage; maneuvering hampered</t>
  </si>
  <si>
    <t>Nozzle destroyed; main thrust offline</t>
  </si>
  <si>
    <t>Structural vibration; minor stress fractures</t>
  </si>
  <si>
    <t>Mount damage; reduced acceleration efficiency</t>
  </si>
  <si>
    <t>Engine detachment imminent; drive unsafe</t>
  </si>
  <si>
    <t>Minor leak; containment holding</t>
  </si>
  <si>
    <t>Major leak; fire risk present</t>
  </si>
  <si>
    <t>Explosion risk; rapid depressurization</t>
  </si>
  <si>
    <t>Containment stress; monitoring required</t>
  </si>
  <si>
    <t>Radiation leakage; crew exposure risk</t>
  </si>
  <si>
    <t>Shield breached; core exposed</t>
  </si>
  <si>
    <t>Flux spike; auto-dampeners engaged</t>
  </si>
  <si>
    <t>Core damage; efficiency drop</t>
  </si>
  <si>
    <t>Core breach; meltdown imminent</t>
  </si>
  <si>
    <t>Power density</t>
  </si>
  <si>
    <t>For 10s charge + pulse</t>
  </si>
  <si>
    <t>Lens radius</t>
  </si>
  <si>
    <t>10 sec charge</t>
  </si>
  <si>
    <t>Input power</t>
  </si>
  <si>
    <t>% heat sink</t>
  </si>
  <si>
    <t>Laser heat</t>
  </si>
  <si>
    <t>Power gen heat</t>
  </si>
  <si>
    <t>Wavelength</t>
  </si>
  <si>
    <t>Lithium+</t>
  </si>
  <si>
    <t>Lab</t>
  </si>
  <si>
    <t>Effective</t>
  </si>
  <si>
    <t>ARMOR</t>
  </si>
  <si>
    <t>Hull density</t>
  </si>
  <si>
    <t>g/cm3</t>
  </si>
  <si>
    <t>Ablation loss</t>
  </si>
  <si>
    <t>Extreme range</t>
  </si>
  <si>
    <t>PROPULSION DAMAGE</t>
  </si>
  <si>
    <t>Light Damage</t>
  </si>
  <si>
    <t>Critical Damage</t>
  </si>
  <si>
    <t>Mostly harmless</t>
  </si>
  <si>
    <t>May heat up sensors or interfere with optics</t>
  </si>
  <si>
    <t>carbon vaporization</t>
  </si>
  <si>
    <t>kJ/g</t>
  </si>
  <si>
    <t>A main engine sputters, reducing max thrust briefly.</t>
  </si>
  <si>
    <t>Number of layers</t>
  </si>
  <si>
    <t>Engine bell torn or fused—full thrust unavailable.</t>
  </si>
  <si>
    <t>Long range</t>
  </si>
  <si>
    <t>Minor leak, efficiency drops until patched.</t>
  </si>
  <si>
    <t>Rapid fuel loss forces shutdown or explosion risk.</t>
  </si>
  <si>
    <t>Gimbal range reduced, maneuverability impaired.</t>
  </si>
  <si>
    <t>Nozzle shatters—course control lost.</t>
  </si>
  <si>
    <t>Overheat warning—limited burns only.</t>
  </si>
  <si>
    <t>Propulsion system seizes—total engine lockout.</t>
  </si>
  <si>
    <t>Delayed response to navigation commands.</t>
  </si>
  <si>
    <t>Thruster fires erratically—risk of spin.</t>
  </si>
  <si>
    <t>Sub-threshold burn</t>
  </si>
  <si>
    <t>Can damage exposed systems, weak armor</t>
  </si>
  <si>
    <t>CNT / graphite</t>
  </si>
  <si>
    <t>Energy remaining</t>
  </si>
  <si>
    <t>Misalignment causes vibration at high thrust.</t>
  </si>
  <si>
    <t>Mount ruptures—engine detaches or self-destructs.</t>
  </si>
  <si>
    <t>Med range</t>
  </si>
  <si>
    <t>POWER DAMAGE</t>
  </si>
  <si>
    <t>Temporary power drop, subsystems reboot.</t>
  </si>
  <si>
    <t>Arcs disable connected systems—power rerouted.</t>
  </si>
  <si>
    <t>Matches hull resistance</t>
  </si>
  <si>
    <t>Reactor throttled—reduced energy output.</t>
  </si>
  <si>
    <t>Burns through hull, damages one subsystem</t>
  </si>
  <si>
    <t>Reactor scrams—ship on emergency reserves.</t>
  </si>
  <si>
    <t>Hull heat res</t>
  </si>
  <si>
    <t>Energy bottleneck—auxiliary systems flicker.</t>
  </si>
  <si>
    <t>Conduits rupture—fires or electrical arcs spread.</t>
  </si>
  <si>
    <t>MJ/cm3</t>
  </si>
  <si>
    <t>Emergency battery drains faster than expected.</t>
  </si>
  <si>
    <t>Batteries explode—localized EMP hits nearby gear.</t>
  </si>
  <si>
    <t>Short range</t>
  </si>
  <si>
    <t>Radiators run hot—power output throttled.</t>
  </si>
  <si>
    <t>Radiators offline—reactor forced to idle or shut down.</t>
  </si>
  <si>
    <t>Voltage drops—some equipment underpowered.</t>
  </si>
  <si>
    <t>Power grid collapse—entire ship blacks out.</t>
  </si>
  <si>
    <t>10× damage threshold</t>
  </si>
  <si>
    <t>Punches through multiple compartments</t>
  </si>
  <si>
    <t>5 cm thick</t>
  </si>
  <si>
    <t>SENSORS DAMAGE</t>
  </si>
  <si>
    <t>MJ/cm²</t>
  </si>
  <si>
    <t>Overkill range</t>
  </si>
  <si>
    <t>Range or resolution reduced.</t>
  </si>
  <si>
    <t>Sensor blind in one arc.</t>
  </si>
  <si>
    <t>Delayed or inconsistent telemetry.</t>
  </si>
  <si>
    <t>Feedback loop disables tracking.</t>
  </si>
  <si>
    <t>Full compartment meltdown</t>
  </si>
  <si>
    <t>Target lock degrades, increased jitter.</t>
  </si>
  <si>
    <t>Slope, rotation, etc</t>
  </si>
  <si>
    <t>Tracking lost—targeting systems disabled.</t>
  </si>
  <si>
    <t>dice roll</t>
  </si>
  <si>
    <t>MW/cm²</t>
  </si>
  <si>
    <t>False signals or ghost contacts.</t>
  </si>
  <si>
    <t>Data flood—sensor net overloads and reboots.</t>
  </si>
  <si>
    <t>C6</t>
  </si>
  <si>
    <t>Some readings unavailable or delayed.</t>
  </si>
  <si>
    <t>Total sensor blackout—targeting and nav blind.</t>
  </si>
  <si>
    <t>Sensors forced to low-power mode.</t>
  </si>
  <si>
    <t>Optics fry—system burns out.</t>
  </si>
  <si>
    <t>CPU DAMAGE</t>
  </si>
  <si>
    <t>1</t>
  </si>
  <si>
    <t>2</t>
  </si>
  <si>
    <t>3</t>
  </si>
  <si>
    <t>Delays or glitches in tactical responses.</t>
  </si>
  <si>
    <t>Combat AI crashes—manual control needed.</t>
  </si>
  <si>
    <t>4</t>
  </si>
  <si>
    <t>Navigation and fire control slow.</t>
  </si>
  <si>
    <t>Predictive systems offline—misses and misfires.</t>
  </si>
  <si>
    <t>5</t>
  </si>
  <si>
    <t>Optimization algorithms fail—lower performance.</t>
  </si>
  <si>
    <t>Ship coordination fails—automated systems disabled.</t>
  </si>
  <si>
    <t>6</t>
  </si>
  <si>
    <t>Delayed input processing.</t>
  </si>
  <si>
    <t>Commands lost or reversed—risk of collision or friendly fire.</t>
  </si>
  <si>
    <t>7</t>
  </si>
  <si>
    <t>Minor brownouts disrupt task allocation.</t>
  </si>
  <si>
    <t>CPU resets—ship acts on outdated data or panics.</t>
  </si>
  <si>
    <t>8</t>
  </si>
  <si>
    <t>9</t>
  </si>
  <si>
    <t>Minor damage, self-diagnostics in progress.</t>
  </si>
  <si>
    <t>Core CPU melted or torn—control lost.</t>
  </si>
  <si>
    <t>10</t>
  </si>
  <si>
    <t>h of continuous fire</t>
  </si>
  <si>
    <t>https://upload.wikimedia.org/wikipedia/commons/8/89/236084main_MilkyWay-full-annotated.jpg</t>
  </si>
  <si>
    <t>150 M km = 1 AU = 12 lm</t>
  </si>
  <si>
    <t xml:space="preserve">1g </t>
  </si>
  <si>
    <t>km/min²</t>
  </si>
  <si>
    <t>https://upload.wikimedia.org/wikipedia/commons/e/ee/Orbit_Alpha_Centauri_AB_arcsec.png</t>
  </si>
  <si>
    <t>km/s²</t>
  </si>
  <si>
    <t>Depuis B</t>
  </si>
  <si>
    <t>Mkm</t>
  </si>
  <si>
    <t>vm</t>
  </si>
  <si>
    <t>ip</t>
  </si>
  <si>
    <t>is</t>
  </si>
  <si>
    <t>1m</t>
  </si>
  <si>
    <t>km/s/m</t>
  </si>
  <si>
    <t>1 min</t>
  </si>
  <si>
    <t>1h</t>
  </si>
  <si>
    <t>km/s/h</t>
  </si>
  <si>
    <t>kkm/h²</t>
  </si>
  <si>
    <t>km/h²</t>
  </si>
  <si>
    <t>Abiwan</t>
  </si>
  <si>
    <t>1j</t>
  </si>
  <si>
    <t>AU/j²</t>
  </si>
  <si>
    <t>km/j²</t>
  </si>
  <si>
    <t>Metal</t>
  </si>
  <si>
    <t>jours</t>
  </si>
  <si>
    <t>Propre (0.2c)</t>
  </si>
  <si>
    <t>Maintenu (100)</t>
  </si>
  <si>
    <t>Ceinture</t>
  </si>
  <si>
    <t>Routes</t>
  </si>
  <si>
    <t>temps propre</t>
  </si>
  <si>
    <t>acc</t>
  </si>
  <si>
    <t>dj</t>
  </si>
  <si>
    <t>da</t>
  </si>
  <si>
    <t>isp</t>
  </si>
  <si>
    <t>is1</t>
  </si>
  <si>
    <t>is1p</t>
  </si>
  <si>
    <t>is2</t>
  </si>
  <si>
    <t>is2p</t>
  </si>
  <si>
    <t>Proxima</t>
  </si>
  <si>
    <t>15 k</t>
  </si>
  <si>
    <t>mois</t>
  </si>
  <si>
    <t>temps standard * dilatation</t>
  </si>
  <si>
    <t>années</t>
  </si>
  <si>
    <t>Vitesse</t>
  </si>
  <si>
    <t>Sol</t>
  </si>
  <si>
    <t>Wolf</t>
  </si>
  <si>
    <t>manoeuvre</t>
  </si>
  <si>
    <t>pointe</t>
  </si>
  <si>
    <t>vp</t>
  </si>
  <si>
    <t>https://en.wikipedia.org/wiki/List_of_nearest_stars_and_brown_dwarfs</t>
  </si>
  <si>
    <t>(dilatation d)</t>
  </si>
  <si>
    <t>isy</t>
  </si>
  <si>
    <t>isP</t>
  </si>
  <si>
    <t>is2y</t>
  </si>
  <si>
    <t>is2P</t>
  </si>
  <si>
    <t>long(equat)</t>
  </si>
  <si>
    <t>lat</t>
  </si>
  <si>
    <t>jump interplanétaire</t>
  </si>
  <si>
    <t>Centre galactique</t>
  </si>
  <si>
    <t>20k</t>
  </si>
  <si>
    <t>C</t>
  </si>
  <si>
    <t>17h45</t>
  </si>
  <si>
    <t xml:space="preserve">jump interstellaire </t>
  </si>
  <si>
    <t>Alpha Centauri</t>
  </si>
  <si>
    <t>CES</t>
  </si>
  <si>
    <t>-30°</t>
  </si>
  <si>
    <t>14h30</t>
  </si>
  <si>
    <t>jumper +1</t>
  </si>
  <si>
    <t>Barnard</t>
  </si>
  <si>
    <t>CN</t>
  </si>
  <si>
    <t>30°</t>
  </si>
  <si>
    <t>18h</t>
  </si>
  <si>
    <t>jumper +2</t>
  </si>
  <si>
    <t>Luhman</t>
  </si>
  <si>
    <t>ES</t>
  </si>
  <si>
    <t>-90°</t>
  </si>
  <si>
    <t>11h</t>
  </si>
  <si>
    <t>0°</t>
  </si>
  <si>
    <t>Lalande</t>
  </si>
  <si>
    <t>AS</t>
  </si>
  <si>
    <t>6h45</t>
  </si>
  <si>
    <t xml:space="preserve">Secteurs </t>
  </si>
  <si>
    <t>AU/sm</t>
  </si>
  <si>
    <t>kkm</t>
  </si>
  <si>
    <t>Sirius</t>
  </si>
  <si>
    <t>Centre</t>
  </si>
  <si>
    <t>Luyten</t>
  </si>
  <si>
    <t>EN</t>
  </si>
  <si>
    <t>Anticentre</t>
  </si>
  <si>
    <t>Sagiross</t>
  </si>
  <si>
    <t>19h</t>
  </si>
  <si>
    <t>Est</t>
  </si>
  <si>
    <t>Androross</t>
  </si>
  <si>
    <t>23h40</t>
  </si>
  <si>
    <t>West</t>
  </si>
  <si>
    <t>21h</t>
  </si>
  <si>
    <t>CW</t>
  </si>
  <si>
    <t>0h</t>
  </si>
  <si>
    <t>AW</t>
  </si>
  <si>
    <t>3h</t>
  </si>
  <si>
    <t>Eridani</t>
  </si>
  <si>
    <t>AWS</t>
  </si>
  <si>
    <t>3h30</t>
  </si>
  <si>
    <t>Nord polaire</t>
  </si>
  <si>
    <t>-15°</t>
  </si>
  <si>
    <t>15°</t>
  </si>
  <si>
    <t>Lacaille</t>
  </si>
  <si>
    <t>WS</t>
  </si>
  <si>
    <t>23h</t>
  </si>
  <si>
    <t>Sud polaire</t>
  </si>
  <si>
    <t>S</t>
  </si>
  <si>
    <t>6h</t>
  </si>
  <si>
    <t>Virgiross</t>
  </si>
  <si>
    <t>12h</t>
  </si>
  <si>
    <t>Aquarii</t>
  </si>
  <si>
    <t>Unité stellaire</t>
  </si>
  <si>
    <t>15h</t>
  </si>
  <si>
    <t>CE</t>
  </si>
  <si>
    <t>AE</t>
  </si>
  <si>
    <t>9h</t>
  </si>
  <si>
    <t>Procyon</t>
  </si>
  <si>
    <t>8h</t>
  </si>
  <si>
    <t>lm</t>
  </si>
  <si>
    <t>Cygni</t>
  </si>
  <si>
    <t>CWN</t>
  </si>
  <si>
    <t>jour lumière</t>
  </si>
  <si>
    <t>ld</t>
  </si>
  <si>
    <t>Struve</t>
  </si>
  <si>
    <t>année lumière</t>
  </si>
  <si>
    <t>kAU</t>
  </si>
  <si>
    <t>Groombridge</t>
  </si>
  <si>
    <t>WN</t>
  </si>
  <si>
    <t>24h</t>
  </si>
  <si>
    <t>Indi</t>
  </si>
  <si>
    <t>CWS</t>
  </si>
  <si>
    <t>22h</t>
  </si>
  <si>
    <t>vitesse lumière</t>
  </si>
  <si>
    <t>Mkm/s</t>
  </si>
  <si>
    <t>Tau Ceti</t>
  </si>
  <si>
    <t>2h</t>
  </si>
  <si>
    <t>Cancri</t>
  </si>
  <si>
    <t>20h</t>
  </si>
  <si>
    <t>AU/h</t>
  </si>
  <si>
    <t>Neuten</t>
  </si>
  <si>
    <t>7h30</t>
  </si>
  <si>
    <t>ls</t>
  </si>
  <si>
    <t>Teegarden</t>
  </si>
  <si>
    <t>Kapteyn</t>
  </si>
  <si>
    <t>AS2</t>
  </si>
  <si>
    <t>5h</t>
  </si>
  <si>
    <t>lh</t>
  </si>
  <si>
    <t>Van Maanen</t>
  </si>
  <si>
    <t>Altair</t>
  </si>
  <si>
    <t>lmois</t>
  </si>
  <si>
    <t>5k</t>
  </si>
  <si>
    <t>Escier</t>
  </si>
  <si>
    <t>CS</t>
  </si>
  <si>
    <t>SCR</t>
  </si>
  <si>
    <t>63k</t>
  </si>
  <si>
    <t>Rex</t>
  </si>
  <si>
    <t>Wolf 1061</t>
  </si>
  <si>
    <t>16h30</t>
  </si>
  <si>
    <t>CES2</t>
  </si>
  <si>
    <t>MASS</t>
  </si>
  <si>
    <t>16h</t>
  </si>
  <si>
    <t>Parcouru</t>
  </si>
  <si>
    <t>speed = g x time x A</t>
  </si>
  <si>
    <t>distance = speed x time x B x A</t>
  </si>
  <si>
    <t>km/min</t>
  </si>
  <si>
    <t>distance = g x time ² x A² x B</t>
  </si>
  <si>
    <t>km/xm²</t>
  </si>
  <si>
    <t>0.03c</t>
  </si>
  <si>
    <t>time = square ( distance/g )</t>
  </si>
  <si>
    <t>time = square ( distance / (g x A² x B) )</t>
  </si>
  <si>
    <t>Distance parcourue</t>
  </si>
  <si>
    <t>1g</t>
  </si>
  <si>
    <t>max</t>
  </si>
  <si>
    <t>stop</t>
  </si>
  <si>
    <t>km/m</t>
  </si>
  <si>
    <t>su</t>
  </si>
  <si>
    <t>Accel, 1m</t>
  </si>
  <si>
    <t>1 heure</t>
  </si>
  <si>
    <t>cu</t>
  </si>
  <si>
    <t>1 jour</t>
  </si>
  <si>
    <t>Pointe, 1 sem</t>
  </si>
  <si>
    <t>RCF = 11.2 x Radius x (RPM/1,000)2</t>
  </si>
  <si>
    <t>Accel, 1 s</t>
  </si>
  <si>
    <t>1 m</t>
  </si>
  <si>
    <t>radius (m)</t>
  </si>
  <si>
    <t>1 h</t>
  </si>
  <si>
    <t>RPM</t>
  </si>
  <si>
    <t>2 h</t>
  </si>
  <si>
    <t>3 h</t>
  </si>
  <si>
    <t>6 h</t>
  </si>
  <si>
    <t>8 h</t>
  </si>
  <si>
    <t>12 h</t>
  </si>
  <si>
    <t>24 h</t>
  </si>
  <si>
    <t>48 h</t>
  </si>
  <si>
    <t>Distance (AU)</t>
  </si>
  <si>
    <t>Poin</t>
  </si>
  <si>
    <t>Acc</t>
  </si>
  <si>
    <t>Jum</t>
  </si>
  <si>
    <t>Terra</t>
  </si>
  <si>
    <t>* Luna</t>
  </si>
  <si>
    <t>Mars</t>
  </si>
  <si>
    <t>1mois</t>
  </si>
  <si>
    <t>Saturn</t>
  </si>
  <si>
    <t>2mois</t>
  </si>
  <si>
    <t>Jupiter</t>
  </si>
  <si>
    <t>Kuiper</t>
  </si>
  <si>
    <t>6mois</t>
  </si>
  <si>
    <t>1an</t>
  </si>
  <si>
    <t>http://panoptesv.com/SciFi/LaserDeathRay/DamageFromLaser.php</t>
  </si>
  <si>
    <t>https://www.projectrho.com/public_html/rocket/spacegunconvent2.php#id--Laser_Cannon--Attack_Vector:_Tactical_Lasers</t>
  </si>
  <si>
    <t>J/s</t>
  </si>
  <si>
    <t>J/ms</t>
  </si>
  <si>
    <t>https://en.wikipedia.org/wiki/Beer%E2%80%93Lambert_law</t>
  </si>
  <si>
    <t>kj/cm3</t>
  </si>
  <si>
    <t>https://doaj.org/article/d7eb7ea5e26e4e5abc7a32a8425ad07f</t>
  </si>
  <si>
    <t>Heat sink = 10 GW/t</t>
  </si>
  <si>
    <t>Heat resistance</t>
  </si>
  <si>
    <t>Mirror radius</t>
  </si>
  <si>
    <t>20Mm−1</t>
  </si>
  <si>
    <t>cm</t>
  </si>
  <si>
    <t>Diffraction</t>
  </si>
  <si>
    <t>RT = L * 1.22 * λ / D​</t>
  </si>
  <si>
    <t>Reference</t>
  </si>
  <si>
    <t>??</t>
  </si>
  <si>
    <t>Intensity</t>
  </si>
  <si>
    <t>BPT = BP/(π * RT²)</t>
  </si>
  <si>
    <t>Intensity 2</t>
  </si>
  <si>
    <t>BPT = BP/RT²</t>
  </si>
  <si>
    <t>10ms</t>
  </si>
  <si>
    <t>kJ/cm²</t>
  </si>
  <si>
    <t>absorb, air</t>
  </si>
  <si>
    <t>absorb, water</t>
  </si>
  <si>
    <t>freq</t>
  </si>
  <si>
    <t>Aperture power</t>
  </si>
  <si>
    <t>Spot radius</t>
  </si>
  <si>
    <t>in 100 millisec</t>
  </si>
  <si>
    <t xml:space="preserve">10 ms </t>
  </si>
  <si>
    <t>Spot area</t>
  </si>
  <si>
    <t>radius</t>
  </si>
  <si>
    <t>Beam radius</t>
  </si>
  <si>
    <t>Beam diameter</t>
  </si>
  <si>
    <t>frequency</t>
  </si>
  <si>
    <t>nIR 1</t>
  </si>
  <si>
    <t>GW/cm²</t>
  </si>
  <si>
    <t>GW/m²</t>
  </si>
  <si>
    <t>nIR 2</t>
  </si>
  <si>
    <t>nIR 3</t>
  </si>
  <si>
    <t>W/cm²</t>
  </si>
  <si>
    <t>nIR 4</t>
  </si>
  <si>
    <t>kW/cm²</t>
  </si>
  <si>
    <t>cm²</t>
  </si>
  <si>
    <t>nIR 5</t>
  </si>
  <si>
    <t>1 sheet</t>
  </si>
  <si>
    <t>kj/m²</t>
  </si>
  <si>
    <t>orange</t>
  </si>
  <si>
    <t>green</t>
  </si>
  <si>
    <t>indigo</t>
  </si>
  <si>
    <t>UV</t>
  </si>
  <si>
    <t>IR 1ms</t>
  </si>
  <si>
    <t>Vacuum</t>
  </si>
  <si>
    <t xml:space="preserve">intensity = AB / ( pi ( 0.305*10^-6 * CD / E )² ) </t>
  </si>
  <si>
    <t>atmo</t>
  </si>
  <si>
    <t>A = input power MW</t>
  </si>
  <si>
    <t>water</t>
  </si>
  <si>
    <t>B = efficiency</t>
  </si>
  <si>
    <t>C = wavelength (nm)</t>
  </si>
  <si>
    <t xml:space="preserve">Volume of a spherical shell with outer and inner radii R and r </t>
  </si>
  <si>
    <t>D = distance (m)</t>
  </si>
  <si>
    <t>4π3(R3−r3)</t>
  </si>
  <si>
    <t>UV 100ms (MW)</t>
  </si>
  <si>
    <t>earth radius</t>
  </si>
  <si>
    <t>Volume of sphere</t>
  </si>
  <si>
    <t>4 / 3 * π r 3</t>
  </si>
  <si>
    <t>earth volume</t>
  </si>
  <si>
    <t>E = lens radius</t>
  </si>
  <si>
    <t>utopia volume</t>
  </si>
  <si>
    <t>shell ratio</t>
  </si>
  <si>
    <t xml:space="preserve">intensity = 10^-7 AB / ( pi ( 0.305*10^-6 * CD / E )² ) </t>
  </si>
  <si>
    <t xml:space="preserve">μs </t>
  </si>
  <si>
    <t>mh volume</t>
  </si>
  <si>
    <t>pulses</t>
  </si>
  <si>
    <t>Range</t>
  </si>
  <si>
    <t>hole</t>
  </si>
  <si>
    <t>drilled</t>
  </si>
  <si>
    <t>distance to be at 1g</t>
  </si>
  <si>
    <t>10-7 AB = I (pi M)²</t>
  </si>
  <si>
    <t>sqrt (10-7 AB / I / pi) = M</t>
  </si>
  <si>
    <t>efficiency</t>
  </si>
  <si>
    <t>D = E sqrt (...) / ( 0.305 10-6 C )</t>
  </si>
  <si>
    <t>mm</t>
  </si>
  <si>
    <t>CNT</t>
  </si>
  <si>
    <t>standard</t>
  </si>
  <si>
    <t>best</t>
  </si>
  <si>
    <t>theoretical</t>
  </si>
  <si>
    <t>intens = (5000*input*lens²) / (distance²)</t>
  </si>
  <si>
    <t>1 cm of</t>
  </si>
  <si>
    <t>v = sqrt( G * m / r )</t>
  </si>
  <si>
    <t xml:space="preserve">Earth </t>
  </si>
  <si>
    <t>Mercury</t>
  </si>
  <si>
    <t>Proxima b</t>
  </si>
  <si>
    <t>m = mass of star (kg)</t>
  </si>
  <si>
    <t>distance = sqrt( (5000*input*lens²) )</t>
  </si>
  <si>
    <t>orbit radius</t>
  </si>
  <si>
    <t>r = radius of orbit (m)</t>
  </si>
  <si>
    <t>orbital velocity</t>
  </si>
  <si>
    <t>RADIATORS</t>
  </si>
  <si>
    <t>heat cap</t>
  </si>
  <si>
    <t>mass flow</t>
  </si>
  <si>
    <t>area</t>
  </si>
  <si>
    <t>exhaust vel</t>
  </si>
  <si>
    <t>Sun mass</t>
  </si>
  <si>
    <t>mass</t>
  </si>
  <si>
    <t>momentum</t>
  </si>
  <si>
    <t>1.989 × 10^30 kg</t>
  </si>
  <si>
    <t>kg m/s</t>
  </si>
  <si>
    <t>Proxima mass</t>
  </si>
  <si>
    <t>2.428 × 10^29 kg</t>
  </si>
  <si>
    <t>tons</t>
  </si>
  <si>
    <t>velocity</t>
  </si>
  <si>
    <t>1 newton =</t>
  </si>
  <si>
    <t>amount to accelerate 1kg at 1m/s²</t>
  </si>
  <si>
    <t>DELTA V</t>
  </si>
  <si>
    <t>deltaV</t>
  </si>
  <si>
    <t>cs</t>
  </si>
  <si>
    <t>Ve * ln ( R )</t>
  </si>
  <si>
    <t>ACCEL</t>
  </si>
  <si>
    <t>exhaust (Ve)</t>
  </si>
  <si>
    <t>thrust</t>
  </si>
  <si>
    <t>Slope</t>
  </si>
  <si>
    <t>2 to 5</t>
  </si>
  <si>
    <t>(2 to 15)</t>
  </si>
  <si>
    <t>G</t>
  </si>
  <si>
    <t>Nm² / kg²</t>
  </si>
  <si>
    <t>https://space.stackexchange.com/questions/23295/how-do-we-come-up-with-the-gravity-assist-or-slingshot-formula</t>
  </si>
  <si>
    <t>Steel</t>
  </si>
  <si>
    <t>Turret</t>
  </si>
  <si>
    <t>Bone</t>
  </si>
  <si>
    <t>SHIFTING GEARS</t>
  </si>
  <si>
    <t>Tp = (Ve * T) / 2</t>
  </si>
  <si>
    <t>Thrust power</t>
  </si>
  <si>
    <t>Final velocity = Initial velocity + 2 (velocity of the planet)</t>
  </si>
  <si>
    <t>ship width</t>
  </si>
  <si>
    <t>gravity assist</t>
  </si>
  <si>
    <t>Tungsten</t>
  </si>
  <si>
    <t>ship length</t>
  </si>
  <si>
    <t xml:space="preserve">ship surface </t>
  </si>
  <si>
    <t>30km</t>
  </si>
  <si>
    <t>gj</t>
  </si>
  <si>
    <t>radiators</t>
  </si>
  <si>
    <t>flesh</t>
  </si>
  <si>
    <t>10km</t>
  </si>
  <si>
    <t>30 km/h = 100 m/s = 10 cm/ms</t>
  </si>
  <si>
    <t>cloth</t>
  </si>
  <si>
    <t>graphite</t>
  </si>
  <si>
    <t>Cannon</t>
  </si>
  <si>
    <t>RIFLE</t>
  </si>
  <si>
    <t>https://www.projectrho.com/public_html/rocket/spacewarship.php#id--Ship_Types--Quick-n-Dirty_Ship_Types</t>
  </si>
  <si>
    <t>hole r</t>
  </si>
  <si>
    <t>LxR</t>
  </si>
  <si>
    <t>PISTOL</t>
  </si>
  <si>
    <t>frig</t>
  </si>
  <si>
    <t>NASA</t>
  </si>
  <si>
    <t>dreadnaught</t>
  </si>
  <si>
    <t>Diamond</t>
  </si>
  <si>
    <t xml:space="preserve">Propulsion </t>
  </si>
  <si>
    <t xml:space="preserve">propulsion </t>
  </si>
  <si>
    <t>supertanker</t>
  </si>
  <si>
    <t>500 kt</t>
  </si>
  <si>
    <t>MT</t>
  </si>
  <si>
    <t>Thermal</t>
  </si>
  <si>
    <t>300m</t>
  </si>
  <si>
    <t>naval carrier</t>
  </si>
  <si>
    <t>90 kt</t>
  </si>
  <si>
    <t>carrier</t>
  </si>
  <si>
    <t>kt</t>
  </si>
  <si>
    <t>Comms</t>
  </si>
  <si>
    <t>naval battleship</t>
  </si>
  <si>
    <t>40 kt</t>
  </si>
  <si>
    <t>battleship</t>
  </si>
  <si>
    <t>naval cruiser</t>
  </si>
  <si>
    <t>9 kt</t>
  </si>
  <si>
    <t>battlecruiser</t>
  </si>
  <si>
    <t>naval destroyer</t>
  </si>
  <si>
    <t>7 kt</t>
  </si>
  <si>
    <t>3 kt</t>
  </si>
  <si>
    <t>cruiser</t>
  </si>
  <si>
    <t>ISS</t>
  </si>
  <si>
    <t>450 t</t>
  </si>
  <si>
    <t>Payload</t>
  </si>
  <si>
    <t>Boeing 747</t>
  </si>
  <si>
    <t>frigate</t>
  </si>
  <si>
    <t>50 t</t>
  </si>
  <si>
    <t>fighter</t>
  </si>
  <si>
    <t>Jet</t>
  </si>
  <si>
    <t>10-15 t</t>
  </si>
  <si>
    <t>shuttle</t>
  </si>
  <si>
    <t>Voiture</t>
  </si>
  <si>
    <t>exo</t>
  </si>
  <si>
    <t>d = m/v</t>
  </si>
  <si>
    <t>size</t>
  </si>
  <si>
    <t>wet (t)</t>
  </si>
  <si>
    <t xml:space="preserve">dry </t>
  </si>
  <si>
    <t>width</t>
  </si>
  <si>
    <t>length</t>
  </si>
  <si>
    <t>density (t/m3)</t>
  </si>
  <si>
    <t>prop</t>
  </si>
  <si>
    <t>payload</t>
  </si>
  <si>
    <t>VISTA</t>
  </si>
  <si>
    <t>170x100 m</t>
  </si>
  <si>
    <t>Exacting</t>
  </si>
  <si>
    <t>4x60 m</t>
  </si>
  <si>
    <t>dread</t>
  </si>
  <si>
    <t>Leviathan</t>
  </si>
  <si>
    <t>0.8x3 km</t>
  </si>
  <si>
    <t>e1</t>
  </si>
  <si>
    <t>bone</t>
  </si>
  <si>
    <t>steel</t>
  </si>
  <si>
    <t>Truman</t>
  </si>
  <si>
    <t>110x376m</t>
  </si>
  <si>
    <t>destro</t>
  </si>
  <si>
    <t>Morrigan</t>
  </si>
  <si>
    <t>9x31m</t>
  </si>
  <si>
    <t>Plasma windows</t>
  </si>
  <si>
    <t>Passager (militaire)</t>
  </si>
  <si>
    <t>https://www.projectrho.com/public_html/rocket/spacewardefense.php#id--Force_Fields--Considerations</t>
  </si>
  <si>
    <t>Razorback</t>
  </si>
  <si>
    <t>8x20m</t>
  </si>
  <si>
    <t>Passager (comfort)</t>
  </si>
  <si>
    <t>Erickson's Model</t>
  </si>
  <si>
    <t>Passager (luxe)</t>
  </si>
  <si>
    <t>Leonidas</t>
  </si>
  <si>
    <t>60*270m</t>
  </si>
  <si>
    <t>P * V = k * E</t>
  </si>
  <si>
    <t>Anti-laser shield</t>
  </si>
  <si>
    <t>Kerr effect / Vacuum polarization</t>
  </si>
  <si>
    <t>where:</t>
  </si>
  <si>
    <t>https://arxiv.org/pdf/1012.1134</t>
  </si>
  <si>
    <t>Behemoth</t>
  </si>
  <si>
    <t>960x2460m</t>
  </si>
  <si>
    <t>P = pressure</t>
  </si>
  <si>
    <t>V = volume</t>
  </si>
  <si>
    <t>E energy</t>
  </si>
  <si>
    <t>u</t>
  </si>
  <si>
    <t>k = constant</t>
  </si>
  <si>
    <t>Assuming k=1, you get something like 42 joules for a 1 meter radius sphere with 1 atmosphere of pressure inside. If you make k smaller, the energy requirements go up.</t>
  </si>
  <si>
    <t>Scirocco</t>
  </si>
  <si>
    <t>70x200m</t>
  </si>
  <si>
    <t>https://en.wikipedia.org/wiki/Polariton_superfluid</t>
  </si>
  <si>
    <t>RODS</t>
  </si>
  <si>
    <t>Coilgun :</t>
  </si>
  <si>
    <t>lower power consumption</t>
  </si>
  <si>
    <t>Amun-Ra</t>
  </si>
  <si>
    <t>22x60m</t>
  </si>
  <si>
    <t>coils are not eroded</t>
  </si>
  <si>
    <t>mass (kg)</t>
  </si>
  <si>
    <t>radius (mm)</t>
  </si>
  <si>
    <t>speed (kms)</t>
  </si>
  <si>
    <t>e4</t>
  </si>
  <si>
    <t>energy (MJ)</t>
  </si>
  <si>
    <t>Field (T)</t>
  </si>
  <si>
    <t>barrel1 (m)</t>
  </si>
  <si>
    <t>barrelmin (m)</t>
  </si>
  <si>
    <t>Stratios</t>
  </si>
  <si>
    <t>Power (W)</t>
  </si>
  <si>
    <t>18x60m</t>
  </si>
  <si>
    <t>Graphene (kg)</t>
  </si>
  <si>
    <t>MH (kg)</t>
  </si>
  <si>
    <t>factor</t>
  </si>
  <si>
    <t>COILGUN stats</t>
  </si>
  <si>
    <t>Rod</t>
  </si>
  <si>
    <t xml:space="preserve">L/W ratio </t>
  </si>
  <si>
    <t>3 to 10</t>
  </si>
  <si>
    <t>Rocinante</t>
  </si>
  <si>
    <t>e-9</t>
  </si>
  <si>
    <t>e2</t>
  </si>
  <si>
    <t>e-6</t>
  </si>
  <si>
    <t>1 to 20</t>
  </si>
  <si>
    <t>kinetic energy = 0.5 * mass * velocity2</t>
  </si>
  <si>
    <t>Nestor</t>
  </si>
  <si>
    <t>Pulse power (MW/cm²)</t>
  </si>
  <si>
    <t>range = 40-100 * lens radius * power</t>
  </si>
  <si>
    <t>heat res</t>
  </si>
  <si>
    <t>Laserstar</t>
  </si>
  <si>
    <t>e5</t>
  </si>
  <si>
    <t>e0</t>
  </si>
  <si>
    <t>e-4</t>
  </si>
  <si>
    <t>Barrel length</t>
  </si>
  <si>
    <t>L = v² / 2a</t>
  </si>
  <si>
    <t>L = barrel length (m)</t>
  </si>
  <si>
    <t>power/radius² = 5.1</t>
  </si>
  <si>
    <t>power at 50km</t>
  </si>
  <si>
    <t>v = exit velocity (m/s)</t>
  </si>
  <si>
    <t>Hub</t>
  </si>
  <si>
    <t>Max</t>
  </si>
  <si>
    <t>Min</t>
  </si>
  <si>
    <t>heat energy = 0.5 * (1/e - 1) * (kinetic energy)</t>
  </si>
  <si>
    <t>/succes</t>
  </si>
  <si>
    <t>power needed to vaporize</t>
  </si>
  <si>
    <t>Spatioport</t>
  </si>
  <si>
    <t>e-5</t>
  </si>
  <si>
    <t>e6</t>
  </si>
  <si>
    <t>a = average acceleration (m/s²)</t>
  </si>
  <si>
    <t>projectile temperature = (heat energy) / (C * mass)</t>
  </si>
  <si>
    <t>t/m3</t>
  </si>
  <si>
    <t>Volume</t>
  </si>
  <si>
    <t>e8</t>
  </si>
  <si>
    <t>volume = kinetic energy / (K * (magnetic field)^2)</t>
  </si>
  <si>
    <t>ratio 4</t>
  </si>
  <si>
    <t>Heat cap</t>
  </si>
  <si>
    <t>e9</t>
  </si>
  <si>
    <t>E = 1/2 LI²</t>
  </si>
  <si>
    <t>&gt; not a limiting factor</t>
  </si>
  <si>
    <t>E = energy stored in magnetic field (Joules)</t>
  </si>
  <si>
    <t>length = volume / area</t>
  </si>
  <si>
    <t>https://www.projectrho.com/public_html/rocket/sidearmintro.php#bettergun</t>
  </si>
  <si>
    <t>+</t>
  </si>
  <si>
    <t>L = inductance of the coil (Henrys)</t>
  </si>
  <si>
    <t>Length</t>
  </si>
  <si>
    <t>Ke = 0.5 * M * V2</t>
  </si>
  <si>
    <t>https://www.projectrho.com/public_html/rocket/spacegunconvent.php#id--Kinetic_Kill_Weapons--Railguns</t>
  </si>
  <si>
    <t>e10</t>
  </si>
  <si>
    <t>I = current through the coil (Amps)</t>
  </si>
  <si>
    <t>mass = density * volume * ratio</t>
  </si>
  <si>
    <t>Accuracy factors</t>
  </si>
  <si>
    <t>L/W ratio</t>
  </si>
  <si>
    <t>Uncertain target location due to finite sensor resolution</t>
  </si>
  <si>
    <t>Ke = kinetic energy (Joules)</t>
  </si>
  <si>
    <t>Uncertain target motion due to sensor glint or shape effects</t>
  </si>
  <si>
    <t xml:space="preserve"> 1 kg at 9.98 km/sec is packing 50 megajoules of energy. </t>
  </si>
  <si>
    <t>M = mass of projectile (kg)</t>
  </si>
  <si>
    <t>Sensor boresight error due to finite manufacturing tolerances</t>
  </si>
  <si>
    <t>V = velocity of projectile relative to target (m/s)</t>
  </si>
  <si>
    <t>Target motion during sensor integration time</t>
  </si>
  <si>
    <t>Analog-to-digital conversion errors of sensor data</t>
  </si>
  <si>
    <t>L ≈ μ0  N² A / l</t>
  </si>
  <si>
    <t>μ0​=4π⋅10−7H/m</t>
  </si>
  <si>
    <t>Coil</t>
  </si>
  <si>
    <t>critical temp</t>
  </si>
  <si>
    <t>Wp = Ke * (1 / We)</t>
  </si>
  <si>
    <t>Software errors in fire control system</t>
  </si>
  <si>
    <t>μ0​=</t>
  </si>
  <si>
    <t>critical field</t>
  </si>
  <si>
    <t>Tesla</t>
  </si>
  <si>
    <t>H/m</t>
  </si>
  <si>
    <t>N = number of turns</t>
  </si>
  <si>
    <t>Hardware errors in fire control system</t>
  </si>
  <si>
    <t>momentum p = m*V</t>
  </si>
  <si>
    <t>Digital-to-analog conversion errors of gunlaying servo commands</t>
  </si>
  <si>
    <t>Target motion during weapon aiming time</t>
  </si>
  <si>
    <t>K (max)</t>
  </si>
  <si>
    <t>kJ/m3/T2</t>
  </si>
  <si>
    <t>metallic hydrogen</t>
  </si>
  <si>
    <t>Wp = power required by weapon to fire one projectile (Joules)</t>
  </si>
  <si>
    <t>Weapon boresight error due to finite manufacturing tolerances</t>
  </si>
  <si>
    <t>A = cross-sectional area of the coil (m²)</t>
  </si>
  <si>
    <t>T² m3 / J</t>
  </si>
  <si>
    <t>Ke = kinetic energy of one weapon projectile (Joules)</t>
  </si>
  <si>
    <t>Weapon structural distortion due to inertial effects of rapid slew</t>
  </si>
  <si>
    <t>l = length of the coil (m)</t>
  </si>
  <si>
    <t>for above L</t>
  </si>
  <si>
    <t>a = v²/ 2L</t>
  </si>
  <si>
    <t>We = efficiency of the weapon (0.0 = 0%, 1.0 = 100%)</t>
  </si>
  <si>
    <t>Weapon structural distortion due to external or internal vibration</t>
  </si>
  <si>
    <t>field (max)</t>
  </si>
  <si>
    <t>teslas</t>
  </si>
  <si>
    <t>Imax = 10^7 A</t>
  </si>
  <si>
    <t>Weapon structural distortion due to thermal expansion during firing</t>
  </si>
  <si>
    <t>field</t>
  </si>
  <si>
    <t>barrel min</t>
  </si>
  <si>
    <t>for a = e6 gs</t>
  </si>
  <si>
    <t>e-3</t>
  </si>
  <si>
    <t xml:space="preserve">P = B² / 2μ0 </t>
  </si>
  <si>
    <t>P = Magnetic pressure inside the coil</t>
  </si>
  <si>
    <t>volume = kinetic energy / (K * (magnetic field)2)</t>
  </si>
  <si>
    <t>Volume ratio</t>
  </si>
  <si>
    <t>Pascals</t>
  </si>
  <si>
    <t>B = field strength</t>
  </si>
  <si>
    <t>time in barrel</t>
  </si>
  <si>
    <t>t = v/a</t>
  </si>
  <si>
    <t>GPa</t>
  </si>
  <si>
    <t>P = Ek / t</t>
  </si>
  <si>
    <t>Enemy position</t>
  </si>
  <si>
    <t>The location of the enemy when your shot arrives.</t>
  </si>
  <si>
    <t>Weapon performance</t>
  </si>
  <si>
    <t>The actual flight path of your shot as affected by the physical characteristics of the weapon itself and the environment through which the shot passes.</t>
  </si>
  <si>
    <t>carbon nanotubes &gt; 10 GPa</t>
  </si>
  <si>
    <t>Capacitor</t>
  </si>
  <si>
    <t>graphene</t>
  </si>
  <si>
    <t>360000 J/kg</t>
  </si>
  <si>
    <t>Weapon control</t>
  </si>
  <si>
    <t>The degree to which you can precisely control the aiming of the weapon.</t>
  </si>
  <si>
    <t>200 MJ/kg</t>
  </si>
  <si>
    <t>TITANIUM</t>
  </si>
  <si>
    <t>DIAMOND</t>
  </si>
  <si>
    <t>specific heat C</t>
  </si>
  <si>
    <t>J/g</t>
  </si>
  <si>
    <t>e-2</t>
  </si>
  <si>
    <t xml:space="preserve">Pulse system </t>
  </si>
  <si>
    <t>1 shot / second (1Hz) for 150T, 10Hz for 30T</t>
  </si>
  <si>
    <t>Melting point</t>
  </si>
  <si>
    <t>°C</t>
  </si>
  <si>
    <t>5.6 mm Handgun (M16)</t>
  </si>
  <si>
    <t>🎯 Survivable g-ranges by Projectile Type</t>
  </si>
  <si>
    <t>Projectile Type</t>
  </si>
  <si>
    <t>Survivable Acceleration (g)</t>
  </si>
  <si>
    <t>Notes</t>
  </si>
  <si>
    <t>Nanofiber mass needed to stop</t>
  </si>
  <si>
    <t>caliber</t>
  </si>
  <si>
    <t>Kinetic dart (tungsten rod)</t>
  </si>
  <si>
    <t>&gt;1,000,000 g</t>
  </si>
  <si>
    <t>Solid metal penetrators can handle extreme shocks.</t>
  </si>
  <si>
    <t>Simple coilgun slug (no payload)</t>
  </si>
  <si>
    <t>100,000 – 500,000 g</t>
  </si>
  <si>
    <t>https://en.wikipedia.org/wiki/Impact_depth</t>
  </si>
  <si>
    <t>Reasonable target for high-speed systems.</t>
  </si>
  <si>
    <t>e-12</t>
  </si>
  <si>
    <t>Miniaturized electronics inside</t>
  </si>
  <si>
    <t>1,000 – 10,000 g</t>
  </si>
  <si>
    <t>With careful shock mounting and hardening.</t>
  </si>
  <si>
    <t>Mass of steel to stop</t>
  </si>
  <si>
    <t>Guided munitions / sensors</t>
  </si>
  <si>
    <t>100 – 1,000 g</t>
  </si>
  <si>
    <t>Close to artillery-grade limits.</t>
  </si>
  <si>
    <t>g/cm²</t>
  </si>
  <si>
    <t>Delicate optics, MEMS</t>
  </si>
  <si>
    <t>&lt;100 g</t>
  </si>
  <si>
    <t>May fail even under modest acceleration.</t>
  </si>
  <si>
    <t>hydrodynamic penetration</t>
  </si>
  <si>
    <t>Lp​ = projectile length</t>
  </si>
  <si>
    <t>pen/cs/kg</t>
  </si>
  <si>
    <t>penetration depth D = L×A/B</t>
  </si>
  <si>
    <t>penetrate skull</t>
  </si>
  <si>
    <t>d = Lp * ρp / ρt</t>
  </si>
  <si>
    <t>ρp = projectile density</t>
  </si>
  <si>
    <t>Mass of carbon fiber to stop</t>
  </si>
  <si>
    <t>ρt​ = target density</t>
  </si>
  <si>
    <t>Pistol</t>
  </si>
  <si>
    <t>L = length of projectile</t>
  </si>
  <si>
    <t>blow arm off</t>
  </si>
  <si>
    <t xml:space="preserve">steel </t>
  </si>
  <si>
    <t>Mass of diamond to stop</t>
  </si>
  <si>
    <t>hull</t>
  </si>
  <si>
    <t>A = density of proj</t>
  </si>
  <si>
    <t>Steel penetration</t>
  </si>
  <si>
    <t>or</t>
  </si>
  <si>
    <t>B = density of armor</t>
  </si>
  <si>
    <t>Armor pen</t>
  </si>
  <si>
    <t>tungsten</t>
  </si>
  <si>
    <t>barrel :</t>
  </si>
  <si>
    <t>impact area</t>
  </si>
  <si>
    <t>10 mm Rifle</t>
  </si>
  <si>
    <t>Depleted uranium</t>
  </si>
  <si>
    <t>Damage</t>
  </si>
  <si>
    <t>delivers nanites under the skin</t>
  </si>
  <si>
    <t>Titanium</t>
  </si>
  <si>
    <t>AP</t>
  </si>
  <si>
    <t>RAF</t>
  </si>
  <si>
    <t>Impact</t>
  </si>
  <si>
    <t>dB</t>
  </si>
  <si>
    <t>https://www.tankarchives.ca/2014/10/penetration-equations.html</t>
  </si>
  <si>
    <t>Sonic boom</t>
  </si>
  <si>
    <t>negligible</t>
  </si>
  <si>
    <t>Diamond pen</t>
  </si>
  <si>
    <t>Sniper</t>
  </si>
  <si>
    <t>20 mm Assault cannon</t>
  </si>
  <si>
    <t>penetration B = (v * sqrt(P) ) / (K* sqrt(D) )</t>
  </si>
  <si>
    <t>5+</t>
  </si>
  <si>
    <t>v = velocity</t>
  </si>
  <si>
    <t xml:space="preserve">P [dm] = V [m/s] * sqr(M [kg]) / (K * sqr(D [dm])) </t>
  </si>
  <si>
    <t>P = mass of proj</t>
  </si>
  <si>
    <t>1/sec</t>
  </si>
  <si>
    <t>K = armor resistance</t>
  </si>
  <si>
    <t>D = caliber</t>
  </si>
  <si>
    <t xml:space="preserve">IR </t>
  </si>
  <si>
    <t xml:space="preserve">IR laser </t>
  </si>
  <si>
    <t>Immediate cavitation &gt;10× rod size</t>
  </si>
  <si>
    <t>80% efficiency</t>
  </si>
  <si>
    <t>40 mm PDC</t>
  </si>
  <si>
    <t>45 mm antitank</t>
  </si>
  <si>
    <t>Rifle</t>
  </si>
  <si>
    <t>less damage but longer pulses, vastly less waste heat, deposits heat on target</t>
  </si>
  <si>
    <t>pow = (5000*input*lens²) / (distance²)</t>
  </si>
  <si>
    <t>less weight because of small internal heat sink</t>
  </si>
  <si>
    <t xml:space="preserve">x = 2 AB / ( pi ( 0.305* 10^4 * CD / E )² ) </t>
  </si>
  <si>
    <t>(distance/10)² = power at 10 km / power at target</t>
  </si>
  <si>
    <t>distance = sqrt(ref/pow)*10</t>
  </si>
  <si>
    <t>Pulse power (MW/cm²) * heat cap (0.5) * slope</t>
  </si>
  <si>
    <t>Steel penetration (Krupp)</t>
  </si>
  <si>
    <t>Long</t>
  </si>
  <si>
    <t>Med</t>
  </si>
  <si>
    <t>Short</t>
  </si>
  <si>
    <t>Mass of graphite to stop</t>
  </si>
  <si>
    <t>Rods x100</t>
  </si>
  <si>
    <t>&gt;130</t>
  </si>
  <si>
    <t>1 cm hole</t>
  </si>
  <si>
    <t>4 cm ripple</t>
  </si>
  <si>
    <t>lightning crack</t>
  </si>
  <si>
    <t>Tank round</t>
  </si>
  <si>
    <t>pen/cs</t>
  </si>
  <si>
    <t>Rods x30</t>
  </si>
  <si>
    <t>at 10m</t>
  </si>
  <si>
    <t>Boom/crack combo, shatter glass</t>
  </si>
  <si>
    <t>Tank buster</t>
  </si>
  <si>
    <t>Light coilgun</t>
  </si>
  <si>
    <t>https://panzerworld.com/relative-armor-thickness</t>
  </si>
  <si>
    <t>slanted armor multiplier</t>
  </si>
  <si>
    <t>1 to 10</t>
  </si>
  <si>
    <t>30° = multiplier of 2</t>
  </si>
  <si>
    <t>15° = 4</t>
  </si>
  <si>
    <t>10° = 6</t>
  </si>
  <si>
    <t>5° = 12</t>
  </si>
  <si>
    <t>Coilgun</t>
  </si>
  <si>
    <t>Frigate</t>
  </si>
  <si>
    <t>Small missile</t>
  </si>
  <si>
    <t>Station</t>
  </si>
  <si>
    <t>Monolame</t>
  </si>
  <si>
    <t>Now, to use acceleration equation to calculate displacement:</t>
  </si>
  <si>
    <t>t = (Dm / 299,792,458) + (Dm / Wv)</t>
  </si>
  <si>
    <t>5/100</t>
  </si>
  <si>
    <t>t = time it takes light from target to travel to targeting sensors plus time it takes weapon to travel to target (s)</t>
  </si>
  <si>
    <t>t = time target has to jink before weapon arrives</t>
  </si>
  <si>
    <t>Dm = range to target (m)</t>
  </si>
  <si>
    <t>Wv = weapon velocity (m/s)</t>
  </si>
  <si>
    <t>Deg</t>
  </si>
  <si>
    <t xml:space="preserve">Energy </t>
  </si>
  <si>
    <t>Steel pen</t>
  </si>
  <si>
    <t>Energy density</t>
  </si>
  <si>
    <t>299,792,458 = meters in one light-second</t>
  </si>
  <si>
    <t>Stopped by</t>
  </si>
  <si>
    <t>Dm / 299,792,458 = time it takes light from target to travel to targeting sensors (s)</t>
  </si>
  <si>
    <t>Carbon clothes</t>
  </si>
  <si>
    <t>Dm / Wv = time it takes weapon to travel to target (s)</t>
  </si>
  <si>
    <t>Combat suit</t>
  </si>
  <si>
    <t>Suit</t>
  </si>
  <si>
    <t>H = maximum percent chance to hit target given light-speed lag (0.0 - 1.0 with 1.0 = 100%)</t>
  </si>
  <si>
    <t>Ares armor</t>
  </si>
  <si>
    <t>Gatling</t>
  </si>
  <si>
    <t>Cm = target ship's mean cross section (m2, for a purely convex object this is approximately 1/4 of the surface area)</t>
  </si>
  <si>
    <t>Exosuit</t>
  </si>
  <si>
    <t>accuracy</t>
  </si>
  <si>
    <t>PDC</t>
  </si>
  <si>
    <t>a = target's acceleration (m/s, where 9.81 = 1 g)</t>
  </si>
  <si>
    <t>Power armor</t>
  </si>
  <si>
    <t>Needler</t>
  </si>
  <si>
    <t>Coilgun S</t>
  </si>
  <si>
    <t>Tank</t>
  </si>
  <si>
    <t>Mech</t>
  </si>
  <si>
    <t>0.7854 = π / 4</t>
  </si>
  <si>
    <t>Coilgun L</t>
  </si>
  <si>
    <t>Lasers</t>
  </si>
  <si>
    <t>H = Cm / (0.7854 * a2 * ((Dm + Dm) / 299,792,458)4)</t>
  </si>
  <si>
    <t>Fracture</t>
  </si>
  <si>
    <t>kJs</t>
  </si>
  <si>
    <t>Severe</t>
  </si>
  <si>
    <t>MJs</t>
  </si>
  <si>
    <t>Catastrophic</t>
  </si>
  <si>
    <t>GJs</t>
  </si>
  <si>
    <t>Size</t>
  </si>
  <si>
    <t>Ammo</t>
  </si>
  <si>
    <t>Clip</t>
  </si>
  <si>
    <t>Firearms</t>
  </si>
  <si>
    <t>1 x3</t>
  </si>
  <si>
    <t>5mm</t>
  </si>
  <si>
    <t>Equivalent to M16</t>
  </si>
  <si>
    <t>Bullets</t>
  </si>
  <si>
    <t>SMG</t>
  </si>
  <si>
    <t>1 x6</t>
  </si>
  <si>
    <t>10mm</t>
  </si>
  <si>
    <t>Assault rifle</t>
  </si>
  <si>
    <t>2 x3</t>
  </si>
  <si>
    <t>Medium</t>
  </si>
  <si>
    <t>20mm</t>
  </si>
  <si>
    <t>Revolver</t>
  </si>
  <si>
    <t>40mm</t>
  </si>
  <si>
    <t>1k</t>
  </si>
  <si>
    <t>2 x6</t>
  </si>
  <si>
    <t>50mm</t>
  </si>
  <si>
    <t>4k</t>
  </si>
  <si>
    <t>Assault cannon</t>
  </si>
  <si>
    <t>3 x3</t>
  </si>
  <si>
    <t>Mods</t>
  </si>
  <si>
    <t>5mm AP</t>
  </si>
  <si>
    <t>DCA</t>
  </si>
  <si>
    <t>4 x3</t>
  </si>
  <si>
    <t>10mm AP</t>
  </si>
  <si>
    <t>20mm AP</t>
  </si>
  <si>
    <t>40mm AP</t>
  </si>
  <si>
    <t>50mm AP</t>
  </si>
  <si>
    <t>Tankbuster</t>
  </si>
  <si>
    <t>Coilguns</t>
  </si>
  <si>
    <t>0mm</t>
  </si>
  <si>
    <t>20cm barrel</t>
  </si>
  <si>
    <t>Bolt</t>
  </si>
  <si>
    <t>+1/-1</t>
  </si>
  <si>
    <t>More body damage, less armor damage</t>
  </si>
  <si>
    <t>∞</t>
  </si>
  <si>
    <t>1mm</t>
  </si>
  <si>
    <t>1m barrel</t>
  </si>
  <si>
    <t>Smart</t>
  </si>
  <si>
    <t>Kinetic</t>
  </si>
  <si>
    <t>Can curve, shot with Processor</t>
  </si>
  <si>
    <t>Layers</t>
  </si>
  <si>
    <t>Coverage</t>
  </si>
  <si>
    <t>Material</t>
  </si>
  <si>
    <t>Tens</t>
  </si>
  <si>
    <t>15mm</t>
  </si>
  <si>
    <t>Area</t>
  </si>
  <si>
    <t>4m barrel</t>
  </si>
  <si>
    <t>Thick</t>
  </si>
  <si>
    <t>Area mass</t>
  </si>
  <si>
    <t>Gel</t>
  </si>
  <si>
    <t>N/A</t>
  </si>
  <si>
    <t>External</t>
  </si>
  <si>
    <t>Temporary damage, ignores armor</t>
  </si>
  <si>
    <t>Clothes</t>
  </si>
  <si>
    <t>Artillery</t>
  </si>
  <si>
    <t>30mm</t>
  </si>
  <si>
    <t>10m barrel</t>
  </si>
  <si>
    <t>Rods</t>
  </si>
  <si>
    <t>micrometer needle, delivers substance</t>
  </si>
  <si>
    <t>e-13</t>
  </si>
  <si>
    <t>Full - head,hands</t>
  </si>
  <si>
    <t>Carbon</t>
  </si>
  <si>
    <t>Magknife</t>
  </si>
  <si>
    <t>5x</t>
  </si>
  <si>
    <t>Monoblade</t>
  </si>
  <si>
    <t>10x</t>
  </si>
  <si>
    <t>50k</t>
  </si>
  <si>
    <t>Monowire</t>
  </si>
  <si>
    <t>20x</t>
  </si>
  <si>
    <t>5m</t>
  </si>
  <si>
    <t>Shells</t>
  </si>
  <si>
    <t>12mm</t>
  </si>
  <si>
    <t xml:space="preserve">No damage against armor. Slug separates into shrapnel before impact </t>
  </si>
  <si>
    <t>CNT clothes</t>
  </si>
  <si>
    <t>45mm</t>
  </si>
  <si>
    <t>*</t>
  </si>
  <si>
    <t>Delivers grenade</t>
  </si>
  <si>
    <t>Shotgun</t>
  </si>
  <si>
    <t>Full - head</t>
  </si>
  <si>
    <t xml:space="preserve">CNT </t>
  </si>
  <si>
    <t>Close</t>
  </si>
  <si>
    <t>Launcher</t>
  </si>
  <si>
    <t>Nail gun</t>
  </si>
  <si>
    <t>Nail</t>
  </si>
  <si>
    <t xml:space="preserve">M16 rate of fire </t>
  </si>
  <si>
    <t>rpm</t>
  </si>
  <si>
    <t>Kevlar vest</t>
  </si>
  <si>
    <t>Torso</t>
  </si>
  <si>
    <t>Kevlar</t>
  </si>
  <si>
    <t>rps</t>
  </si>
  <si>
    <t>Full</t>
  </si>
  <si>
    <t>CNT+</t>
  </si>
  <si>
    <t>Nano-armor (online)</t>
  </si>
  <si>
    <t>3 x2</t>
  </si>
  <si>
    <t>RCNT</t>
  </si>
  <si>
    <t xml:space="preserve">                     offline</t>
  </si>
  <si>
    <t>Full - joints</t>
  </si>
  <si>
    <t>50 cm</t>
  </si>
  <si>
    <t>10m</t>
  </si>
  <si>
    <t>30m</t>
  </si>
  <si>
    <t>100m</t>
  </si>
  <si>
    <t>1km</t>
  </si>
  <si>
    <t>10k &lt; 2</t>
  </si>
  <si>
    <t>1k &lt; 5</t>
  </si>
  <si>
    <t>E=</t>
  </si>
  <si>
    <t>100 &lt; 20</t>
  </si>
  <si>
    <t>10 &lt; 50</t>
  </si>
  <si>
    <t>1 &lt; 200</t>
  </si>
  <si>
    <t>10k &lt; 10</t>
  </si>
  <si>
    <t>1k &lt; 30</t>
  </si>
  <si>
    <t>100 &lt; 100</t>
  </si>
  <si>
    <t>10 &lt; 300</t>
  </si>
  <si>
    <t>1 &lt; 1k</t>
  </si>
  <si>
    <t>I=</t>
  </si>
  <si>
    <t>1k &lt; 50</t>
  </si>
  <si>
    <t>10 &lt; 500</t>
  </si>
  <si>
    <t>Damage &lt; Penetration</t>
  </si>
  <si>
    <t>Dermal</t>
  </si>
  <si>
    <t>Flesh</t>
  </si>
  <si>
    <t>L=</t>
  </si>
  <si>
    <t>10k</t>
  </si>
  <si>
    <t>Synthskin</t>
  </si>
  <si>
    <t>Dermal armor</t>
  </si>
  <si>
    <t>N=</t>
  </si>
  <si>
    <t>Cyber plating</t>
  </si>
  <si>
    <t xml:space="preserve">CNT+ </t>
  </si>
  <si>
    <t>A=</t>
  </si>
  <si>
    <t>10 cm</t>
  </si>
  <si>
    <t>30 cm</t>
  </si>
  <si>
    <t>3m</t>
  </si>
  <si>
    <t>5km</t>
  </si>
  <si>
    <t>100km</t>
  </si>
  <si>
    <t>Nanotube</t>
  </si>
  <si>
    <t>l=</t>
  </si>
  <si>
    <t>sweet spot = rod length +/- 50%</t>
  </si>
  <si>
    <t>Internal</t>
  </si>
  <si>
    <t>r=</t>
  </si>
  <si>
    <t>Meat</t>
  </si>
  <si>
    <t>inner radius</t>
  </si>
  <si>
    <t>Carbon bones</t>
  </si>
  <si>
    <t>Paper</t>
  </si>
  <si>
    <t>v=</t>
  </si>
  <si>
    <t>velocity boost</t>
  </si>
  <si>
    <t>v=sqrt( 2E/m )</t>
  </si>
  <si>
    <t>a=</t>
  </si>
  <si>
    <t>Max (ratio 10k)</t>
  </si>
  <si>
    <t>accel per coil</t>
  </si>
  <si>
    <t>a = v² / 2l</t>
  </si>
  <si>
    <t>Pulse intensity (kJ/cm²)</t>
  </si>
  <si>
    <t>e7</t>
  </si>
  <si>
    <t>SUMMARY &gt; not a limiting factor</t>
  </si>
  <si>
    <t>e3</t>
  </si>
  <si>
    <t>e-1</t>
  </si>
  <si>
    <t>Shields</t>
  </si>
  <si>
    <t>Riot shield</t>
  </si>
  <si>
    <t>Poing metahumain</t>
  </si>
  <si>
    <t>Head + Torso + 1 Arm</t>
  </si>
  <si>
    <t>3km</t>
  </si>
  <si>
    <t>Storm shield</t>
  </si>
  <si>
    <t>1 Arm + (Head or Torso)</t>
  </si>
  <si>
    <t>100k</t>
  </si>
  <si>
    <t>10k &lt; 0.1</t>
  </si>
  <si>
    <t>1k &lt; 0.5</t>
  </si>
  <si>
    <t>100 &lt; 1</t>
  </si>
  <si>
    <t>10 &lt; 5</t>
  </si>
  <si>
    <t>1 &lt; 10</t>
  </si>
  <si>
    <t>Max damage</t>
  </si>
  <si>
    <t>1M</t>
  </si>
  <si>
    <t>Range (m)</t>
  </si>
  <si>
    <t>IR cannon</t>
  </si>
  <si>
    <t>vacuum</t>
  </si>
  <si>
    <t>(7)</t>
  </si>
  <si>
    <t>(6)</t>
  </si>
  <si>
    <t>air</t>
  </si>
  <si>
    <t>max kW/cm² (vacuum)</t>
  </si>
  <si>
    <t>max kW/cm² (air)</t>
  </si>
  <si>
    <t>max kW/cm² (water)</t>
  </si>
  <si>
    <t>Green cannon</t>
  </si>
  <si>
    <t>Exo</t>
  </si>
  <si>
    <t>IR pistol, 10ms</t>
  </si>
  <si>
    <t xml:space="preserve">max kW/cm² </t>
  </si>
  <si>
    <t>Green pistol</t>
  </si>
  <si>
    <t>(9)</t>
  </si>
  <si>
    <t>(-2)</t>
  </si>
  <si>
    <t>(8)</t>
  </si>
  <si>
    <t>(-4)</t>
  </si>
  <si>
    <t>30k</t>
  </si>
  <si>
    <t>3k</t>
  </si>
  <si>
    <t>2k</t>
  </si>
  <si>
    <t>kJ/cm3</t>
  </si>
  <si>
    <t>j/g C</t>
  </si>
  <si>
    <t>MPa⋅m1/2</t>
  </si>
  <si>
    <t>MPa</t>
  </si>
  <si>
    <t>j/g</t>
  </si>
  <si>
    <t>melt</t>
  </si>
  <si>
    <t>Tough</t>
  </si>
  <si>
    <t>Comp</t>
  </si>
  <si>
    <t>Charpy</t>
  </si>
  <si>
    <t>Young</t>
  </si>
  <si>
    <t>Res</t>
  </si>
  <si>
    <t>Absorption</t>
  </si>
  <si>
    <t>IR rifle</t>
  </si>
  <si>
    <t>Boron</t>
  </si>
  <si>
    <t>(11)</t>
  </si>
  <si>
    <t>Lithium</t>
  </si>
  <si>
    <t>Aluminium</t>
  </si>
  <si>
    <t>Graphene aerogel</t>
  </si>
  <si>
    <t>Metallic hydrogen</t>
  </si>
  <si>
    <t>e-50</t>
  </si>
  <si>
    <t>e-100</t>
  </si>
  <si>
    <t>Graphite</t>
  </si>
  <si>
    <t>Green rifle</t>
  </si>
  <si>
    <t>high thermal conductivity</t>
  </si>
  <si>
    <t>Amorphous carbon</t>
  </si>
  <si>
    <t>carbon–carbon</t>
  </si>
  <si>
    <t>5xe6</t>
  </si>
  <si>
    <t>high thermal shock resistance and service temp, very low crack resistance</t>
  </si>
  <si>
    <t>UHTCMC</t>
  </si>
  <si>
    <t>ablative heat shield</t>
  </si>
  <si>
    <t>Lithium metal</t>
  </si>
  <si>
    <t>20m</t>
  </si>
  <si>
    <t>50m</t>
  </si>
  <si>
    <t>500m</t>
  </si>
  <si>
    <t>50km</t>
  </si>
  <si>
    <t>HSLA steel</t>
  </si>
  <si>
    <t>Normal range</t>
  </si>
  <si>
    <t>Thermal armor pierced</t>
  </si>
  <si>
    <t>FeMnAlC steel</t>
  </si>
  <si>
    <t>AF1410 steel</t>
  </si>
  <si>
    <t>Anti fracture steel. Super tough. Submarines, spacecraft</t>
  </si>
  <si>
    <t>Kevlar 29</t>
  </si>
  <si>
    <t>stops handgun</t>
  </si>
  <si>
    <t>Kevlar 49</t>
  </si>
  <si>
    <t>Carbon / epoxy</t>
  </si>
  <si>
    <t>Strong and lightweight</t>
  </si>
  <si>
    <t>Forged composite</t>
  </si>
  <si>
    <t>Carbon nanotube</t>
  </si>
  <si>
    <t>Modifiers</t>
  </si>
  <si>
    <t>Quick rules</t>
  </si>
  <si>
    <t>Thermal armor</t>
  </si>
  <si>
    <t>-T</t>
  </si>
  <si>
    <t>Decide pulse rate</t>
  </si>
  <si>
    <t>High thermal and electrical conductivity</t>
  </si>
  <si>
    <t>Good angle (1 hit)</t>
  </si>
  <si>
    <t>Carbon nanotube polymer, ceramic plating, graphene aerogel</t>
  </si>
  <si>
    <t>Fictional</t>
  </si>
  <si>
    <t>Discard 0+ dice to aim</t>
  </si>
  <si>
    <t>Perfect angle (2 hits)</t>
  </si>
  <si>
    <t>+2</t>
  </si>
  <si>
    <t>Roll and substract evasion. If no hits, it's a miss</t>
  </si>
  <si>
    <t>Rain</t>
  </si>
  <si>
    <t>-2</t>
  </si>
  <si>
    <t>UltraDenseCNT</t>
  </si>
  <si>
    <t>Apply modifiers and check range</t>
  </si>
  <si>
    <t>CNT steel</t>
  </si>
  <si>
    <t>Underwater</t>
  </si>
  <si>
    <t>if range &gt; 0, no effect</t>
  </si>
  <si>
    <t>RadX</t>
  </si>
  <si>
    <t>else roll location, all pulses hit the same loc</t>
  </si>
  <si>
    <t>Pulse rate</t>
  </si>
  <si>
    <t>Pulses</t>
  </si>
  <si>
    <t>Each pulse vaporizes 1 cm of armor, or deals 1 damage to body</t>
  </si>
  <si>
    <t>1ms</t>
  </si>
  <si>
    <t>Normal</t>
  </si>
  <si>
    <t>100µs</t>
  </si>
  <si>
    <t>-1</t>
  </si>
  <si>
    <t>Caliber</t>
  </si>
  <si>
    <t>LR</t>
  </si>
  <si>
    <t>Wav</t>
  </si>
  <si>
    <t>+3</t>
  </si>
  <si>
    <t xml:space="preserve">Armor </t>
  </si>
  <si>
    <t>Vaporisation</t>
  </si>
  <si>
    <t xml:space="preserve">Density </t>
  </si>
  <si>
    <t>avg</t>
  </si>
  <si>
    <t>tensile</t>
  </si>
  <si>
    <t>comp strength</t>
  </si>
  <si>
    <t>Toughness</t>
  </si>
  <si>
    <t>Resilience</t>
  </si>
  <si>
    <t>Yield strength</t>
  </si>
  <si>
    <t>Young mod</t>
  </si>
  <si>
    <t>Aluminum</t>
  </si>
  <si>
    <t>(kg/m²)</t>
  </si>
  <si>
    <t>MJ/g</t>
  </si>
  <si>
    <t>HSLA</t>
  </si>
  <si>
    <t>Carbon fiber/steel</t>
  </si>
  <si>
    <t>State</t>
  </si>
  <si>
    <t>Weapon</t>
  </si>
  <si>
    <t>Cycles</t>
  </si>
  <si>
    <t>kJ/m2</t>
  </si>
  <si>
    <t>Carbon fiber/epoxy</t>
  </si>
  <si>
    <t>AF1410 High Fracture-Toughness Steel</t>
  </si>
  <si>
    <t>Electron beam</t>
  </si>
  <si>
    <t>Modulus of resilience = Yield stress² / 2 (Young's modulus)</t>
  </si>
  <si>
    <t>graphene aerogel</t>
  </si>
  <si>
    <t>aerographite</t>
  </si>
  <si>
    <t>x</t>
  </si>
  <si>
    <t>hits</t>
  </si>
  <si>
    <t>/</t>
  </si>
  <si>
    <t>K I = σ β sqrt(π a)</t>
  </si>
  <si>
    <t>mJ/mm3</t>
  </si>
  <si>
    <t>GWm</t>
  </si>
  <si>
    <t>KI</t>
  </si>
  <si>
    <t>is the stress intensity</t>
  </si>
  <si>
    <t>Boil</t>
  </si>
  <si>
    <t>Vaporize</t>
  </si>
  <si>
    <t>Carbon layer</t>
  </si>
  <si>
    <t xml:space="preserve">Kills and damage elecctronics by radiation. Range of a small laser, ignores armor. </t>
  </si>
  <si>
    <t>mJ/cm3</t>
  </si>
  <si>
    <t>factor in M P a / m or p s i / i n</t>
  </si>
  <si>
    <t>J/cm3</t>
  </si>
  <si>
    <t>σ</t>
  </si>
  <si>
    <t>is the applied stress in MPa or psi</t>
  </si>
  <si>
    <t>β</t>
  </si>
  <si>
    <t>is a dimensionless correction factor depends on specimen geometry.</t>
  </si>
  <si>
    <t>is the crack length in meters or inches</t>
  </si>
  <si>
    <t>Active cooling</t>
  </si>
  <si>
    <t>passive cooling</t>
  </si>
  <si>
    <t>Graphite with tin active cooling</t>
  </si>
  <si>
    <t>Carbon plating</t>
  </si>
  <si>
    <t>Whipple shield</t>
  </si>
  <si>
    <t>1/10 thickness of hull</t>
  </si>
  <si>
    <t>Impact strength</t>
  </si>
  <si>
    <t>tensile str</t>
  </si>
  <si>
    <t>completely blocks 1 hit, then destroyed on that side</t>
  </si>
  <si>
    <t>Mpa</t>
  </si>
  <si>
    <t>Carbon nanofiber</t>
  </si>
  <si>
    <t>surface</t>
  </si>
  <si>
    <t>area mass</t>
  </si>
  <si>
    <t>armor mass</t>
  </si>
  <si>
    <t>armor depth (carbon steel)</t>
  </si>
  <si>
    <t>armor depth (carbon epoxy)</t>
  </si>
  <si>
    <t>armor depth (composite)</t>
  </si>
  <si>
    <t>specific heat</t>
  </si>
  <si>
    <t>comp str</t>
  </si>
  <si>
    <t>melting point</t>
  </si>
  <si>
    <t>heat res (melt)</t>
  </si>
  <si>
    <t>kj/g</t>
  </si>
  <si>
    <t>vaporize</t>
  </si>
  <si>
    <t>heat res (vaporize)</t>
  </si>
  <si>
    <t>resilience (carbon)</t>
  </si>
  <si>
    <t>carbon fiber</t>
  </si>
  <si>
    <t>diamond</t>
  </si>
  <si>
    <t>armor depth (carbon)</t>
  </si>
  <si>
    <t>stops rifle AP</t>
  </si>
  <si>
    <t>stops 3 gatling bullets, 3/4 PDC round</t>
  </si>
  <si>
    <t>stops laser pistol at 100m, laser rifle at 600m</t>
  </si>
  <si>
    <t>Stops laser pistol at 30m</t>
  </si>
  <si>
    <t>resilience (Steel)</t>
  </si>
  <si>
    <t>refractive index</t>
  </si>
  <si>
    <t>stops rifle</t>
  </si>
  <si>
    <t>suits ?</t>
  </si>
  <si>
    <t>Nano-armor</t>
  </si>
  <si>
    <t>refraction</t>
  </si>
  <si>
    <t>J/g °C</t>
  </si>
  <si>
    <t>vaporization</t>
  </si>
  <si>
    <t>area mass (reactive)</t>
  </si>
  <si>
    <t>stops pistol AP</t>
  </si>
  <si>
    <t>stops 14 rifle bullets, 1 gatling bullet, 1/3 PDC</t>
  </si>
  <si>
    <t>J/kg K</t>
  </si>
  <si>
    <t>Stops laser pistol at 50m</t>
  </si>
  <si>
    <t>stops no AP</t>
  </si>
  <si>
    <t>stops 3 rifle bullets, 1/2 gatling bullet</t>
  </si>
  <si>
    <t>stops laser pistol at 200m, laser rifle at 1200m</t>
  </si>
  <si>
    <t>Stops laser pistol at 100m</t>
  </si>
  <si>
    <t>Laser pistol</t>
  </si>
  <si>
    <t>Laser rifle</t>
  </si>
  <si>
    <t>stops 2 rifle bullets, 1/2 gatling bullet</t>
  </si>
  <si>
    <t>Stops laser at 100m</t>
  </si>
  <si>
    <t>stops 5 pistol bullets, 1/2 rifle bullet</t>
  </si>
  <si>
    <t>stops laser pistol at 500m, laser rifle at 3000m</t>
  </si>
  <si>
    <t>Stops laser pistol at 200m</t>
  </si>
  <si>
    <t>Reinforced skeleton</t>
  </si>
  <si>
    <t>armor depth (full diamond)</t>
  </si>
  <si>
    <t>Stops gatling AP</t>
  </si>
  <si>
    <t>Stops gatling</t>
  </si>
  <si>
    <t>CHASSIS</t>
  </si>
  <si>
    <t>Mk 1</t>
  </si>
  <si>
    <t>CLASS</t>
  </si>
  <si>
    <t>Stops laser pistol at 1500m</t>
  </si>
  <si>
    <t>Fighter</t>
  </si>
  <si>
    <t>SPEED</t>
  </si>
  <si>
    <t>POWER</t>
  </si>
  <si>
    <t>Escort drone</t>
  </si>
  <si>
    <t>GWh</t>
  </si>
  <si>
    <t>Width</t>
  </si>
  <si>
    <t>Target</t>
  </si>
  <si>
    <t>Current</t>
  </si>
  <si>
    <t>ICF - Combat</t>
  </si>
  <si>
    <t>Exo suit</t>
  </si>
  <si>
    <t>gd</t>
  </si>
  <si>
    <t>Mm/s</t>
  </si>
  <si>
    <t>area mass (armor)</t>
  </si>
  <si>
    <t>Power balance</t>
  </si>
  <si>
    <t>armor depth (diamond)</t>
  </si>
  <si>
    <t>ICF - Cruise</t>
  </si>
  <si>
    <t>Power budget</t>
  </si>
  <si>
    <t>Submarine hull</t>
  </si>
  <si>
    <t>thick</t>
  </si>
  <si>
    <t>tensile str (AF1410)</t>
  </si>
  <si>
    <t>Surface</t>
  </si>
  <si>
    <t>Fuel mass</t>
  </si>
  <si>
    <t>Dry mass</t>
  </si>
  <si>
    <t>HEAT</t>
  </si>
  <si>
    <t>Heat balance</t>
  </si>
  <si>
    <t>Heat budget</t>
  </si>
  <si>
    <t>cycles</t>
  </si>
  <si>
    <t>Used mass</t>
  </si>
  <si>
    <t>Attributes</t>
  </si>
  <si>
    <t>Propulsion</t>
  </si>
  <si>
    <t>ICF (Inertial Confinement Fusion), Cixing magnetic nozzle</t>
  </si>
  <si>
    <t>Agility</t>
  </si>
  <si>
    <t>Guimbaled thruster, retractable jets</t>
  </si>
  <si>
    <t>Fusion core</t>
  </si>
  <si>
    <t>Last-gen fusion core</t>
  </si>
  <si>
    <t>CPU, autopilot, astronav</t>
  </si>
  <si>
    <t>Military grade CPU and autopilot</t>
  </si>
  <si>
    <t>Sensor suite, comms array</t>
  </si>
  <si>
    <t>Power (GW)</t>
  </si>
  <si>
    <t>Barrel (m)</t>
  </si>
  <si>
    <t>dimensions</t>
  </si>
  <si>
    <t>2 x foldable Ether wings</t>
  </si>
  <si>
    <t xml:space="preserve">76mm </t>
  </si>
  <si>
    <t>Lithium-based solution (2 x more W/kg)</t>
  </si>
  <si>
    <t>Radiator profile</t>
  </si>
  <si>
    <t>100mm</t>
  </si>
  <si>
    <t>305mm</t>
  </si>
  <si>
    <t>400mm</t>
  </si>
  <si>
    <t>Metallic hydrogen (100 Wh/kg ?)</t>
  </si>
  <si>
    <t>Warheads</t>
  </si>
  <si>
    <t>Tech</t>
  </si>
  <si>
    <t>Ether</t>
  </si>
  <si>
    <t>Missiles</t>
  </si>
  <si>
    <t>Quassam 1 1x5</t>
  </si>
  <si>
    <t>t / tube</t>
  </si>
  <si>
    <t>Quassam 3 1x20</t>
  </si>
  <si>
    <t>Falaq 1x100</t>
  </si>
  <si>
    <t>Carbon / Ether hull, heat resistant</t>
  </si>
  <si>
    <t>Wasp 12x20</t>
  </si>
  <si>
    <t>multitube = +1 catégorie de mass/tube</t>
  </si>
  <si>
    <t>Fateh 1x500</t>
  </si>
  <si>
    <t>SCODs</t>
  </si>
  <si>
    <t>Panels</t>
  </si>
  <si>
    <t>Astros 40x20</t>
  </si>
  <si>
    <t>Jobaria 240x20</t>
  </si>
  <si>
    <t>Pinaka 12x100</t>
  </si>
  <si>
    <t>Apocalypse 12x500</t>
  </si>
  <si>
    <t>Shape</t>
  </si>
  <si>
    <t>Triangle</t>
  </si>
  <si>
    <t>Hardpoints</t>
  </si>
  <si>
    <t>Armament</t>
  </si>
  <si>
    <t>Light laser</t>
  </si>
  <si>
    <t>Role</t>
  </si>
  <si>
    <t>Escort and patrol</t>
  </si>
  <si>
    <t>/success</t>
  </si>
  <si>
    <t xml:space="preserve">1kw/kg peak output, efficiency 20%, duty cycle 20%, </t>
  </si>
  <si>
    <t>Railguns</t>
  </si>
  <si>
    <t>Light railgun (keel)</t>
  </si>
  <si>
    <t>Turret (front)</t>
  </si>
  <si>
    <t>Combat</t>
  </si>
  <si>
    <t>200ms UV Laser</t>
  </si>
  <si>
    <t>Light railgun (turret)</t>
  </si>
  <si>
    <t>20x0.5x0.5</t>
  </si>
  <si>
    <t>Light coilgun (keel)</t>
  </si>
  <si>
    <t>40mm slugs, 20m barrel, 1 cycle/s ?, 0.4 t/m², 5 GW/t</t>
  </si>
  <si>
    <t>RAILGUN</t>
  </si>
  <si>
    <t>Railgun (keel)</t>
  </si>
  <si>
    <t>40m, 80mm slug</t>
  </si>
  <si>
    <t>F = I * L * B *sinx</t>
  </si>
  <si>
    <t>Coilgun (keel)</t>
  </si>
  <si>
    <t>Cruise</t>
  </si>
  <si>
    <t>Heavy railgun (keel)</t>
  </si>
  <si>
    <t>kGW</t>
  </si>
  <si>
    <t>150x3</t>
  </si>
  <si>
    <t>Turret (back)</t>
  </si>
  <si>
    <t>150m, 3m slugs, 1t/m², 1GW/t</t>
  </si>
  <si>
    <t>200ms IR Laser</t>
  </si>
  <si>
    <t>F = Force</t>
  </si>
  <si>
    <t>I = Current</t>
  </si>
  <si>
    <t>dim</t>
  </si>
  <si>
    <t>warhead</t>
  </si>
  <si>
    <t>L = Distance between rails</t>
  </si>
  <si>
    <t>Astros 40x180</t>
  </si>
  <si>
    <t>B = Magnetic Field</t>
  </si>
  <si>
    <t>Pinaka 12x214</t>
  </si>
  <si>
    <t>100kg</t>
  </si>
  <si>
    <t>BM-21 40x122</t>
  </si>
  <si>
    <t>7x2x3</t>
  </si>
  <si>
    <t>2 rounds/s</t>
  </si>
  <si>
    <t>Jobaria 240x107</t>
  </si>
  <si>
    <t>AM drive</t>
  </si>
  <si>
    <t>Quassam 1 1x60</t>
  </si>
  <si>
    <t>Spine</t>
  </si>
  <si>
    <t>5kg</t>
  </si>
  <si>
    <t>Light Coilgun</t>
  </si>
  <si>
    <t>Quassam 2 1x150</t>
  </si>
  <si>
    <t>10kg</t>
  </si>
  <si>
    <t>GN</t>
  </si>
  <si>
    <t>Quassam 3 1x200</t>
  </si>
  <si>
    <t>20kg</t>
  </si>
  <si>
    <t>RS = relative speed</t>
  </si>
  <si>
    <t>Falaq 1x333</t>
  </si>
  <si>
    <t>RS</t>
  </si>
  <si>
    <t>120kg</t>
  </si>
  <si>
    <t>Fateh</t>
  </si>
  <si>
    <t>500kg</t>
  </si>
  <si>
    <t>Armor profile</t>
  </si>
  <si>
    <t>Rack</t>
  </si>
  <si>
    <t>Single tube launcher, 1launch/min</t>
  </si>
  <si>
    <t>Coverage ratio</t>
  </si>
  <si>
    <t>Front only</t>
  </si>
  <si>
    <t xml:space="preserve">    missiles</t>
  </si>
  <si>
    <t>100kg guided slug</t>
  </si>
  <si>
    <t>Armor density</t>
  </si>
  <si>
    <t>FUEL</t>
  </si>
  <si>
    <t>Crew</t>
  </si>
  <si>
    <t>Cockpit (1 seat)</t>
  </si>
  <si>
    <t>Gyroscopic, ejectable</t>
  </si>
  <si>
    <t>Armor layers</t>
  </si>
  <si>
    <t>Atmospheric</t>
  </si>
  <si>
    <t>Landing struts, atmospheric cooling, ?</t>
  </si>
  <si>
    <t>Compress. yield</t>
  </si>
  <si>
    <t>gh</t>
  </si>
  <si>
    <t>Slope modifier</t>
  </si>
  <si>
    <t>(3 to 15)</t>
  </si>
  <si>
    <t>Heat needed</t>
  </si>
  <si>
    <t>Kinetic needed</t>
  </si>
  <si>
    <t>Front</t>
  </si>
  <si>
    <t>Hull points</t>
  </si>
  <si>
    <t>Side</t>
  </si>
  <si>
    <t>Mass allowance</t>
  </si>
  <si>
    <t>nuclear power plant</t>
  </si>
  <si>
    <t>Back</t>
  </si>
  <si>
    <t>medium sized city</t>
  </si>
  <si>
    <t>Net electricity consumption worldwide</t>
  </si>
  <si>
    <t>TWh</t>
  </si>
  <si>
    <t>.44 Magnum</t>
  </si>
  <si>
    <t>Main engine</t>
  </si>
  <si>
    <t>M16 bullet</t>
  </si>
  <si>
    <t>baseball bat</t>
  </si>
  <si>
    <t>grenade MK3</t>
  </si>
  <si>
    <t>https://en.wikipedia.org/wiki/MK3_grenade</t>
  </si>
  <si>
    <t>ICF (Inertial Confinement Fusion), Cixing™ magnetic nozzle</t>
  </si>
  <si>
    <t>Localisation</t>
  </si>
  <si>
    <t>Status</t>
  </si>
  <si>
    <t>Auxiliary engine</t>
  </si>
  <si>
    <t>1 kg of TNT</t>
  </si>
  <si>
    <t>AM Beam drive (for long distance)</t>
  </si>
  <si>
    <t>No</t>
  </si>
  <si>
    <t>Thrusters</t>
  </si>
  <si>
    <t>Gimbaled engine, powerful side thrusters</t>
  </si>
  <si>
    <t>Brayton cycle fusion core</t>
  </si>
  <si>
    <t>Specific area mass</t>
  </si>
  <si>
    <t>Heat Capacity</t>
  </si>
  <si>
    <t>Military grade CPU</t>
  </si>
  <si>
    <t>KW/m²</t>
  </si>
  <si>
    <t>carbon nanotubes + aerographite + metallic hydrogen Ether dust cooling</t>
  </si>
  <si>
    <t>Marangoni</t>
  </si>
  <si>
    <t>Buckytube</t>
  </si>
  <si>
    <t>RadX hull</t>
  </si>
  <si>
    <t>heat resistant, fragile</t>
  </si>
  <si>
    <t>Carbon / Ether hull</t>
  </si>
  <si>
    <t>heat resistant</t>
  </si>
  <si>
    <t>Heat sink (sodium)</t>
  </si>
  <si>
    <t>3 GW</t>
  </si>
  <si>
    <t>Heat sink (lithium)</t>
  </si>
  <si>
    <t>5 GW</t>
  </si>
  <si>
    <t>Heat sink Thermos</t>
  </si>
  <si>
    <t>10 GW</t>
  </si>
  <si>
    <t>2x foldable wing</t>
  </si>
  <si>
    <t>Turret (side)</t>
  </si>
  <si>
    <t>Battleship</t>
  </si>
  <si>
    <t>Lithium+™</t>
  </si>
  <si>
    <t>Ether dust</t>
  </si>
  <si>
    <t>Esptein drive</t>
  </si>
  <si>
    <t>kTW</t>
  </si>
  <si>
    <t>Cargo</t>
  </si>
  <si>
    <t>Database</t>
  </si>
  <si>
    <t>Nom</t>
  </si>
  <si>
    <t>Statut</t>
  </si>
  <si>
    <t>Corpo</t>
  </si>
  <si>
    <t>Job</t>
  </si>
  <si>
    <t>Tags</t>
  </si>
  <si>
    <t>RadX™ (lightweight hull with ether cooling)</t>
  </si>
  <si>
    <t>Sheriff</t>
  </si>
  <si>
    <t>Militaire</t>
  </si>
  <si>
    <t>Cyborg, whisky</t>
  </si>
  <si>
    <t>Boris</t>
  </si>
  <si>
    <t>Sécurité</t>
  </si>
  <si>
    <t>Pilote</t>
  </si>
  <si>
    <t>Nadia</t>
  </si>
  <si>
    <t>Biomods</t>
  </si>
  <si>
    <t>Luce</t>
  </si>
  <si>
    <t>Citoyen</t>
  </si>
  <si>
    <t>Ares Patrol</t>
  </si>
  <si>
    <t>Décédé</t>
  </si>
  <si>
    <t>Ares</t>
  </si>
  <si>
    <t>Boris Walker</t>
  </si>
  <si>
    <t>Union</t>
  </si>
  <si>
    <t>Divertissement</t>
  </si>
  <si>
    <t>Nadia Taylor</t>
  </si>
  <si>
    <t>Front %</t>
  </si>
  <si>
    <t>% Side</t>
  </si>
  <si>
    <t>Gyroscope</t>
  </si>
  <si>
    <t>Increases agility (included)</t>
  </si>
  <si>
    <t>Deck</t>
  </si>
  <si>
    <t>Détails</t>
  </si>
  <si>
    <t>Boros</t>
  </si>
  <si>
    <t>Déviant</t>
  </si>
  <si>
    <t>Securite</t>
  </si>
  <si>
    <t>Soeur (Nala), Nanodreads, nanotatouage tribal, synthécuir, détaché</t>
  </si>
  <si>
    <t>Quarters</t>
  </si>
  <si>
    <t>Nala</t>
  </si>
  <si>
    <t>Déviante</t>
  </si>
  <si>
    <t>Curieuse, peau violette, synthécuir, implants sensoriels apparents, Instajob Astronav</t>
  </si>
  <si>
    <t>Curieuse, discrète, peau violette, synthécuir, implants sensoriels apparents, Instajob Astronav</t>
  </si>
  <si>
    <t>Patrick</t>
  </si>
  <si>
    <t>Leader</t>
  </si>
  <si>
    <t>Ambitieux, rasé, débraillé, aime pas les trans', têtu, effronté</t>
  </si>
  <si>
    <t>Emilie</t>
  </si>
  <si>
    <t>Ingénieur</t>
  </si>
  <si>
    <t>Chaton virtuel, Int 1 / Soc 3 / Psychologie 2 Infiltration 2 Electronique 1</t>
  </si>
  <si>
    <t>Delia</t>
  </si>
  <si>
    <t>Xenos</t>
  </si>
  <si>
    <t>Loisir</t>
  </si>
  <si>
    <t>Opportuniste, Provocatrice</t>
  </si>
  <si>
    <t>Bulles de sang et outils volent dans la pièce. L'autopilote a été court-circuité (2 dégâts) et crashé (virus P3). Chaton est caché dedans, admin, protège l'ingénieur.</t>
  </si>
  <si>
    <t>Shark</t>
  </si>
  <si>
    <t>Au reboot, autopilote détecte que les caméras sont hackées et risque de condamner Golem.</t>
  </si>
  <si>
    <t>Mercenaire</t>
  </si>
  <si>
    <t>Machoire de requin, Chasseur de primes</t>
  </si>
  <si>
    <t>Nala et Patrick état critique (Phys -1), Nala fauteuil Patrick flotte Emilie aggripe DDE</t>
  </si>
  <si>
    <t>Protocol</t>
  </si>
  <si>
    <t>Artificiel</t>
  </si>
  <si>
    <t>Fantome, Droide adapté 0g (3)</t>
  </si>
  <si>
    <t>Boros feint la mort (Phys 1)</t>
  </si>
  <si>
    <t>Eric</t>
  </si>
  <si>
    <t>Addict (Hunter)</t>
  </si>
  <si>
    <t>Medkit</t>
  </si>
  <si>
    <t>Distributeur de stimulants épuisé</t>
  </si>
  <si>
    <t>Bricokit</t>
  </si>
  <si>
    <t>Sans la malette</t>
  </si>
  <si>
    <t>a = v² / r</t>
  </si>
  <si>
    <t>C = 2 pi * r</t>
  </si>
  <si>
    <t>Poing choc</t>
  </si>
  <si>
    <t>a (m/s²)</t>
  </si>
  <si>
    <t>Dégâts +1 étourdissant</t>
  </si>
  <si>
    <t>v (m/s)</t>
  </si>
  <si>
    <t>r (m)</t>
  </si>
  <si>
    <t>C (m)</t>
  </si>
  <si>
    <t>Maglame</t>
  </si>
  <si>
    <t>Dégâts +1</t>
  </si>
  <si>
    <t>Bottes</t>
  </si>
  <si>
    <t>magnétiques</t>
  </si>
  <si>
    <t>Riveteur</t>
  </si>
  <si>
    <t>Kinétique, portée courte</t>
  </si>
  <si>
    <t>Sédatif</t>
  </si>
  <si>
    <t>3 blessures, 5 seringues</t>
  </si>
  <si>
    <t>Corpo Ares Hunter, Ares Cruiser offert. Liste de recrues potentielles, offres d'emplois. Corporation fusionnée à l'autopilote (inséparable)</t>
  </si>
  <si>
    <t>kGWm</t>
  </si>
  <si>
    <t>6x S-400 Epstein drive (5 kTW)</t>
  </si>
  <si>
    <t>Matos</t>
  </si>
  <si>
    <t>Attributs</t>
  </si>
  <si>
    <t>Comps</t>
  </si>
  <si>
    <t>200 ms UV Laser</t>
  </si>
  <si>
    <t>Cybergriffes (deg +1), nanocombi</t>
  </si>
  <si>
    <t>2 3 1 5</t>
  </si>
  <si>
    <t>Psycho 3, Combat 1, Database 2</t>
  </si>
  <si>
    <t>Period (s)</t>
  </si>
  <si>
    <t>r = a ( P / 2 pi ) ²</t>
  </si>
  <si>
    <t>Mâchoire de requin</t>
  </si>
  <si>
    <t>Pistolet laser, combi, armure dermale, treillis renforcés</t>
  </si>
  <si>
    <t>4 3 2 3</t>
  </si>
  <si>
    <t>Combat 3, Richesse 3, Psycho 2</t>
  </si>
  <si>
    <t>10x 250TW AM Beam drive (for redundancy)</t>
  </si>
  <si>
    <t>Droide Phys 5, pistolet (gel), cuir renforcé</t>
  </si>
  <si>
    <t>5 2 3 1</t>
  </si>
  <si>
    <t>Combat 4, Elec 2, Aero 2</t>
  </si>
  <si>
    <t>Agile design (for its class)</t>
  </si>
  <si>
    <t>Instajob (pirate), riveteur, poing choc, fusil blaster (virtuel)</t>
  </si>
  <si>
    <t>3 4 3 2</t>
  </si>
  <si>
    <t>Aero 3, Combat 2, Elec 2, Infil 2</t>
  </si>
  <si>
    <t>succes</t>
  </si>
  <si>
    <t>Trust</t>
  </si>
  <si>
    <t>Maintenance, Discret</t>
  </si>
  <si>
    <t>Faux profil (criminel), Appareil casse-firewall (3), stungun</t>
  </si>
  <si>
    <t>1 3 5 2</t>
  </si>
  <si>
    <t>Elec 3, Ingé 2, Infil 2</t>
  </si>
  <si>
    <t>P I P S</t>
  </si>
  <si>
    <t>Malette 5 crédits, Delia la pique pendant l'échange et fuit vers les joueurs</t>
  </si>
  <si>
    <t>Carlos</t>
  </si>
  <si>
    <t>Douanier</t>
  </si>
  <si>
    <t>Tourelle laser 2 dégâts (3 - armure thermique)</t>
  </si>
  <si>
    <t>Réparation : 2 succès, 1 crédit</t>
  </si>
  <si>
    <t>Jumper 3 dégâts</t>
  </si>
  <si>
    <t>Turret (side, 2)</t>
  </si>
  <si>
    <t>100 ms UV Laser</t>
  </si>
  <si>
    <t>Turret (wheel, 2)</t>
  </si>
  <si>
    <t>200ms  IR Laser</t>
  </si>
  <si>
    <t>Therm</t>
  </si>
  <si>
    <t>Military grade sensors suite and comms array</t>
  </si>
  <si>
    <t>Turret (wheel)</t>
  </si>
  <si>
    <t>Rack (side, 2)</t>
  </si>
  <si>
    <t>4x foldable RadX radiators (33 kW/m², 150 m²/t)</t>
  </si>
  <si>
    <t xml:space="preserve">    Falaq</t>
  </si>
  <si>
    <t>100kg guided slug. 40g, 60gm, Agility 6</t>
  </si>
  <si>
    <t>Description</t>
  </si>
  <si>
    <t>Mutations 0g</t>
  </si>
  <si>
    <t>Sand Gates</t>
  </si>
  <si>
    <t>Alpha</t>
  </si>
  <si>
    <t>Medias</t>
  </si>
  <si>
    <t>Leader, Opportuniste, Hédoniste, Magball</t>
  </si>
  <si>
    <t>Poches d'oxygène</t>
  </si>
  <si>
    <t>Cam</t>
  </si>
  <si>
    <t>Adaptée</t>
  </si>
  <si>
    <t xml:space="preserve">    Rods</t>
  </si>
  <si>
    <t>Mutations (0g), Fils (jon), combi, torche, riveteur</t>
  </si>
  <si>
    <t>Manoeuvre 0g (souffle par les mains et le dos)</t>
  </si>
  <si>
    <t>Jon</t>
  </si>
  <si>
    <t>Nomade</t>
  </si>
  <si>
    <t>Ingenieur</t>
  </si>
  <si>
    <t>Mutations (0g), Jeune, combi, bricokit, stungun</t>
  </si>
  <si>
    <t>Peau magnétique</t>
  </si>
  <si>
    <t>70mm semi-guided rod (1 kg, 1m long, titanium). Agility 1</t>
  </si>
  <si>
    <t>Résistant aux accélération</t>
  </si>
  <si>
    <t>Rom lit 2 places luxueux (passagers), connecté à la maison</t>
  </si>
  <si>
    <t>Résistant à la pression</t>
  </si>
  <si>
    <t>Autres couchettes (equipage), connectés à l'autopilote</t>
  </si>
  <si>
    <t>Sand dans le salon, café, stade</t>
  </si>
  <si>
    <t>Voyage : 1 xp (jeune 2) + xp d'interaction</t>
  </si>
  <si>
    <t>Arrivée : relai, Richesse creds (intérêts), stade dans la ceinture (1 semaine sans s'arrêter, sinon 2)</t>
  </si>
  <si>
    <t>Anormalement chaud, antenne cassée, sortie en combi, squatté par des déviants, prise d'otage</t>
  </si>
  <si>
    <t>Derek</t>
  </si>
  <si>
    <t>Cyberpunk, Raisonnable, vêtements renforcés, poing choc</t>
  </si>
  <si>
    <t>Spacien</t>
  </si>
  <si>
    <t>Mac</t>
  </si>
  <si>
    <t>PTSD, riveteur, combi, bottes</t>
  </si>
  <si>
    <t>Carapace autonome dans l'espace, Armure 3</t>
  </si>
  <si>
    <t>Don</t>
  </si>
  <si>
    <t>Military quarters</t>
  </si>
  <si>
    <t>Cyborg, combi, pistolet implanté (balles gel)</t>
  </si>
  <si>
    <t>Manoeuvre 0g</t>
  </si>
  <si>
    <t>Total surface</t>
  </si>
  <si>
    <t>Liz</t>
  </si>
  <si>
    <t>Magball</t>
  </si>
  <si>
    <t>Deck, small lounge, medbay, 5 cabins and cramped corridors</t>
  </si>
  <si>
    <t>Fantome, Fière, Droide P5, Combat 4, Reput 2, Elec 2, spé Magball</t>
  </si>
  <si>
    <t>Tor</t>
  </si>
  <si>
    <t>Spacien, Timide, Bricokit implanté</t>
  </si>
  <si>
    <t>Veulent passage vers chez eux (3j) et pas de question. Mac est prêt à négocier</t>
  </si>
  <si>
    <t>Tor dehors, navette part en scred pour ramener un Lego cargo (3 jours)</t>
  </si>
  <si>
    <t>Si combat aerospatial, Drone Hunter intervient en 8 à 12h</t>
  </si>
  <si>
    <t>Agile design : +1 agility</t>
  </si>
  <si>
    <t>https://www.youtube.com/watch?v=nFTCGS2aZtA&amp;list=PLKudVNYkaYRjKg_tLgCmKxFMlNIMhSCPz&amp;index=93</t>
  </si>
  <si>
    <t>Number of panels</t>
  </si>
  <si>
    <t>High-G deck</t>
  </si>
  <si>
    <t>Decreases damage from high-g manoeuvers (gyroscopic seats + drugs)</t>
  </si>
  <si>
    <t>Kinetic armor</t>
  </si>
  <si>
    <t>2 cm titanium plating (thermal + kinetic armor)</t>
  </si>
  <si>
    <t>Hibernation pods</t>
  </si>
  <si>
    <t>Length / Width ratio</t>
  </si>
  <si>
    <t>Jean Treau</t>
  </si>
  <si>
    <t>Elec 3, Ingé 2</t>
  </si>
  <si>
    <t>Smexy</t>
  </si>
  <si>
    <t>Criminel</t>
  </si>
  <si>
    <t>Autopilot</t>
  </si>
  <si>
    <t>Faux profil, Marchand d'IA illégales</t>
  </si>
  <si>
    <t>Sabre éveillé (+1), Appareil casse-firewall (2), stungun</t>
  </si>
  <si>
    <t>Fully autonomous, sentient AI owned by the corporate overlords</t>
  </si>
  <si>
    <t>Elec 3, Ingé 2, Infil 2, combat 1, hot sim (+1 succès matrice)</t>
  </si>
  <si>
    <t>Rectangle</t>
  </si>
  <si>
    <t>Philippe Lebel</t>
  </si>
  <si>
    <t>VIP</t>
  </si>
  <si>
    <t>Gouvernement</t>
  </si>
  <si>
    <t>Hautain, Parieur</t>
  </si>
  <si>
    <t>Contacts marché noir Alpha centauri</t>
  </si>
  <si>
    <t>Landing struts, atmospheric cooling, ?. RadX hull mitigates friction heat</t>
  </si>
  <si>
    <t>Colonel Grant</t>
  </si>
  <si>
    <t>Contact Infrared</t>
  </si>
  <si>
    <t>Administration</t>
  </si>
  <si>
    <t>Dévoué, Radical</t>
  </si>
  <si>
    <t>famille sur Stoner</t>
  </si>
  <si>
    <t>Naginata</t>
  </si>
  <si>
    <t>Repair spiders</t>
  </si>
  <si>
    <t>Réseau de hackers</t>
  </si>
  <si>
    <t>Thermos</t>
  </si>
  <si>
    <t>Small g-resistant drone fitted with tools</t>
  </si>
  <si>
    <t>Maitre Zen, Rusé</t>
  </si>
  <si>
    <t>Babble</t>
  </si>
  <si>
    <t>IAs conscientes</t>
  </si>
  <si>
    <t>R &amp; D</t>
  </si>
  <si>
    <t>Rigide, Distrait</t>
  </si>
  <si>
    <t>Toro ranconné par Trust</t>
  </si>
  <si>
    <t>Recon drones</t>
  </si>
  <si>
    <t>Romain fanmail, invitation, viré, nouveau patron. Sandra enrage, Ares abandonne la station civile. Rendez-vous avec responsable lendemain</t>
  </si>
  <si>
    <t>mail successeur : ton transat, ta piscine, ta secrétaire</t>
  </si>
  <si>
    <t>Elyxe prime, arrivé hier avec équipe maintenance. Infos : Ares, marché noir, hacking -&gt; Shark.</t>
  </si>
  <si>
    <t>Max checkup, Cam veut un verre, blip senseurs spaciens</t>
  </si>
  <si>
    <t>Rover</t>
  </si>
  <si>
    <t>Rom agressé par Mac</t>
  </si>
  <si>
    <t>Shark fait la sécurité à la soirée, rejoint sa bande pour l'after</t>
  </si>
  <si>
    <t>https://www.youtube.com/playlist?list=PLO9JXz4yMY5Krlz_OhlrkOt04UAMce1Et</t>
  </si>
  <si>
    <t>Laser sail</t>
  </si>
  <si>
    <t>Foldable sail, attached manually to take the laser highway</t>
  </si>
  <si>
    <t>Turret (42)</t>
  </si>
  <si>
    <t>After VIP Ares veut pas payer, pirates. Thermos pas content, Xenos s'écrase</t>
  </si>
  <si>
    <t>40mm PDC</t>
  </si>
  <si>
    <t>Max invité par Cam si besoin</t>
  </si>
  <si>
    <t>proc ninja :</t>
  </si>
  <si>
    <t>ville japonaise</t>
  </si>
  <si>
    <t>Communications = port</t>
  </si>
  <si>
    <t>Glace = chateau</t>
  </si>
  <si>
    <t>Agent = samurai</t>
  </si>
  <si>
    <t>Database = entrepots</t>
  </si>
  <si>
    <t>vaisseau</t>
  </si>
  <si>
    <t>Agent = soldat Ares avec cigare et machinegun</t>
  </si>
  <si>
    <t>Size to weight</t>
  </si>
  <si>
    <t>m²/ton</t>
  </si>
  <si>
    <t>Spine (2)</t>
  </si>
  <si>
    <t>Heavy Railgun</t>
  </si>
  <si>
    <t>150m, 3m slugs</t>
  </si>
  <si>
    <t>Rack (36)</t>
  </si>
  <si>
    <t>Astros 40x20kg</t>
  </si>
  <si>
    <t>Apoc 12x500</t>
  </si>
  <si>
    <t>Astros pack</t>
  </si>
  <si>
    <t>Packs of 40 x 20kg guided warhead</t>
  </si>
  <si>
    <t>Apoc pack</t>
  </si>
  <si>
    <t>Packs of 12 x 500kg guided slug</t>
  </si>
  <si>
    <t>Living quarters</t>
  </si>
  <si>
    <t>Comfortable (1t / crew member)</t>
  </si>
  <si>
    <t>m3 / crew</t>
  </si>
  <si>
    <t>Dropship</t>
  </si>
  <si>
    <t>100t armored shuttles</t>
  </si>
  <si>
    <t>Repair skiff</t>
  </si>
  <si>
    <t>50t small craft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</si>
</sst>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.0"/>
    <numFmt numFmtId="165" formatCode="#,##0.0"/>
    <numFmt numFmtId="166" formatCode="#,##0.000"/>
    <numFmt numFmtId="167" formatCode="0.000"/>
    <numFmt numFmtId="168" formatCode="0E+00"/>
    <numFmt numFmtId="169" formatCode="0.000000"/>
    <numFmt numFmtId="170" formatCode="0.0E+00"/>
    <numFmt numFmtId="171" formatCode="0.0000000"/>
    <numFmt numFmtId="172" formatCode="m-d"/>
    <numFmt numFmtId="173" formatCode="#,##0.000000"/>
    <numFmt numFmtId="174" formatCode="0.000000000000"/>
    <numFmt numFmtId="175" formatCode="0.00000"/>
    <numFmt numFmtId="176" formatCode="m/d"/>
  </numFmts>
  <fonts count="24">
    <font>
      <sz val="10.0"/>
      <color rgb="FF000000"/>
      <name val="Arial"/>
    </font>
    <font>
      <name val="Arial"/>
    </font>
    <font/>
    <font>
      <b/>
    </font>
    <font>
      <b/>
      <name val="Arial"/>
    </font>
    <font>
      <b/>
      <color rgb="FF38761D"/>
      <name val="Arial"/>
    </font>
    <font>
      <sz val="11.0"/>
      <color rgb="FF000000"/>
      <name val="Arial"/>
    </font>
    <font>
      <b/>
      <sz val="14.0"/>
    </font>
    <font>
      <sz val="10.0"/>
    </font>
    <font>
      <b/>
      <sz val="10.0"/>
    </font>
    <font>
      <color rgb="FFFFFFFF"/>
      <name val="Roboto"/>
    </font>
    <font>
      <color rgb="FF434343"/>
      <name val="Roboto"/>
    </font>
    <font>
      <u/>
      <color rgb="FF0000FF"/>
    </font>
    <font>
      <sz val="11.0"/>
      <color rgb="FF000000"/>
      <name val="Inconsolata"/>
    </font>
    <font>
      <color rgb="FF222222"/>
      <name val="Arial"/>
    </font>
    <font>
      <sz val="11.0"/>
      <color rgb="FF252525"/>
      <name val="Sans-serif"/>
    </font>
    <font>
      <u/>
      <color rgb="FF0000FF"/>
    </font>
    <font>
      <color rgb="FF000000"/>
      <name val="&quot;Arial&quot;"/>
    </font>
    <font>
      <u/>
      <color rgb="FF0000FF"/>
    </font>
    <font>
      <i/>
    </font>
    <font>
      <u/>
      <color rgb="FF0000FF"/>
    </font>
    <font>
      <color rgb="FF000000"/>
      <name val="Arial"/>
    </font>
    <font>
      <color rgb="FF000000"/>
      <name val="'Arial'"/>
    </font>
    <font>
      <sz val="9.0"/>
      <color rgb="FFF7981D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0" fontId="4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0" fillId="0" fontId="2" numFmtId="3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vertical="bottom"/>
    </xf>
    <xf borderId="0" fillId="0" fontId="1" numFmtId="9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right"/>
    </xf>
    <xf borderId="0" fillId="0" fontId="2" numFmtId="3" xfId="0" applyAlignment="1" applyFont="1" applyNumberFormat="1">
      <alignment horizontal="left" readingOrder="0"/>
    </xf>
    <xf borderId="0" fillId="0" fontId="2" numFmtId="1" xfId="0" applyFont="1" applyNumberFormat="1"/>
    <xf borderId="0" fillId="0" fontId="1" numFmtId="1" xfId="0" applyAlignment="1" applyFont="1" applyNumberFormat="1">
      <alignment vertical="bottom"/>
    </xf>
    <xf borderId="0" fillId="0" fontId="3" numFmtId="1" xfId="0" applyAlignment="1" applyFont="1" applyNumberFormat="1">
      <alignment horizontal="center" readingOrder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5" fillId="2" fontId="1" numFmtId="0" xfId="0" applyAlignment="1" applyBorder="1" applyFill="1" applyFont="1">
      <alignment horizontal="center" vertical="bottom"/>
    </xf>
    <xf borderId="0" fillId="0" fontId="2" numFmtId="165" xfId="0" applyAlignment="1" applyFont="1" applyNumberFormat="1">
      <alignment horizontal="center" readingOrder="0"/>
    </xf>
    <xf borderId="0" fillId="2" fontId="1" numFmtId="1" xfId="0" applyAlignment="1" applyFill="1" applyFont="1" applyNumberForma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2" numFmtId="2" xfId="0" applyFont="1" applyNumberFormat="1"/>
    <xf borderId="0" fillId="0" fontId="2" numFmtId="1" xfId="0" applyAlignment="1" applyFont="1" applyNumberFormat="1">
      <alignment horizontal="center"/>
    </xf>
    <xf borderId="6" fillId="0" fontId="1" numFmtId="0" xfId="0" applyAlignment="1" applyBorder="1" applyFont="1">
      <alignment vertical="bottom"/>
    </xf>
    <xf borderId="0" fillId="0" fontId="2" numFmtId="166" xfId="0" applyAlignment="1" applyFont="1" applyNumberFormat="1">
      <alignment readingOrder="0"/>
    </xf>
    <xf borderId="7" fillId="2" fontId="1" numFmtId="0" xfId="0" applyAlignment="1" applyBorder="1" applyFill="1" applyFont="1">
      <alignment vertical="bottom"/>
    </xf>
    <xf borderId="0" fillId="3" fontId="2" numFmtId="3" xfId="0" applyAlignment="1" applyFill="1" applyFont="1" applyNumberFormat="1">
      <alignment horizontal="center" readingOrder="0"/>
    </xf>
    <xf borderId="7" fillId="2" fontId="1" numFmtId="0" xfId="0" applyAlignment="1" applyBorder="1" applyFill="1" applyFont="1">
      <alignment horizontal="center" vertical="bottom"/>
    </xf>
    <xf borderId="7" fillId="2" fontId="1" numFmtId="3" xfId="0" applyAlignment="1" applyBorder="1" applyFill="1" applyFont="1" applyNumberFormat="1">
      <alignment horizontal="center" vertical="bottom"/>
    </xf>
    <xf borderId="8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9" xfId="0" applyAlignment="1" applyFont="1" applyNumberFormat="1">
      <alignment horizontal="center" readingOrder="0"/>
    </xf>
    <xf borderId="9" fillId="0" fontId="2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5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vertical="bottom"/>
    </xf>
    <xf borderId="0" fillId="0" fontId="3" numFmtId="0" xfId="0" applyFont="1"/>
    <xf borderId="5" fillId="0" fontId="2" numFmtId="0" xfId="0" applyBorder="1" applyFont="1"/>
    <xf borderId="0" fillId="0" fontId="2" numFmtId="1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0" fillId="2" fontId="2" numFmtId="0" xfId="0" applyFill="1" applyFont="1"/>
    <xf borderId="0" fillId="0" fontId="1" numFmtId="167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2" fontId="1" numFmtId="2" xfId="0" applyAlignment="1" applyFill="1" applyFont="1" applyNumberFormat="1">
      <alignment horizontal="center" vertical="bottom"/>
    </xf>
    <xf borderId="0" fillId="0" fontId="1" numFmtId="168" xfId="0" applyAlignment="1" applyFont="1" applyNumberFormat="1">
      <alignment horizontal="center" vertical="bottom"/>
    </xf>
    <xf borderId="5" fillId="2" fontId="1" numFmtId="3" xfId="0" applyAlignment="1" applyBorder="1" applyFill="1" applyFont="1" applyNumberFormat="1">
      <alignment horizontal="center" vertical="bottom"/>
    </xf>
    <xf borderId="0" fillId="2" fontId="1" numFmtId="168" xfId="0" applyAlignment="1" applyFill="1" applyFont="1" applyNumberFormat="1">
      <alignment horizontal="center" vertical="bottom"/>
    </xf>
    <xf borderId="0" fillId="2" fontId="1" numFmtId="1" xfId="0" applyAlignment="1" applyFill="1" applyFont="1" applyNumberFormat="1">
      <alignment vertical="bottom"/>
    </xf>
    <xf borderId="0" fillId="0" fontId="2" numFmtId="1" xfId="0" applyAlignment="1" applyFont="1" applyNumberFormat="1">
      <alignment readingOrder="0"/>
    </xf>
    <xf borderId="0" fillId="3" fontId="2" numFmtId="165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right" readingOrder="0"/>
    </xf>
    <xf quotePrefix="1" borderId="0" fillId="0" fontId="1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readingOrder="0"/>
    </xf>
    <xf quotePrefix="1" borderId="7" fillId="2" fontId="1" numFmtId="0" xfId="0" applyAlignment="1" applyBorder="1" applyFill="1" applyFont="1">
      <alignment horizontal="center" vertical="bottom"/>
    </xf>
    <xf borderId="0" fillId="0" fontId="2" numFmtId="168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3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center"/>
    </xf>
    <xf borderId="0" fillId="0" fontId="2" numFmtId="168" xfId="0" applyAlignment="1" applyFont="1" applyNumberFormat="1">
      <alignment readingOrder="0"/>
    </xf>
    <xf borderId="9" fillId="0" fontId="2" numFmtId="0" xfId="0" applyAlignment="1" applyBorder="1" applyFont="1">
      <alignment horizontal="center" readingOrder="0"/>
    </xf>
    <xf borderId="0" fillId="2" fontId="2" numFmtId="1" xfId="0" applyFill="1" applyFont="1" applyNumberFormat="1"/>
    <xf borderId="1" fillId="0" fontId="4" numFmtId="0" xfId="0" applyAlignment="1" applyBorder="1" applyFont="1">
      <alignment horizontal="center" vertical="bottom"/>
    </xf>
    <xf borderId="0" fillId="0" fontId="2" numFmtId="1" xfId="0" applyAlignment="1" applyFont="1" applyNumberFormat="1">
      <alignment horizontal="right" readingOrder="0"/>
    </xf>
    <xf borderId="10" fillId="0" fontId="2" numFmtId="3" xfId="0" applyAlignment="1" applyBorder="1" applyFont="1" applyNumberFormat="1">
      <alignment horizontal="right" readingOrder="0"/>
    </xf>
    <xf borderId="11" fillId="0" fontId="2" numFmtId="0" xfId="0" applyBorder="1" applyFont="1"/>
    <xf borderId="4" fillId="0" fontId="1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/>
    </xf>
    <xf borderId="4" fillId="2" fontId="1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readingOrder="0"/>
    </xf>
    <xf borderId="0" fillId="2" fontId="1" numFmtId="3" xfId="0" applyAlignment="1" applyFill="1" applyFont="1" applyNumberFormat="1">
      <alignment vertical="bottom"/>
    </xf>
    <xf borderId="5" fillId="2" fontId="1" numFmtId="0" xfId="0" applyAlignment="1" applyBorder="1" applyFill="1" applyFont="1">
      <alignment vertical="bottom"/>
    </xf>
    <xf borderId="0" fillId="0" fontId="2" numFmtId="166" xfId="0" applyAlignment="1" applyFont="1" applyNumberFormat="1">
      <alignment horizontal="center"/>
    </xf>
    <xf borderId="6" fillId="0" fontId="1" numFmtId="0" xfId="0" applyAlignment="1" applyBorder="1" applyFont="1">
      <alignment horizontal="center" vertical="bottom"/>
    </xf>
    <xf borderId="7" fillId="0" fontId="1" numFmtId="3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0" fillId="0" fontId="2" numFmtId="3" xfId="0" applyFont="1" applyNumberFormat="1"/>
    <xf borderId="0" fillId="0" fontId="2" numFmtId="167" xfId="0" applyFont="1" applyNumberFormat="1"/>
    <xf borderId="7" fillId="0" fontId="1" numFmtId="0" xfId="0" applyAlignment="1" applyBorder="1" applyFont="1">
      <alignment vertical="bottom"/>
    </xf>
    <xf borderId="7" fillId="0" fontId="1" numFmtId="3" xfId="0" applyAlignment="1" applyBorder="1" applyFont="1" applyNumberFormat="1">
      <alignment vertical="bottom"/>
    </xf>
    <xf borderId="8" fillId="0" fontId="1" numFmtId="0" xfId="0" applyAlignment="1" applyBorder="1" applyFont="1">
      <alignment vertical="bottom"/>
    </xf>
    <xf borderId="0" fillId="3" fontId="2" numFmtId="1" xfId="0" applyAlignment="1" applyFill="1" applyFont="1" applyNumberFormat="1">
      <alignment horizontal="center"/>
    </xf>
    <xf borderId="6" fillId="0" fontId="5" numFmtId="0" xfId="0" applyAlignment="1" applyBorder="1" applyFont="1">
      <alignment horizontal="center" vertical="bottom"/>
    </xf>
    <xf borderId="0" fillId="3" fontId="2" numFmtId="0" xfId="0" applyAlignment="1" applyFill="1" applyFont="1">
      <alignment readingOrder="0"/>
    </xf>
    <xf borderId="0" fillId="0" fontId="1" numFmtId="3" xfId="0" applyAlignment="1" applyFont="1" applyNumberFormat="1">
      <alignment vertical="bottom"/>
    </xf>
    <xf borderId="0" fillId="3" fontId="2" numFmtId="0" xfId="0" applyAlignment="1" applyFill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3" fontId="2" numFmtId="3" xfId="0" applyAlignment="1" applyFill="1" applyFont="1" applyNumberFormat="1">
      <alignment horizontal="center"/>
    </xf>
    <xf borderId="0" fillId="3" fontId="2" numFmtId="166" xfId="0" applyAlignment="1" applyFill="1" applyFont="1" applyNumberFormat="1">
      <alignment horizontal="center"/>
    </xf>
    <xf borderId="7" fillId="0" fontId="1" numFmtId="9" xfId="0" applyAlignment="1" applyBorder="1" applyFont="1" applyNumberFormat="1">
      <alignment vertical="bottom"/>
    </xf>
    <xf borderId="0" fillId="3" fontId="2" numFmtId="1" xfId="0" applyFill="1" applyFont="1" applyNumberFormat="1"/>
    <xf borderId="0" fillId="3" fontId="2" numFmtId="2" xfId="0" applyAlignment="1" applyFill="1" applyFont="1" applyNumberFormat="1">
      <alignment readingOrder="0"/>
    </xf>
    <xf borderId="0" fillId="3" fontId="2" numFmtId="2" xfId="0" applyFill="1" applyFont="1" applyNumberFormat="1"/>
    <xf borderId="0" fillId="3" fontId="2" numFmtId="3" xfId="0" applyFill="1" applyFont="1" applyNumberFormat="1"/>
    <xf borderId="0" fillId="0" fontId="1" numFmtId="9" xfId="0" applyAlignment="1" applyFont="1" applyNumberFormat="1">
      <alignment vertical="bottom"/>
    </xf>
    <xf borderId="0" fillId="3" fontId="2" numFmtId="0" xfId="0" applyAlignment="1" applyFill="1" applyFont="1">
      <alignment horizontal="center"/>
    </xf>
    <xf borderId="7" fillId="0" fontId="1" numFmtId="9" xfId="0" applyAlignment="1" applyBorder="1" applyFont="1" applyNumberFormat="1">
      <alignment horizontal="center" vertical="bottom"/>
    </xf>
    <xf borderId="0" fillId="0" fontId="2" numFmtId="2" xfId="0" applyAlignment="1" applyFont="1" applyNumberFormat="1">
      <alignment readingOrder="0"/>
    </xf>
    <xf borderId="5" fillId="0" fontId="1" numFmtId="3" xfId="0" applyAlignment="1" applyBorder="1" applyFont="1" applyNumberFormat="1">
      <alignment horizontal="center" vertical="bottom"/>
    </xf>
    <xf borderId="8" fillId="0" fontId="1" numFmtId="3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left"/>
    </xf>
    <xf borderId="4" fillId="0" fontId="4" numFmtId="0" xfId="0" applyAlignment="1" applyBorder="1" applyFont="1">
      <alignment horizontal="center" vertical="bottom"/>
    </xf>
    <xf borderId="4" fillId="0" fontId="1" numFmtId="2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vertical="bottom"/>
    </xf>
    <xf borderId="4" fillId="0" fontId="1" numFmtId="16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quotePrefix="1" borderId="4" fillId="0" fontId="1" numFmtId="0" xfId="0" applyAlignment="1" applyBorder="1" applyFont="1">
      <alignment horizontal="center" vertical="bottom"/>
    </xf>
    <xf quotePrefix="1" borderId="0" fillId="0" fontId="1" numFmtId="1" xfId="0" applyAlignment="1" applyFont="1" applyNumberFormat="1">
      <alignment horizontal="center" vertical="bottom"/>
    </xf>
    <xf borderId="4" fillId="0" fontId="1" numFmtId="1" xfId="0" applyAlignment="1" applyBorder="1" applyFont="1" applyNumberFormat="1">
      <alignment vertical="bottom"/>
    </xf>
    <xf borderId="2" fillId="0" fontId="1" numFmtId="1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2" xfId="0" applyAlignment="1" applyFont="1" applyNumberFormat="1">
      <alignment vertical="bottom"/>
    </xf>
    <xf borderId="5" fillId="0" fontId="1" numFmtId="0" xfId="0" applyAlignment="1" applyBorder="1" applyFont="1">
      <alignment vertical="bottom"/>
    </xf>
    <xf borderId="12" fillId="0" fontId="1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7" fillId="0" fontId="1" numFmtId="1" xfId="0" applyAlignment="1" applyBorder="1" applyFont="1" applyNumberFormat="1">
      <alignment horizontal="right" vertical="bottom"/>
    </xf>
    <xf borderId="7" fillId="0" fontId="1" numFmtId="1" xfId="0" applyAlignment="1" applyBorder="1" applyFont="1" applyNumberFormat="1">
      <alignment vertical="bottom"/>
    </xf>
    <xf borderId="7" fillId="0" fontId="1" numFmtId="0" xfId="0" applyAlignment="1" applyBorder="1" applyFont="1">
      <alignment horizontal="right" vertical="bottom"/>
    </xf>
    <xf borderId="9" fillId="0" fontId="2" numFmtId="164" xfId="0" applyAlignment="1" applyBorder="1" applyFont="1" applyNumberFormat="1">
      <alignment readingOrder="0"/>
    </xf>
    <xf borderId="0" fillId="2" fontId="2" numFmtId="164" xfId="0" applyFill="1" applyFont="1" applyNumberFormat="1"/>
    <xf borderId="9" fillId="0" fontId="2" numFmtId="3" xfId="0" applyAlignment="1" applyBorder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4" fontId="2" numFmtId="1" xfId="0" applyFill="1" applyFont="1" applyNumberFormat="1"/>
    <xf borderId="0" fillId="0" fontId="2" numFmtId="11" xfId="0" applyAlignment="1" applyFont="1" applyNumberFormat="1">
      <alignment readingOrder="0"/>
    </xf>
    <xf borderId="9" fillId="0" fontId="2" numFmtId="1" xfId="0" applyAlignment="1" applyBorder="1" applyFont="1" applyNumberFormat="1">
      <alignment readingOrder="0"/>
    </xf>
    <xf borderId="0" fillId="0" fontId="2" numFmtId="168" xfId="0" applyFont="1" applyNumberFormat="1"/>
    <xf borderId="0" fillId="0" fontId="2" numFmtId="165" xfId="0" applyFont="1" applyNumberFormat="1"/>
    <xf borderId="9" fillId="0" fontId="6" numFmtId="0" xfId="0" applyAlignment="1" applyBorder="1" applyFont="1">
      <alignment horizontal="center" readingOrder="0" shrinkToFit="0" wrapText="1"/>
    </xf>
    <xf borderId="9" fillId="0" fontId="6" numFmtId="3" xfId="0" applyAlignment="1" applyBorder="1" applyFont="1" applyNumberFormat="1">
      <alignment horizontal="center" readingOrder="0" shrinkToFit="0" wrapText="1"/>
    </xf>
    <xf borderId="9" fillId="0" fontId="6" numFmtId="0" xfId="0" applyAlignment="1" applyBorder="1" applyFont="1">
      <alignment horizontal="left" readingOrder="0" shrinkToFit="0" wrapText="1"/>
    </xf>
    <xf borderId="0" fillId="0" fontId="2" numFmtId="169" xfId="0" applyFont="1" applyNumberFormat="1"/>
    <xf borderId="0" fillId="0" fontId="2" numFmtId="11" xfId="0" applyFont="1" applyNumberFormat="1"/>
    <xf borderId="14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0" fillId="0" fontId="2" numFmtId="170" xfId="0" applyFont="1" applyNumberFormat="1"/>
    <xf borderId="0" fillId="0" fontId="2" numFmtId="3" xfId="0" applyAlignment="1" applyFont="1" applyNumberFormat="1">
      <alignment readingOrder="0"/>
    </xf>
    <xf borderId="0" fillId="0" fontId="2" numFmtId="4" xfId="0" applyFont="1" applyNumberFormat="1"/>
    <xf borderId="0" fillId="2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1" xfId="0" applyAlignment="1" applyFont="1" applyNumberFormat="1">
      <alignment shrinkToFit="0" vertical="center" wrapText="0"/>
    </xf>
    <xf borderId="0" fillId="0" fontId="1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5" fontId="13" numFmtId="0" xfId="0" applyFill="1" applyFont="1"/>
    <xf borderId="0" fillId="0" fontId="2" numFmtId="1" xfId="0" applyAlignment="1" applyFont="1" applyNumberFormat="1">
      <alignment readingOrder="0"/>
    </xf>
    <xf borderId="0" fillId="5" fontId="0" numFmtId="1" xfId="0" applyAlignment="1" applyFill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readingOrder="0"/>
    </xf>
    <xf borderId="0" fillId="5" fontId="0" numFmtId="1" xfId="0" applyAlignment="1" applyFill="1" applyFont="1" applyNumberFormat="1">
      <alignment horizontal="center"/>
    </xf>
    <xf borderId="0" fillId="5" fontId="14" numFmtId="0" xfId="0" applyAlignment="1" applyFill="1" applyFont="1">
      <alignment readingOrder="0"/>
    </xf>
    <xf borderId="0" fillId="0" fontId="2" numFmtId="0" xfId="0" applyAlignment="1" applyFont="1">
      <alignment horizontal="right"/>
    </xf>
    <xf borderId="0" fillId="5" fontId="0" numFmtId="1" xfId="0" applyAlignment="1" applyFill="1" applyFont="1" applyNumberFormat="1">
      <alignment horizontal="center" readingOrder="0"/>
    </xf>
    <xf borderId="0" fillId="5" fontId="0" numFmtId="0" xfId="0" applyAlignment="1" applyFill="1" applyFont="1">
      <alignment horizontal="center" readingOrder="0"/>
    </xf>
    <xf borderId="0" fillId="0" fontId="2" numFmtId="164" xfId="0" applyFont="1" applyNumberFormat="1"/>
    <xf borderId="0" fillId="0" fontId="2" numFmtId="1" xfId="0" applyFont="1" applyNumberFormat="1"/>
    <xf quotePrefix="1" borderId="0" fillId="0" fontId="2" numFmtId="0" xfId="0" applyAlignment="1" applyFont="1">
      <alignment horizontal="center" readingOrder="0"/>
    </xf>
    <xf borderId="0" fillId="5" fontId="15" numFmtId="0" xfId="0" applyAlignment="1" applyFill="1" applyFont="1">
      <alignment readingOrder="0"/>
    </xf>
    <xf borderId="0" fillId="5" fontId="0" numFmtId="1" xfId="0" applyAlignment="1" applyFill="1" applyFont="1" applyNumberFormat="1">
      <alignment horizontal="right" readingOrder="0"/>
    </xf>
    <xf borderId="0" fillId="0" fontId="2" numFmtId="2" xfId="0" applyAlignment="1" applyFont="1" applyNumberFormat="1">
      <alignment horizontal="right" readingOrder="0"/>
    </xf>
    <xf borderId="0" fillId="0" fontId="2" numFmtId="171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2" xfId="0" applyAlignment="1" applyFont="1" applyNumberFormat="1">
      <alignment readingOrder="0"/>
    </xf>
    <xf borderId="0" fillId="0" fontId="8" numFmtId="2" xfId="0" applyFont="1" applyNumberFormat="1"/>
    <xf borderId="0" fillId="0" fontId="2" numFmtId="2" xfId="0" applyFont="1" applyNumberFormat="1"/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right"/>
    </xf>
    <xf borderId="0" fillId="0" fontId="16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8" numFmtId="0" xfId="0" applyAlignment="1" applyFont="1">
      <alignment horizontal="right" readingOrder="0"/>
    </xf>
    <xf borderId="0" fillId="7" fontId="2" numFmtId="1" xfId="0" applyFill="1" applyFont="1" applyNumberFormat="1"/>
    <xf borderId="0" fillId="0" fontId="3" numFmtId="0" xfId="0" applyAlignment="1" applyFont="1">
      <alignment horizontal="left" readingOrder="0"/>
    </xf>
    <xf borderId="0" fillId="7" fontId="2" numFmtId="167" xfId="0" applyFill="1" applyFont="1" applyNumberFormat="1"/>
    <xf borderId="0" fillId="7" fontId="2" numFmtId="164" xfId="0" applyFill="1" applyFont="1" applyNumberFormat="1"/>
    <xf borderId="0" fillId="0" fontId="2" numFmtId="167" xfId="0" applyAlignment="1" applyFont="1" applyNumberFormat="1">
      <alignment readingOrder="0"/>
    </xf>
    <xf borderId="0" fillId="7" fontId="2" numFmtId="2" xfId="0" applyFill="1" applyFont="1" applyNumberFormat="1"/>
    <xf borderId="0" fillId="0" fontId="2" numFmtId="172" xfId="0" applyAlignment="1" applyFont="1" applyNumberFormat="1">
      <alignment readingOrder="0"/>
    </xf>
    <xf borderId="0" fillId="2" fontId="2" numFmtId="168" xfId="0" applyFill="1" applyFont="1" applyNumberFormat="1"/>
    <xf borderId="0" fillId="4" fontId="2" numFmtId="167" xfId="0" applyAlignment="1" applyFill="1" applyFont="1" applyNumberFormat="1">
      <alignment readingOrder="0"/>
    </xf>
    <xf borderId="0" fillId="4" fontId="2" numFmtId="168" xfId="0" applyFill="1" applyFont="1" applyNumberFormat="1"/>
    <xf borderId="0" fillId="0" fontId="2" numFmtId="17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7" fontId="2" numFmtId="2" xfId="0" applyAlignment="1" applyFill="1" applyFont="1" applyNumberFormat="1">
      <alignment readingOrder="0"/>
    </xf>
    <xf borderId="0" fillId="7" fontId="2" numFmtId="168" xfId="0" applyFill="1" applyFont="1" applyNumberFormat="1"/>
    <xf borderId="0" fillId="7" fontId="2" numFmtId="167" xfId="0" applyAlignment="1" applyFill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4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3" fontId="2" numFmtId="164" xfId="0" applyAlignment="1" applyFill="1" applyFont="1" applyNumberFormat="1">
      <alignment horizontal="center" readingOrder="0"/>
    </xf>
    <xf borderId="0" fillId="3" fontId="2" numFmtId="0" xfId="0" applyFill="1" applyFont="1"/>
    <xf borderId="0" fillId="6" fontId="2" numFmtId="168" xfId="0" applyAlignment="1" applyFill="1" applyFont="1" applyNumberFormat="1">
      <alignment readingOrder="0"/>
    </xf>
    <xf borderId="4" fillId="0" fontId="2" numFmtId="0" xfId="0" applyBorder="1" applyFont="1"/>
    <xf borderId="0" fillId="0" fontId="2" numFmtId="168" xfId="0" applyAlignment="1" applyFont="1" applyNumberFormat="1">
      <alignment horizontal="center"/>
    </xf>
    <xf quotePrefix="1"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right" readingOrder="0"/>
    </xf>
    <xf borderId="0" fillId="0" fontId="2" numFmtId="171" xfId="0" applyFont="1" applyNumberFormat="1"/>
    <xf borderId="0" fillId="3" fontId="2" numFmtId="168" xfId="0" applyAlignment="1" applyFill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right" readingOrder="0" vertical="bottom"/>
    </xf>
    <xf borderId="0" fillId="6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174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175" xfId="0" applyAlignment="1" applyFont="1" applyNumberFormat="1">
      <alignment horizontal="right" vertical="bottom"/>
    </xf>
    <xf borderId="0" fillId="6" fontId="1" numFmtId="11" xfId="0" applyAlignment="1" applyFill="1" applyFont="1" applyNumberFormat="1">
      <alignment horizontal="right" readingOrder="0" vertical="bottom"/>
    </xf>
    <xf borderId="0" fillId="0" fontId="2" numFmtId="165" xfId="0" applyAlignment="1" applyFont="1" applyNumberFormat="1">
      <alignment horizontal="left"/>
    </xf>
    <xf borderId="0" fillId="6" fontId="1" numFmtId="168" xfId="0" applyAlignment="1" applyFill="1" applyFont="1" applyNumberFormat="1">
      <alignment horizontal="right" readingOrder="0" vertical="bottom"/>
    </xf>
    <xf borderId="0" fillId="0" fontId="2" numFmtId="176" xfId="0" applyAlignment="1" applyFont="1" applyNumberFormat="1">
      <alignment readingOrder="0"/>
    </xf>
    <xf borderId="0" fillId="0" fontId="1" numFmtId="11" xfId="0" applyAlignment="1" applyFont="1" applyNumberFormat="1">
      <alignment horizontal="right" vertical="bottom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2" numFmtId="1" xfId="0" applyAlignment="1" applyFill="1" applyFont="1" applyNumberFormat="1">
      <alignment horizontal="center" readingOrder="0"/>
    </xf>
    <xf borderId="0" fillId="2" fontId="2" numFmtId="164" xfId="0" applyAlignment="1" applyFill="1" applyFont="1" applyNumberFormat="1">
      <alignment horizontal="center" readingOrder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3" fontId="4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5" fillId="3" fontId="1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right" vertical="bottom"/>
    </xf>
    <xf borderId="0" fillId="0" fontId="1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4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vertical="bottom"/>
    </xf>
    <xf borderId="0" fillId="2" fontId="2" numFmtId="0" xfId="0" applyAlignment="1" applyFill="1" applyFont="1">
      <alignment horizontal="center"/>
    </xf>
    <xf borderId="6" fillId="2" fontId="4" numFmtId="0" xfId="0" applyAlignment="1" applyBorder="1" applyFill="1" applyFont="1">
      <alignment horizontal="right" vertical="bottom"/>
    </xf>
    <xf borderId="7" fillId="2" fontId="1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horizontal="center" vertical="bottom"/>
    </xf>
    <xf borderId="8" fillId="2" fontId="1" numFmtId="0" xfId="0" applyAlignment="1" applyBorder="1" applyFill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2" fontId="2" numFmtId="3" xfId="0" applyAlignment="1" applyFill="1" applyFont="1" applyNumberFormat="1">
      <alignment horizontal="center" readingOrder="0"/>
    </xf>
    <xf borderId="0" fillId="5" fontId="3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0" fillId="5" fontId="2" numFmtId="1" xfId="0" applyAlignment="1" applyFill="1" applyFont="1" applyNumberFormat="1">
      <alignment horizontal="center" readingOrder="0"/>
    </xf>
    <xf borderId="0" fillId="5" fontId="2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/>
    </xf>
    <xf borderId="0" fillId="5" fontId="2" numFmtId="164" xfId="0" applyAlignment="1" applyFill="1" applyFont="1" applyNumberFormat="1">
      <alignment horizontal="center" readingOrder="0"/>
    </xf>
    <xf borderId="0" fillId="0" fontId="17" numFmtId="0" xfId="0" applyAlignment="1" applyFont="1">
      <alignment horizontal="right" readingOrder="0"/>
    </xf>
    <xf borderId="0" fillId="0" fontId="2" numFmtId="4" xfId="0" applyAlignment="1" applyFont="1" applyNumberFormat="1">
      <alignment horizontal="center" readingOrder="0"/>
    </xf>
    <xf borderId="0" fillId="3" fontId="3" numFmtId="0" xfId="0" applyAlignment="1" applyFill="1" applyFont="1">
      <alignment horizontal="right" readingOrder="0"/>
    </xf>
    <xf borderId="0" fillId="2" fontId="2" numFmtId="0" xfId="0" applyAlignment="1" applyFill="1" applyFont="1">
      <alignment horizontal="right" readingOrder="0"/>
    </xf>
    <xf borderId="0" fillId="7" fontId="2" numFmtId="0" xfId="0" applyAlignment="1" applyFill="1" applyFont="1">
      <alignment horizontal="center" readingOrder="0"/>
    </xf>
    <xf quotePrefix="1" borderId="0" fillId="7" fontId="2" numFmtId="0" xfId="0" applyAlignment="1" applyFill="1" applyFont="1">
      <alignment horizontal="center" readingOrder="0"/>
    </xf>
    <xf borderId="0" fillId="7" fontId="2" numFmtId="3" xfId="0" applyAlignment="1" applyFill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164" xfId="0" applyAlignment="1" applyFill="1" applyFont="1" applyNumberFormat="1">
      <alignment horizontal="center" readingOrder="0"/>
    </xf>
    <xf borderId="0" fillId="3" fontId="4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7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7" fontId="2" numFmtId="2" xfId="0" applyAlignment="1" applyFill="1" applyFont="1" applyNumberFormat="1">
      <alignment horizontal="center"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horizontal="center" vertical="bottom"/>
    </xf>
    <xf quotePrefix="1" borderId="0" fillId="2" fontId="1" numFmtId="0" xfId="0" applyAlignment="1" applyFill="1" applyFont="1">
      <alignment horizontal="center" vertical="bottom"/>
    </xf>
    <xf quotePrefix="1"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7" fontId="2" numFmtId="1" xfId="0" applyAlignment="1" applyFill="1" applyFont="1" applyNumberFormat="1">
      <alignment horizontal="center" readingOrder="0"/>
    </xf>
    <xf borderId="0" fillId="0" fontId="4" numFmtId="9" xfId="0" applyAlignment="1" applyFont="1" applyNumberFormat="1">
      <alignment horizontal="center" vertical="bottom"/>
    </xf>
    <xf borderId="0" fillId="0" fontId="1" numFmtId="9" xfId="0" applyAlignment="1" applyFont="1" applyNumberFormat="1">
      <alignment horizontal="center" vertical="bottom"/>
    </xf>
    <xf borderId="0" fillId="2" fontId="1" numFmtId="0" xfId="0" applyAlignment="1" applyFill="1" applyFont="1">
      <alignment vertical="bottom"/>
    </xf>
    <xf quotePrefix="1"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center" shrinkToFit="0" vertical="bottom" wrapText="0"/>
    </xf>
    <xf borderId="0" fillId="7" fontId="2" numFmtId="3" xfId="0" applyAlignment="1" applyFill="1" applyFont="1" applyNumberForma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0" fillId="3" fontId="2" numFmtId="164" xfId="0" applyFill="1" applyFont="1" applyNumberFormat="1"/>
    <xf borderId="0" fillId="0" fontId="1" numFmtId="0" xfId="0" applyAlignment="1" applyFont="1">
      <alignment shrinkToFit="0" vertical="bottom" wrapText="0"/>
    </xf>
    <xf borderId="0" fillId="3" fontId="2" numFmtId="164" xfId="0" applyAlignment="1" applyFill="1" applyFont="1" applyNumberFormat="1">
      <alignment readingOrder="0"/>
    </xf>
    <xf borderId="0" fillId="6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vertical="bottom"/>
    </xf>
    <xf borderId="0" fillId="7" fontId="1" numFmtId="1" xfId="0" applyAlignment="1" applyFill="1" applyFont="1" applyNumberFormat="1">
      <alignment horizontal="center" vertical="bottom"/>
    </xf>
    <xf borderId="1" fillId="0" fontId="2" numFmtId="0" xfId="0" applyBorder="1" applyFont="1"/>
    <xf borderId="3" fillId="0" fontId="2" numFmtId="0" xfId="0" applyAlignment="1" applyBorder="1" applyFont="1">
      <alignment readingOrder="0"/>
    </xf>
    <xf borderId="0" fillId="7" fontId="1" numFmtId="0" xfId="0" applyAlignment="1" applyFill="1" applyFont="1">
      <alignment horizontal="center" vertical="bottom"/>
    </xf>
    <xf quotePrefix="1" borderId="4" fillId="0" fontId="2" numFmtId="0" xfId="0" applyAlignment="1" applyBorder="1" applyFont="1">
      <alignment horizontal="right" readingOrder="0"/>
    </xf>
    <xf borderId="0" fillId="0" fontId="1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6" fontId="2" numFmtId="1" xfId="0" applyAlignment="1" applyFill="1" applyFont="1" applyNumberFormat="1">
      <alignment horizontal="center" readingOrder="0"/>
    </xf>
    <xf borderId="0" fillId="7" fontId="2" numFmtId="1" xfId="0" applyAlignment="1" applyFill="1" applyFont="1" applyNumberFormat="1">
      <alignment readingOrder="0"/>
    </xf>
    <xf borderId="0" fillId="7" fontId="1" numFmtId="1" xfId="0" applyAlignment="1" applyFill="1" applyFont="1" applyNumberFormat="1">
      <alignment horizontal="right" vertical="bottom"/>
    </xf>
    <xf borderId="5" fillId="7" fontId="2" numFmtId="1" xfId="0" applyBorder="1" applyFill="1" applyFont="1" applyNumberFormat="1"/>
    <xf borderId="6" fillId="0" fontId="2" numFmtId="0" xfId="0" applyAlignment="1" applyBorder="1" applyFont="1">
      <alignment readingOrder="0"/>
    </xf>
    <xf borderId="7" fillId="7" fontId="2" numFmtId="1" xfId="0" applyAlignment="1" applyBorder="1" applyFill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8" fillId="0" fontId="2" numFmtId="0" xfId="0" applyBorder="1" applyFont="1"/>
    <xf borderId="5" fillId="6" fontId="2" numFmtId="0" xfId="0" applyAlignment="1" applyBorder="1" applyFill="1" applyFont="1">
      <alignment readingOrder="0"/>
    </xf>
    <xf borderId="2" fillId="0" fontId="2" numFmtId="0" xfId="0" applyAlignment="1" applyBorder="1" applyFont="1">
      <alignment horizontal="center"/>
    </xf>
    <xf borderId="7" fillId="7" fontId="2" numFmtId="2" xfId="0" applyBorder="1" applyFill="1" applyFont="1" applyNumberFormat="1"/>
    <xf borderId="7" fillId="3" fontId="2" numFmtId="0" xfId="0" applyAlignment="1" applyBorder="1" applyFill="1" applyFont="1">
      <alignment readingOrder="0"/>
    </xf>
    <xf borderId="8" fillId="7" fontId="2" numFmtId="164" xfId="0" applyBorder="1" applyFill="1" applyFont="1" applyNumberFormat="1"/>
    <xf borderId="6" fillId="0" fontId="2" numFmtId="0" xfId="0" applyBorder="1" applyFont="1"/>
    <xf borderId="0" fillId="6" fontId="2" numFmtId="0" xfId="0" applyAlignment="1" applyFill="1" applyFont="1">
      <alignment horizontal="center" readingOrder="0"/>
    </xf>
    <xf borderId="0" fillId="4" fontId="2" numFmtId="1" xfId="0" applyAlignment="1" applyFill="1" applyFont="1" applyNumberFormat="1">
      <alignment readingOrder="0"/>
    </xf>
    <xf borderId="7" fillId="6" fontId="2" numFmtId="0" xfId="0" applyAlignment="1" applyBorder="1" applyFill="1" applyFont="1">
      <alignment horizontal="center" readingOrder="0"/>
    </xf>
    <xf borderId="7" fillId="3" fontId="2" numFmtId="0" xfId="0" applyAlignment="1" applyBorder="1" applyFill="1" applyFont="1">
      <alignment horizontal="center" readingOrder="0"/>
    </xf>
    <xf borderId="0" fillId="7" fontId="2" numFmtId="3" xfId="0" applyFill="1" applyFont="1" applyNumberFormat="1"/>
    <xf borderId="0" fillId="3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8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7" fontId="2" numFmtId="1" xfId="0" applyAlignment="1" applyFill="1" applyFont="1" applyNumberFormat="1">
      <alignment horizontal="center"/>
    </xf>
    <xf borderId="0" fillId="7" fontId="2" numFmtId="1" xfId="0" applyAlignment="1" applyFill="1" applyFont="1" applyNumberFormat="1">
      <alignment horizontal="right" readingOrder="0"/>
    </xf>
    <xf borderId="7" fillId="7" fontId="2" numFmtId="164" xfId="0" applyBorder="1" applyFill="1" applyFont="1" applyNumberFormat="1"/>
    <xf borderId="4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right" readingOrder="0"/>
    </xf>
    <xf borderId="7" fillId="7" fontId="1" numFmtId="1" xfId="0" applyAlignment="1" applyBorder="1" applyFill="1" applyFont="1" applyNumberFormat="1">
      <alignment horizontal="center" vertical="bottom"/>
    </xf>
    <xf borderId="7" fillId="0" fontId="1" numFmtId="0" xfId="0" applyAlignment="1" applyBorder="1" applyFont="1">
      <alignment readingOrder="0" shrinkToFit="0" vertical="bottom" wrapText="0"/>
    </xf>
    <xf borderId="7" fillId="7" fontId="2" numFmtId="1" xfId="0" applyBorder="1" applyFill="1" applyFont="1" applyNumberFormat="1"/>
    <xf borderId="7" fillId="8" fontId="1" numFmtId="1" xfId="0" applyAlignment="1" applyBorder="1" applyFill="1" applyFont="1" applyNumberFormat="1">
      <alignment horizontal="center" vertical="bottom"/>
    </xf>
    <xf borderId="8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8" fontId="2" numFmtId="1" xfId="0" applyAlignment="1" applyFill="1" applyFont="1" applyNumberFormat="1">
      <alignment readingOrder="0"/>
    </xf>
    <xf borderId="0" fillId="8" fontId="2" numFmtId="0" xfId="0" applyAlignment="1" applyFill="1" applyFont="1">
      <alignment readingOrder="0"/>
    </xf>
    <xf borderId="0" fillId="9" fontId="2" numFmtId="1" xfId="0" applyAlignment="1" applyFill="1" applyFont="1" applyNumberFormat="1">
      <alignment horizontal="center" readingOrder="0"/>
    </xf>
    <xf borderId="0" fillId="5" fontId="2" numFmtId="0" xfId="0" applyAlignment="1" applyFill="1" applyFont="1">
      <alignment readingOrder="0"/>
    </xf>
    <xf borderId="0" fillId="5" fontId="2" numFmtId="0" xfId="0" applyAlignment="1" applyFill="1" applyFont="1">
      <alignment shrinkToFit="0" wrapText="0"/>
    </xf>
    <xf borderId="0" fillId="8" fontId="2" numFmtId="1" xfId="0" applyFill="1" applyFont="1" applyNumberFormat="1"/>
    <xf borderId="0" fillId="8" fontId="2" numFmtId="0" xfId="0" applyFill="1" applyFont="1"/>
    <xf borderId="0" fillId="5" fontId="2" numFmtId="0" xfId="0" applyFill="1" applyFont="1"/>
    <xf borderId="0" fillId="5" fontId="2" numFmtId="1" xfId="0" applyAlignment="1" applyFill="1" applyFont="1" applyNumberFormat="1">
      <alignment readingOrder="0"/>
    </xf>
    <xf borderId="0" fillId="5" fontId="1" numFmtId="1" xfId="0" applyAlignment="1" applyFill="1" applyFont="1" applyNumberFormat="1">
      <alignment horizontal="right" vertical="bottom"/>
    </xf>
    <xf borderId="0" fillId="5" fontId="1" numFmtId="0" xfId="0" applyAlignment="1" applyFill="1" applyFont="1">
      <alignment readingOrder="0" shrinkToFit="0" vertical="bottom" wrapText="0"/>
    </xf>
    <xf borderId="0" fillId="5" fontId="2" numFmtId="164" xfId="0" applyFill="1" applyFont="1" applyNumberFormat="1"/>
    <xf borderId="0" fillId="3" fontId="2" numFmtId="0" xfId="0" applyAlignment="1" applyFill="1" applyFont="1">
      <alignment horizontal="right" readingOrder="0"/>
    </xf>
    <xf borderId="0" fillId="6" fontId="2" numFmtId="1" xfId="0" applyAlignment="1" applyFill="1" applyFont="1" applyNumberFormat="1">
      <alignment readingOrder="0"/>
    </xf>
    <xf borderId="0" fillId="5" fontId="21" numFmtId="0" xfId="0" applyAlignment="1" applyFill="1" applyFont="1">
      <alignment horizontal="left" readingOrder="0"/>
    </xf>
    <xf borderId="0" fillId="7" fontId="2" numFmtId="164" xfId="0" applyAlignment="1" applyFill="1" applyFont="1" applyNumberFormat="1">
      <alignment readingOrder="0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3" fontId="2" numFmtId="0" xfId="0" applyAlignment="1" applyFill="1" applyFont="1">
      <alignment readingOrder="0" shrinkToFit="0" wrapText="0"/>
    </xf>
    <xf borderId="0" fillId="5" fontId="2" numFmtId="164" xfId="0" applyAlignment="1" applyFill="1" applyFont="1" applyNumberFormat="1">
      <alignment shrinkToFit="0" wrapText="0"/>
    </xf>
    <xf borderId="0" fillId="0" fontId="23" numFmtId="0" xfId="0" applyFont="1"/>
    <xf borderId="0" fillId="5" fontId="2" numFmtId="1" xfId="0" applyFill="1" applyFont="1" applyNumberForma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1">
    <tableStyle count="4" pivot="0" name="Stratios las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2, 3, 4, 5, 6…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'Stratios laser'!$M$19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laser'!$M$20:$M$69</c:f>
              <c:numCache/>
            </c:numRef>
          </c:val>
          <c:smooth val="0"/>
        </c:ser>
        <c:ser>
          <c:idx val="1"/>
          <c:order val="1"/>
          <c:tx>
            <c:strRef>
              <c:f>'Stratios laser'!$N$19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laser'!$N$20:$N$69</c:f>
              <c:numCache/>
            </c:numRef>
          </c:val>
          <c:smooth val="0"/>
        </c:ser>
        <c:ser>
          <c:idx val="2"/>
          <c:order val="2"/>
          <c:tx>
            <c:strRef>
              <c:f>'Stratios laser'!$O$19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laser'!$O$20:$O$69</c:f>
              <c:numCache/>
            </c:numRef>
          </c:val>
          <c:smooth val="0"/>
        </c:ser>
        <c:ser>
          <c:idx val="3"/>
          <c:order val="3"/>
          <c:tx>
            <c:strRef>
              <c:f>'Stratios laser'!$P$19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laser'!$P$20:$P$69</c:f>
              <c:numCache/>
            </c:numRef>
          </c:val>
          <c:smooth val="0"/>
        </c:ser>
        <c:ser>
          <c:idx val="4"/>
          <c:order val="4"/>
          <c:tx>
            <c:strRef>
              <c:f>'Stratios laser'!$Q$19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laser'!$Q$20:$Q$69</c:f>
              <c:numCache/>
            </c:numRef>
          </c:val>
          <c:smooth val="0"/>
        </c:ser>
        <c:ser>
          <c:idx val="5"/>
          <c:order val="5"/>
          <c:tx>
            <c:strRef>
              <c:f>'Stratios laser'!$R$19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laser'!$R$20:$R$69</c:f>
              <c:numCache/>
            </c:numRef>
          </c:val>
          <c:smooth val="0"/>
        </c:ser>
        <c:ser>
          <c:idx val="6"/>
          <c:order val="6"/>
          <c:tx>
            <c:strRef>
              <c:f>'Stratios laser'!$S$19</c:f>
            </c:strRef>
          </c:tx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laser'!$S$20:$S$69</c:f>
              <c:numCache/>
            </c:numRef>
          </c:val>
          <c:smooth val="0"/>
        </c:ser>
        <c:ser>
          <c:idx val="7"/>
          <c:order val="7"/>
          <c:tx>
            <c:strRef>
              <c:f>'Stratios laser'!$T$19</c:f>
            </c:strRef>
          </c:tx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laser'!$T$20:$T$69</c:f>
              <c:numCache/>
            </c:numRef>
          </c:val>
          <c:smooth val="0"/>
        </c:ser>
        <c:ser>
          <c:idx val="8"/>
          <c:order val="8"/>
          <c:tx>
            <c:strRef>
              <c:f>'Stratios laser'!$U$19</c:f>
            </c:strRef>
          </c:tx>
          <c:spPr>
            <a:ln cmpd="sng">
              <a:solidFill>
                <a:srgbClr val="3949AB"/>
              </a:solidFill>
            </a:ln>
          </c:spPr>
          <c:marker>
            <c:symbol val="none"/>
          </c:marker>
          <c:cat>
            <c:strRef>
              <c:f>'Stratios laser'!$K$20:$K$69</c:f>
            </c:strRef>
          </c:cat>
          <c:val>
            <c:numRef>
              <c:f>'Stratios laser'!$U$20:$U$69</c:f>
              <c:numCache/>
            </c:numRef>
          </c:val>
          <c:smooth val="0"/>
        </c:ser>
        <c:axId val="248536766"/>
        <c:axId val="1800912950"/>
      </c:lineChart>
      <c:catAx>
        <c:axId val="248536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0912950"/>
      </c:catAx>
      <c:valAx>
        <c:axId val="1800912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8536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19:U69" displayName="Table1" name="Table1" id="1">
  <tableColumns count="11">
    <tableColumn name="C6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</tableColumns>
  <tableStyleInfo name="Stratios lase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8/89/236084main_MilkyWay-full-annotated.jpg" TargetMode="External"/><Relationship Id="rId2" Type="http://schemas.openxmlformats.org/officeDocument/2006/relationships/hyperlink" Target="https://upload.wikimedia.org/wikipedia/commons/e/ee/Orbit_Alpha_Centauri_AB_arcsec.png" TargetMode="External"/><Relationship Id="rId3" Type="http://schemas.openxmlformats.org/officeDocument/2006/relationships/hyperlink" Target="https://en.wikipedia.org/wiki/List_of_nearest_stars_and_brown_dwarfs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panoptesv.com/SciFi/LaserDeathRay/DamageFromLaser.php" TargetMode="External"/><Relationship Id="rId3" Type="http://schemas.openxmlformats.org/officeDocument/2006/relationships/hyperlink" Target="https://www.projectrho.com/public_html/rocket/spacegunconvent2.php" TargetMode="External"/><Relationship Id="rId4" Type="http://schemas.openxmlformats.org/officeDocument/2006/relationships/hyperlink" Target="https://en.wikipedia.org/wiki/Beer%E2%80%93Lambert_law" TargetMode="External"/><Relationship Id="rId5" Type="http://schemas.openxmlformats.org/officeDocument/2006/relationships/hyperlink" Target="https://doaj.org/article/d7eb7ea5e26e4e5abc7a32a8425ad07f" TargetMode="External"/><Relationship Id="rId6" Type="http://schemas.openxmlformats.org/officeDocument/2006/relationships/hyperlink" Target="https://www.projectrho.com/public_html/rocket/spacegunconvent2.php" TargetMode="External"/><Relationship Id="rId7" Type="http://schemas.openxmlformats.org/officeDocument/2006/relationships/drawing" Target="../drawings/drawing19.xml"/><Relationship Id="rId8" Type="http://schemas.openxmlformats.org/officeDocument/2006/relationships/vmlDrawing" Target="../drawings/vmlDrawing5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space.stackexchange.com/questions/23295/how-do-we-come-up-with-the-gravity-assist-or-slingshot-formula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rho.com/public_html/rocket/spacewarship.php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rho.com/public_html/rocket/spacewardefense.php" TargetMode="External"/><Relationship Id="rId2" Type="http://schemas.openxmlformats.org/officeDocument/2006/relationships/hyperlink" Target="https://arxiv.org/pdf/1012.1134" TargetMode="External"/><Relationship Id="rId3" Type="http://schemas.openxmlformats.org/officeDocument/2006/relationships/hyperlink" Target="https://en.wikipedia.org/wiki/Polariton_superfluid" TargetMode="Externa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rho.com/public_html/rocket/sidearmintro.php" TargetMode="External"/><Relationship Id="rId2" Type="http://schemas.openxmlformats.org/officeDocument/2006/relationships/hyperlink" Target="https://www.projectrho.com/public_html/rocket/spacegunconvent.php" TargetMode="External"/><Relationship Id="rId3" Type="http://schemas.openxmlformats.org/officeDocument/2006/relationships/hyperlink" Target="https://en.wikipedia.org/wiki/Impact_depth" TargetMode="External"/><Relationship Id="rId4" Type="http://schemas.openxmlformats.org/officeDocument/2006/relationships/hyperlink" Target="https://www.tankarchives.ca/2014/10/penetration-equations.html" TargetMode="External"/><Relationship Id="rId5" Type="http://schemas.openxmlformats.org/officeDocument/2006/relationships/hyperlink" Target="https://panzerworld.com/relative-armor-thickness" TargetMode="External"/><Relationship Id="rId6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7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8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9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10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s://www.projectrho.com/public_html/rocket/realdesignsfusion.php" TargetMode="External"/><Relationship Id="rId3" Type="http://schemas.openxmlformats.org/officeDocument/2006/relationships/drawing" Target="../drawings/drawing36.xml"/><Relationship Id="rId4" Type="http://schemas.openxmlformats.org/officeDocument/2006/relationships/vmlDrawing" Target="../drawings/vmlDrawing11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jectrho.com/public_html/rocket/spacegunconvent2.php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://transhumain.rf.gd/transhumains_wiki/images/9/9d/Ares_Stratios.jpg" TargetMode="External"/><Relationship Id="rId3" Type="http://schemas.openxmlformats.org/officeDocument/2006/relationships/drawing" Target="../drawings/drawing38.xml"/><Relationship Id="rId4" Type="http://schemas.openxmlformats.org/officeDocument/2006/relationships/vmlDrawing" Target="../drawings/vmlDrawing12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MK3_grenade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s://expanse.fandom.com/wiki/Truman-class_(TV)" TargetMode="External"/><Relationship Id="rId3" Type="http://schemas.openxmlformats.org/officeDocument/2006/relationships/drawing" Target="../drawings/drawing41.xml"/><Relationship Id="rId4" Type="http://schemas.openxmlformats.org/officeDocument/2006/relationships/vmlDrawing" Target="../drawings/vmlDrawing13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nFTCGS2aZtA&amp;list=PLKudVNYkaYRjKg_tLgCmKxFMlNIMhSCPz&amp;index=93" TargetMode="External"/><Relationship Id="rId2" Type="http://schemas.openxmlformats.org/officeDocument/2006/relationships/hyperlink" Target="https://www.youtube.com/playlist?list=PLO9JXz4yMY5Krlz_OhlrkOt04UAMce1Et" TargetMode="External"/><Relationship Id="rId3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</cols>
  <sheetData>
    <row r="1">
      <c r="B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38"/>
    <col customWidth="1" min="4" max="4" width="4.13"/>
    <col customWidth="1" min="5" max="7" width="4.38"/>
    <col customWidth="1" min="8" max="9" width="6.38"/>
    <col customWidth="1" min="10" max="10" width="7.5"/>
    <col customWidth="1" min="11" max="15" width="6.38"/>
    <col customWidth="1" min="16" max="16" width="9.5"/>
    <col customWidth="1" min="17" max="17" width="6.38"/>
    <col customWidth="1" min="18" max="21" width="9.5"/>
    <col customWidth="1" min="22" max="24" width="6.38"/>
  </cols>
  <sheetData>
    <row r="1">
      <c r="C1" s="3"/>
      <c r="D1" s="3"/>
      <c r="E1" s="3"/>
      <c r="F1" s="3"/>
      <c r="G1" s="3"/>
      <c r="I1" s="3" t="s">
        <v>13</v>
      </c>
      <c r="L1" s="3" t="s">
        <v>40</v>
      </c>
      <c r="N1" s="3" t="s">
        <v>45</v>
      </c>
    </row>
    <row r="2">
      <c r="C2" s="8" t="s">
        <v>51</v>
      </c>
      <c r="D2" s="8"/>
      <c r="E2" s="8"/>
      <c r="F2" s="8"/>
      <c r="G2" s="8"/>
      <c r="I2" s="8" t="s">
        <v>60</v>
      </c>
      <c r="J2" s="8" t="s">
        <v>61</v>
      </c>
      <c r="L2" s="5" t="s">
        <v>63</v>
      </c>
      <c r="N2" s="8" t="s">
        <v>34</v>
      </c>
      <c r="Q2" s="8" t="s">
        <v>65</v>
      </c>
    </row>
    <row r="3">
      <c r="C3" s="3" t="s">
        <v>67</v>
      </c>
      <c r="D3" s="3" t="s">
        <v>40</v>
      </c>
      <c r="F3" s="3" t="s">
        <v>45</v>
      </c>
      <c r="I3" s="3" t="s">
        <v>67</v>
      </c>
      <c r="J3" s="3" t="s">
        <v>75</v>
      </c>
      <c r="L3" s="4" t="s">
        <v>76</v>
      </c>
      <c r="M3" s="3" t="s">
        <v>77</v>
      </c>
      <c r="N3" s="3" t="s">
        <v>71</v>
      </c>
      <c r="O3" s="3" t="s">
        <v>77</v>
      </c>
      <c r="Q3" s="3" t="s">
        <v>72</v>
      </c>
      <c r="W3" s="8"/>
    </row>
    <row r="4">
      <c r="B4" s="2" t="s">
        <v>82</v>
      </c>
      <c r="C4" s="18">
        <f t="shared" ref="C4:C15" si="1">J4*3600 / 1000</f>
        <v>0.9</v>
      </c>
      <c r="D4" s="23">
        <f t="shared" ref="D4:D5" si="2">I4*3600/(N4*1000) / 60 * 1/O4</f>
        <v>16.66666667</v>
      </c>
      <c r="E4" s="24" t="s">
        <v>85</v>
      </c>
      <c r="F4" s="23">
        <f t="shared" ref="F4:F5" si="3">I4*3600/(N4*1000) / 60 * O4</f>
        <v>13.5</v>
      </c>
      <c r="G4" s="24" t="s">
        <v>85</v>
      </c>
      <c r="I4" s="18">
        <v>250.0</v>
      </c>
      <c r="J4" s="33">
        <f t="shared" ref="J4:J5" si="4">I4/1000</f>
        <v>0.25</v>
      </c>
      <c r="L4" s="8"/>
      <c r="M4" s="8"/>
      <c r="N4" s="8">
        <v>1.0</v>
      </c>
      <c r="O4" s="8">
        <v>0.9</v>
      </c>
      <c r="Q4" s="37">
        <f t="shared" ref="Q4:Q9" si="5">N4/O4*(1-O4)</f>
        <v>0.1111111111</v>
      </c>
    </row>
    <row r="5">
      <c r="B5" s="2" t="s">
        <v>105</v>
      </c>
      <c r="C5" s="18">
        <f t="shared" si="1"/>
        <v>1.8</v>
      </c>
      <c r="D5" s="23">
        <f t="shared" si="2"/>
        <v>16.66666667</v>
      </c>
      <c r="E5" s="24" t="s">
        <v>85</v>
      </c>
      <c r="F5" s="23">
        <f t="shared" si="3"/>
        <v>13.5</v>
      </c>
      <c r="G5" s="24" t="s">
        <v>85</v>
      </c>
      <c r="I5" s="8">
        <v>500.0</v>
      </c>
      <c r="J5" s="33">
        <f t="shared" si="4"/>
        <v>0.5</v>
      </c>
      <c r="M5" s="8"/>
      <c r="N5" s="8">
        <v>2.0</v>
      </c>
      <c r="O5" s="8">
        <v>0.9</v>
      </c>
      <c r="Q5" s="37">
        <f t="shared" si="5"/>
        <v>0.2222222222</v>
      </c>
    </row>
    <row r="6">
      <c r="A6" s="2" t="s">
        <v>80</v>
      </c>
      <c r="B6" s="2" t="s">
        <v>109</v>
      </c>
      <c r="C6" s="18">
        <f t="shared" si="1"/>
        <v>5.4</v>
      </c>
      <c r="D6" s="23">
        <f t="shared" ref="D6:D9" si="6">(I6/1000)/(L6/860) * 1/M6</f>
        <v>23.88888889</v>
      </c>
      <c r="E6" s="24" t="s">
        <v>115</v>
      </c>
      <c r="F6" s="23">
        <f t="shared" ref="F6:F7" si="7">(I6/1000)/(N6/3600)/60*O6</f>
        <v>45</v>
      </c>
      <c r="G6" s="24" t="s">
        <v>85</v>
      </c>
      <c r="I6" s="18">
        <v>5000.0</v>
      </c>
      <c r="J6" s="18">
        <f t="shared" ref="J6:J9" si="8">I6*O6/1000</f>
        <v>1.5</v>
      </c>
      <c r="L6" s="8">
        <v>200.0</v>
      </c>
      <c r="M6" s="8">
        <v>0.9</v>
      </c>
      <c r="N6" s="8">
        <v>2.0</v>
      </c>
      <c r="O6" s="8">
        <v>0.3</v>
      </c>
      <c r="Q6" s="39">
        <f t="shared" si="5"/>
        <v>4.666666667</v>
      </c>
    </row>
    <row r="7">
      <c r="A7" s="2" t="s">
        <v>80</v>
      </c>
      <c r="B7" s="2" t="s">
        <v>127</v>
      </c>
      <c r="C7" s="18">
        <f t="shared" si="1"/>
        <v>10.8</v>
      </c>
      <c r="D7" s="23">
        <f t="shared" si="6"/>
        <v>15.92592593</v>
      </c>
      <c r="E7" s="24" t="s">
        <v>115</v>
      </c>
      <c r="F7" s="23">
        <f t="shared" si="7"/>
        <v>18</v>
      </c>
      <c r="G7" s="24" t="s">
        <v>85</v>
      </c>
      <c r="I7" s="18">
        <v>5000.0</v>
      </c>
      <c r="J7" s="18">
        <f t="shared" si="8"/>
        <v>3</v>
      </c>
      <c r="L7" s="8">
        <v>300.0</v>
      </c>
      <c r="M7" s="8">
        <v>0.9</v>
      </c>
      <c r="N7" s="8">
        <v>10.0</v>
      </c>
      <c r="O7" s="8">
        <v>0.6</v>
      </c>
      <c r="Q7" s="39">
        <f t="shared" si="5"/>
        <v>6.666666667</v>
      </c>
    </row>
    <row r="8">
      <c r="A8" s="2" t="s">
        <v>80</v>
      </c>
      <c r="B8" s="2" t="s">
        <v>138</v>
      </c>
      <c r="C8" s="18">
        <f t="shared" si="1"/>
        <v>10.8</v>
      </c>
      <c r="D8" s="23">
        <f t="shared" si="6"/>
        <v>35.83333333</v>
      </c>
      <c r="E8" s="24" t="s">
        <v>115</v>
      </c>
      <c r="F8" s="23">
        <f t="shared" ref="F8:F9" si="9">(I8/1000)/(N8/3600)/3600*O8</f>
        <v>60</v>
      </c>
      <c r="G8" s="24" t="s">
        <v>115</v>
      </c>
      <c r="I8" s="18">
        <v>10000.0</v>
      </c>
      <c r="J8" s="18">
        <f t="shared" si="8"/>
        <v>3</v>
      </c>
      <c r="L8" s="8">
        <v>300.0</v>
      </c>
      <c r="M8" s="8">
        <v>0.8</v>
      </c>
      <c r="N8" s="8">
        <v>0.05</v>
      </c>
      <c r="O8" s="8">
        <v>0.3</v>
      </c>
      <c r="Q8" s="37">
        <f t="shared" si="5"/>
        <v>0.1166666667</v>
      </c>
      <c r="W8" s="38"/>
    </row>
    <row r="9">
      <c r="A9" s="2" t="s">
        <v>80</v>
      </c>
      <c r="B9" s="2" t="s">
        <v>149</v>
      </c>
      <c r="C9" s="18">
        <f t="shared" si="1"/>
        <v>21.6</v>
      </c>
      <c r="D9" s="23">
        <f t="shared" si="6"/>
        <v>19.11111111</v>
      </c>
      <c r="E9" s="24" t="s">
        <v>115</v>
      </c>
      <c r="F9" s="23">
        <f t="shared" si="9"/>
        <v>6</v>
      </c>
      <c r="G9" s="24" t="s">
        <v>115</v>
      </c>
      <c r="I9" s="18">
        <v>10000.0</v>
      </c>
      <c r="J9" s="18">
        <f t="shared" si="8"/>
        <v>6</v>
      </c>
      <c r="L9" s="8">
        <v>500.0</v>
      </c>
      <c r="M9" s="8">
        <v>0.9</v>
      </c>
      <c r="N9" s="8">
        <v>1.0</v>
      </c>
      <c r="O9" s="8">
        <v>0.6</v>
      </c>
      <c r="Q9" s="37">
        <f t="shared" si="5"/>
        <v>0.6666666667</v>
      </c>
    </row>
    <row r="10">
      <c r="B10" s="2" t="s">
        <v>159</v>
      </c>
      <c r="C10" s="33">
        <f t="shared" si="1"/>
        <v>0.36</v>
      </c>
      <c r="D10" s="23">
        <f>I10*3600/(N10*1000) * 1/O10</f>
        <v>4</v>
      </c>
      <c r="E10" s="24" t="s">
        <v>47</v>
      </c>
      <c r="F10" s="23">
        <f>I10*3600/(N10*1000) * O10</f>
        <v>3.24</v>
      </c>
      <c r="G10" s="24" t="s">
        <v>47</v>
      </c>
      <c r="I10" s="18">
        <v>100.0</v>
      </c>
      <c r="J10" s="33">
        <f>I10/1000</f>
        <v>0.1</v>
      </c>
      <c r="L10" s="4"/>
      <c r="M10" s="8">
        <v>0.9</v>
      </c>
      <c r="N10" s="8">
        <v>100.0</v>
      </c>
      <c r="O10" s="8">
        <v>0.9</v>
      </c>
      <c r="Q10" s="56">
        <v>0.0</v>
      </c>
    </row>
    <row r="11">
      <c r="B11" s="2" t="s">
        <v>182</v>
      </c>
      <c r="C11" s="18">
        <f t="shared" si="1"/>
        <v>18</v>
      </c>
      <c r="D11" s="69" t="s">
        <v>183</v>
      </c>
      <c r="E11" s="24"/>
      <c r="F11" s="23"/>
      <c r="G11" s="24"/>
      <c r="I11" s="18">
        <v>10000.0</v>
      </c>
      <c r="J11" s="18">
        <f t="shared" ref="J11:J14" si="10">I11/2000</f>
        <v>5</v>
      </c>
      <c r="N11" s="73">
        <v>1.0E-6</v>
      </c>
      <c r="O11" s="8">
        <v>1.0</v>
      </c>
      <c r="Q11" s="39"/>
    </row>
    <row r="12">
      <c r="B12" s="2" t="s">
        <v>194</v>
      </c>
      <c r="C12" s="73">
        <f t="shared" si="1"/>
        <v>1800000</v>
      </c>
      <c r="D12" s="69" t="s">
        <v>183</v>
      </c>
      <c r="E12" s="76"/>
      <c r="F12" s="75">
        <v>10.0</v>
      </c>
      <c r="G12" s="24" t="s">
        <v>195</v>
      </c>
      <c r="I12" s="77">
        <v>1.0E9</v>
      </c>
      <c r="J12" s="18">
        <f t="shared" si="10"/>
        <v>500000</v>
      </c>
      <c r="N12" s="73">
        <v>0.001</v>
      </c>
      <c r="O12" s="8">
        <v>1.0</v>
      </c>
      <c r="Q12" s="39"/>
    </row>
    <row r="13">
      <c r="B13" s="2" t="s">
        <v>197</v>
      </c>
      <c r="C13" s="73">
        <f t="shared" si="1"/>
        <v>1800</v>
      </c>
      <c r="D13" s="69" t="s">
        <v>183</v>
      </c>
      <c r="E13" s="76"/>
      <c r="F13" s="75">
        <v>50.0</v>
      </c>
      <c r="G13" s="24" t="s">
        <v>195</v>
      </c>
      <c r="I13" s="77">
        <v>1000000.0</v>
      </c>
      <c r="J13" s="18">
        <f t="shared" si="10"/>
        <v>500</v>
      </c>
      <c r="N13" s="73">
        <v>1.0E-6</v>
      </c>
      <c r="O13" s="8">
        <v>1.0</v>
      </c>
      <c r="Q13" s="39"/>
    </row>
    <row r="14">
      <c r="B14" s="2" t="s">
        <v>205</v>
      </c>
      <c r="C14" s="73">
        <f t="shared" si="1"/>
        <v>1800</v>
      </c>
      <c r="D14" s="69" t="s">
        <v>183</v>
      </c>
      <c r="E14" s="24"/>
      <c r="F14" s="81">
        <v>2000.0</v>
      </c>
      <c r="G14" s="24" t="s">
        <v>195</v>
      </c>
      <c r="I14" s="77">
        <v>1000000.0</v>
      </c>
      <c r="J14" s="18">
        <f t="shared" si="10"/>
        <v>500</v>
      </c>
      <c r="N14" s="73">
        <v>1.0E-9</v>
      </c>
      <c r="O14" s="8">
        <v>1.0</v>
      </c>
      <c r="Q14" s="39"/>
    </row>
    <row r="15">
      <c r="B15" s="2" t="s">
        <v>210</v>
      </c>
      <c r="C15" s="18">
        <f t="shared" si="1"/>
        <v>5.04</v>
      </c>
      <c r="D15" s="69" t="s">
        <v>183</v>
      </c>
      <c r="E15" s="24"/>
      <c r="F15" s="85">
        <f>I15*3600/(N15*1000) / 3600 * 1/O15</f>
        <v>1.428571429</v>
      </c>
      <c r="G15" s="24" t="s">
        <v>115</v>
      </c>
      <c r="I15" s="18">
        <v>2000.0</v>
      </c>
      <c r="J15" s="33">
        <f>I15*O15/1000</f>
        <v>1.4</v>
      </c>
      <c r="M15" s="8"/>
      <c r="N15" s="8">
        <v>2.0</v>
      </c>
      <c r="O15" s="8">
        <v>0.7</v>
      </c>
      <c r="Q15" s="39"/>
    </row>
    <row r="18">
      <c r="C18" s="29"/>
      <c r="D18" s="29"/>
      <c r="E18" s="29"/>
      <c r="F18" s="29"/>
      <c r="G18" s="29"/>
      <c r="O18" s="29"/>
    </row>
    <row r="19">
      <c r="C19" s="29"/>
      <c r="D19" s="29"/>
      <c r="E19" s="29"/>
      <c r="F19" s="29"/>
      <c r="G19" s="29"/>
      <c r="O19" s="29"/>
    </row>
    <row r="20">
      <c r="C20" s="29"/>
      <c r="D20" s="29"/>
      <c r="E20" s="29"/>
      <c r="F20" s="29"/>
      <c r="G20" s="29"/>
      <c r="O20" s="29"/>
    </row>
    <row r="21">
      <c r="C21" s="29"/>
      <c r="D21" s="29"/>
      <c r="E21" s="29"/>
      <c r="F21" s="29"/>
      <c r="G21" s="29"/>
      <c r="O21" s="29"/>
    </row>
    <row r="22">
      <c r="C22" s="29"/>
      <c r="D22" s="29"/>
      <c r="E22" s="29"/>
      <c r="F22" s="29"/>
      <c r="G22" s="29"/>
      <c r="O22" s="29"/>
    </row>
    <row r="23">
      <c r="C23" s="29"/>
      <c r="D23" s="29"/>
      <c r="E23" s="29"/>
      <c r="F23" s="29"/>
      <c r="G23" s="29"/>
      <c r="O23" s="29"/>
    </row>
    <row r="24">
      <c r="C24" s="29"/>
      <c r="D24" s="29"/>
      <c r="E24" s="29"/>
      <c r="F24" s="29"/>
      <c r="G24" s="29"/>
      <c r="O24" s="29"/>
    </row>
    <row r="25">
      <c r="C25" s="29"/>
      <c r="D25" s="29"/>
      <c r="E25" s="29"/>
      <c r="F25" s="29"/>
      <c r="G25" s="29"/>
      <c r="O25" s="29"/>
    </row>
    <row r="26">
      <c r="C26" s="29"/>
      <c r="D26" s="29"/>
      <c r="E26" s="29"/>
      <c r="F26" s="29"/>
      <c r="G26" s="29"/>
      <c r="O26" s="29"/>
    </row>
    <row r="27">
      <c r="C27" s="29"/>
      <c r="D27" s="29"/>
      <c r="E27" s="29"/>
      <c r="F27" s="29"/>
      <c r="G27" s="29"/>
      <c r="O27" s="29"/>
    </row>
    <row r="28">
      <c r="C28" s="29"/>
      <c r="D28" s="29"/>
      <c r="E28" s="29"/>
      <c r="F28" s="29"/>
      <c r="G28" s="29"/>
      <c r="O28" s="29"/>
    </row>
    <row r="29">
      <c r="C29" s="29"/>
      <c r="D29" s="29"/>
      <c r="E29" s="29"/>
      <c r="F29" s="29"/>
      <c r="G29" s="29"/>
      <c r="O29" s="29"/>
    </row>
    <row r="30">
      <c r="C30" s="29"/>
      <c r="D30" s="29"/>
      <c r="E30" s="29"/>
      <c r="F30" s="29"/>
      <c r="G30" s="29"/>
      <c r="O30" s="29"/>
    </row>
    <row r="31">
      <c r="C31" s="29"/>
      <c r="D31" s="29"/>
      <c r="E31" s="29"/>
      <c r="F31" s="29"/>
      <c r="G31" s="29"/>
      <c r="O31" s="29"/>
    </row>
    <row r="32">
      <c r="C32" s="29"/>
      <c r="D32" s="29"/>
      <c r="E32" s="29"/>
      <c r="F32" s="29"/>
      <c r="G32" s="29"/>
      <c r="O32" s="29"/>
    </row>
    <row r="33">
      <c r="C33" s="29"/>
      <c r="D33" s="29"/>
      <c r="E33" s="29"/>
      <c r="F33" s="29"/>
      <c r="G33" s="29"/>
      <c r="O33" s="29"/>
    </row>
    <row r="34">
      <c r="C34" s="29"/>
      <c r="D34" s="29"/>
      <c r="E34" s="29"/>
      <c r="F34" s="29"/>
      <c r="G34" s="29"/>
      <c r="O34" s="29"/>
    </row>
    <row r="35">
      <c r="C35" s="29"/>
      <c r="D35" s="29"/>
      <c r="E35" s="29"/>
      <c r="F35" s="29"/>
      <c r="G35" s="29"/>
      <c r="O35" s="29"/>
    </row>
    <row r="36">
      <c r="C36" s="29"/>
      <c r="D36" s="29"/>
      <c r="E36" s="29"/>
      <c r="F36" s="29"/>
      <c r="G36" s="29"/>
      <c r="O36" s="29"/>
    </row>
    <row r="37">
      <c r="C37" s="29"/>
      <c r="D37" s="29"/>
      <c r="E37" s="29"/>
      <c r="F37" s="29"/>
      <c r="G37" s="29"/>
      <c r="O37" s="29"/>
    </row>
    <row r="38">
      <c r="C38" s="29"/>
      <c r="D38" s="29"/>
      <c r="E38" s="29"/>
      <c r="F38" s="29"/>
      <c r="G38" s="29"/>
      <c r="O38" s="29"/>
    </row>
    <row r="39">
      <c r="C39" s="29"/>
      <c r="D39" s="29"/>
      <c r="E39" s="29"/>
      <c r="F39" s="29"/>
      <c r="G39" s="29"/>
      <c r="O39" s="29"/>
    </row>
    <row r="40">
      <c r="C40" s="29"/>
      <c r="D40" s="29"/>
      <c r="E40" s="29"/>
      <c r="F40" s="29"/>
      <c r="G40" s="29"/>
      <c r="O40" s="29"/>
    </row>
    <row r="41">
      <c r="C41" s="29"/>
      <c r="D41" s="29"/>
      <c r="E41" s="29"/>
      <c r="F41" s="29"/>
      <c r="G41" s="29"/>
      <c r="O41" s="29"/>
    </row>
    <row r="42">
      <c r="C42" s="29"/>
      <c r="D42" s="29"/>
      <c r="E42" s="29"/>
      <c r="F42" s="29"/>
      <c r="G42" s="29"/>
      <c r="O42" s="29"/>
    </row>
    <row r="43">
      <c r="C43" s="29"/>
      <c r="D43" s="29"/>
      <c r="E43" s="29"/>
      <c r="F43" s="29"/>
      <c r="G43" s="29"/>
      <c r="O43" s="29"/>
    </row>
    <row r="44">
      <c r="C44" s="29"/>
      <c r="D44" s="29"/>
      <c r="E44" s="29"/>
      <c r="F44" s="29"/>
      <c r="G44" s="29"/>
      <c r="O44" s="29"/>
    </row>
    <row r="45">
      <c r="C45" s="29"/>
      <c r="D45" s="29"/>
      <c r="E45" s="29"/>
      <c r="F45" s="29"/>
      <c r="G45" s="29"/>
      <c r="O45" s="29"/>
    </row>
    <row r="46">
      <c r="C46" s="29"/>
      <c r="D46" s="29"/>
      <c r="E46" s="29"/>
      <c r="F46" s="29"/>
      <c r="G46" s="29"/>
      <c r="O46" s="29"/>
    </row>
    <row r="47">
      <c r="C47" s="29"/>
      <c r="D47" s="29"/>
      <c r="E47" s="29"/>
      <c r="F47" s="29"/>
      <c r="G47" s="29"/>
      <c r="O47" s="29"/>
    </row>
    <row r="48">
      <c r="C48" s="29"/>
      <c r="D48" s="29"/>
      <c r="E48" s="29"/>
      <c r="F48" s="29"/>
      <c r="G48" s="29"/>
      <c r="O48" s="29"/>
    </row>
    <row r="49">
      <c r="C49" s="29"/>
      <c r="D49" s="29"/>
      <c r="E49" s="29"/>
      <c r="F49" s="29"/>
      <c r="G49" s="29"/>
      <c r="O49" s="29"/>
    </row>
    <row r="50">
      <c r="C50" s="29"/>
      <c r="D50" s="29"/>
      <c r="E50" s="29"/>
      <c r="F50" s="29"/>
      <c r="G50" s="29"/>
      <c r="O50" s="29"/>
    </row>
    <row r="51">
      <c r="C51" s="29"/>
      <c r="D51" s="29"/>
      <c r="E51" s="29"/>
      <c r="F51" s="29"/>
      <c r="G51" s="29"/>
      <c r="O51" s="29"/>
    </row>
    <row r="52">
      <c r="C52" s="29"/>
      <c r="D52" s="29"/>
      <c r="E52" s="29"/>
      <c r="F52" s="29"/>
      <c r="G52" s="29"/>
      <c r="O52" s="29"/>
    </row>
    <row r="53">
      <c r="C53" s="29"/>
      <c r="D53" s="29"/>
      <c r="E53" s="29"/>
      <c r="F53" s="29"/>
      <c r="G53" s="29"/>
      <c r="O53" s="29"/>
    </row>
    <row r="54">
      <c r="C54" s="29"/>
      <c r="D54" s="29"/>
      <c r="E54" s="29"/>
      <c r="F54" s="29"/>
      <c r="G54" s="29"/>
      <c r="O54" s="29"/>
    </row>
    <row r="55">
      <c r="C55" s="29"/>
      <c r="D55" s="29"/>
      <c r="E55" s="29"/>
      <c r="F55" s="29"/>
      <c r="G55" s="29"/>
      <c r="O55" s="29"/>
    </row>
    <row r="56">
      <c r="C56" s="29"/>
      <c r="D56" s="29"/>
      <c r="E56" s="29"/>
      <c r="F56" s="29"/>
      <c r="G56" s="29"/>
      <c r="O56" s="29"/>
    </row>
    <row r="57">
      <c r="C57" s="29"/>
      <c r="D57" s="29"/>
      <c r="E57" s="29"/>
      <c r="F57" s="29"/>
      <c r="G57" s="29"/>
      <c r="O57" s="29"/>
    </row>
    <row r="58">
      <c r="C58" s="29"/>
      <c r="D58" s="29"/>
      <c r="E58" s="29"/>
      <c r="F58" s="29"/>
      <c r="G58" s="29"/>
      <c r="O58" s="29"/>
    </row>
    <row r="59">
      <c r="C59" s="29"/>
      <c r="D59" s="29"/>
      <c r="E59" s="29"/>
      <c r="F59" s="29"/>
      <c r="G59" s="29"/>
      <c r="O59" s="29"/>
    </row>
    <row r="60">
      <c r="C60" s="29"/>
      <c r="D60" s="29"/>
      <c r="E60" s="29"/>
      <c r="F60" s="29"/>
      <c r="G60" s="29"/>
      <c r="O60" s="29"/>
    </row>
    <row r="61">
      <c r="C61" s="29"/>
      <c r="D61" s="29"/>
      <c r="E61" s="29"/>
      <c r="F61" s="29"/>
      <c r="G61" s="29"/>
      <c r="O61" s="29"/>
    </row>
    <row r="62">
      <c r="C62" s="29"/>
      <c r="D62" s="29"/>
      <c r="E62" s="29"/>
      <c r="F62" s="29"/>
      <c r="G62" s="29"/>
      <c r="O62" s="29"/>
    </row>
    <row r="63">
      <c r="C63" s="29"/>
      <c r="D63" s="29"/>
      <c r="E63" s="29"/>
      <c r="F63" s="29"/>
      <c r="G63" s="29"/>
      <c r="O63" s="29"/>
    </row>
    <row r="64">
      <c r="C64" s="29"/>
      <c r="D64" s="29"/>
      <c r="E64" s="29"/>
      <c r="F64" s="29"/>
      <c r="G64" s="29"/>
      <c r="O64" s="29"/>
    </row>
    <row r="65">
      <c r="C65" s="29"/>
      <c r="D65" s="29"/>
      <c r="E65" s="29"/>
      <c r="F65" s="29"/>
      <c r="G65" s="29"/>
      <c r="O65" s="29"/>
    </row>
    <row r="66">
      <c r="C66" s="29"/>
      <c r="D66" s="29"/>
      <c r="E66" s="29"/>
      <c r="F66" s="29"/>
      <c r="G66" s="29"/>
      <c r="O66" s="29"/>
    </row>
    <row r="67">
      <c r="C67" s="29"/>
      <c r="D67" s="29"/>
      <c r="E67" s="29"/>
      <c r="F67" s="29"/>
      <c r="G67" s="29"/>
      <c r="O67" s="29"/>
    </row>
    <row r="68">
      <c r="C68" s="29"/>
      <c r="D68" s="29"/>
      <c r="E68" s="29"/>
      <c r="F68" s="29"/>
      <c r="G68" s="29"/>
      <c r="O68" s="29"/>
    </row>
    <row r="69">
      <c r="C69" s="29"/>
      <c r="D69" s="29"/>
      <c r="E69" s="29"/>
      <c r="F69" s="29"/>
      <c r="G69" s="29"/>
      <c r="O69" s="29"/>
    </row>
    <row r="70">
      <c r="C70" s="29"/>
      <c r="D70" s="29"/>
      <c r="E70" s="29"/>
      <c r="F70" s="29"/>
      <c r="G70" s="29"/>
      <c r="O70" s="29"/>
    </row>
    <row r="71">
      <c r="C71" s="29"/>
      <c r="D71" s="29"/>
      <c r="E71" s="29"/>
      <c r="F71" s="29"/>
      <c r="G71" s="29"/>
      <c r="O71" s="29"/>
    </row>
    <row r="72">
      <c r="C72" s="29"/>
      <c r="D72" s="29"/>
      <c r="E72" s="29"/>
      <c r="F72" s="29"/>
      <c r="G72" s="29"/>
      <c r="O72" s="29"/>
    </row>
    <row r="73">
      <c r="C73" s="29"/>
      <c r="D73" s="29"/>
      <c r="E73" s="29"/>
      <c r="F73" s="29"/>
      <c r="G73" s="29"/>
      <c r="O73" s="29"/>
    </row>
    <row r="74">
      <c r="C74" s="29"/>
      <c r="D74" s="29"/>
      <c r="E74" s="29"/>
      <c r="F74" s="29"/>
      <c r="G74" s="29"/>
      <c r="O74" s="29"/>
    </row>
    <row r="75">
      <c r="C75" s="29"/>
      <c r="D75" s="29"/>
      <c r="E75" s="29"/>
      <c r="F75" s="29"/>
      <c r="G75" s="29"/>
      <c r="O75" s="29"/>
    </row>
    <row r="76">
      <c r="C76" s="29"/>
      <c r="D76" s="29"/>
      <c r="E76" s="29"/>
      <c r="F76" s="29"/>
      <c r="G76" s="29"/>
      <c r="O76" s="29"/>
    </row>
    <row r="77">
      <c r="C77" s="29"/>
      <c r="D77" s="29"/>
      <c r="E77" s="29"/>
      <c r="F77" s="29"/>
      <c r="G77" s="29"/>
      <c r="O77" s="29"/>
    </row>
    <row r="78">
      <c r="C78" s="29"/>
      <c r="D78" s="29"/>
      <c r="E78" s="29"/>
      <c r="F78" s="29"/>
      <c r="G78" s="29"/>
      <c r="O78" s="29"/>
    </row>
    <row r="79">
      <c r="C79" s="29"/>
      <c r="D79" s="29"/>
      <c r="E79" s="29"/>
      <c r="F79" s="29"/>
      <c r="G79" s="29"/>
      <c r="O79" s="29"/>
    </row>
    <row r="80">
      <c r="C80" s="29"/>
      <c r="D80" s="29"/>
      <c r="E80" s="29"/>
      <c r="F80" s="29"/>
      <c r="G80" s="29"/>
      <c r="O80" s="29"/>
    </row>
    <row r="81">
      <c r="C81" s="29"/>
      <c r="D81" s="29"/>
      <c r="E81" s="29"/>
      <c r="F81" s="29"/>
      <c r="G81" s="29"/>
      <c r="O81" s="29"/>
    </row>
    <row r="82">
      <c r="C82" s="29"/>
      <c r="D82" s="29"/>
      <c r="E82" s="29"/>
      <c r="F82" s="29"/>
      <c r="G82" s="29"/>
      <c r="O82" s="29"/>
    </row>
    <row r="83">
      <c r="C83" s="29"/>
      <c r="D83" s="29"/>
      <c r="E83" s="29"/>
      <c r="F83" s="29"/>
      <c r="G83" s="29"/>
      <c r="O83" s="29"/>
    </row>
    <row r="84">
      <c r="C84" s="29"/>
      <c r="D84" s="29"/>
      <c r="E84" s="29"/>
      <c r="F84" s="29"/>
      <c r="G84" s="29"/>
      <c r="O84" s="29"/>
    </row>
    <row r="85">
      <c r="C85" s="29"/>
      <c r="D85" s="29"/>
      <c r="E85" s="29"/>
      <c r="F85" s="29"/>
      <c r="G85" s="29"/>
      <c r="O85" s="29"/>
    </row>
    <row r="86">
      <c r="C86" s="29"/>
      <c r="D86" s="29"/>
      <c r="E86" s="29"/>
      <c r="F86" s="29"/>
      <c r="G86" s="29"/>
      <c r="O86" s="29"/>
    </row>
    <row r="87">
      <c r="C87" s="29"/>
      <c r="D87" s="29"/>
      <c r="E87" s="29"/>
      <c r="F87" s="29"/>
      <c r="G87" s="29"/>
      <c r="O87" s="29"/>
    </row>
    <row r="88">
      <c r="C88" s="29"/>
      <c r="D88" s="29"/>
      <c r="E88" s="29"/>
      <c r="F88" s="29"/>
      <c r="G88" s="29"/>
      <c r="O88" s="29"/>
    </row>
    <row r="89">
      <c r="C89" s="29"/>
      <c r="D89" s="29"/>
      <c r="E89" s="29"/>
      <c r="F89" s="29"/>
      <c r="G89" s="29"/>
      <c r="O89" s="29"/>
    </row>
    <row r="90">
      <c r="C90" s="29"/>
      <c r="D90" s="29"/>
      <c r="E90" s="29"/>
      <c r="F90" s="29"/>
      <c r="G90" s="29"/>
      <c r="O90" s="29"/>
    </row>
    <row r="91">
      <c r="C91" s="29"/>
      <c r="D91" s="29"/>
      <c r="E91" s="29"/>
      <c r="F91" s="29"/>
      <c r="G91" s="29"/>
      <c r="O91" s="29"/>
    </row>
    <row r="92">
      <c r="C92" s="29"/>
      <c r="D92" s="29"/>
      <c r="E92" s="29"/>
      <c r="F92" s="29"/>
      <c r="G92" s="29"/>
      <c r="O92" s="29"/>
    </row>
    <row r="93">
      <c r="C93" s="29"/>
      <c r="D93" s="29"/>
      <c r="E93" s="29"/>
      <c r="F93" s="29"/>
      <c r="G93" s="29"/>
      <c r="O93" s="29"/>
    </row>
    <row r="94">
      <c r="C94" s="29"/>
      <c r="D94" s="29"/>
      <c r="E94" s="29"/>
      <c r="F94" s="29"/>
      <c r="G94" s="29"/>
      <c r="O94" s="29"/>
    </row>
    <row r="95">
      <c r="C95" s="29"/>
      <c r="D95" s="29"/>
      <c r="E95" s="29"/>
      <c r="F95" s="29"/>
      <c r="G95" s="29"/>
      <c r="O95" s="29"/>
    </row>
    <row r="96">
      <c r="C96" s="29"/>
      <c r="D96" s="29"/>
      <c r="E96" s="29"/>
      <c r="F96" s="29"/>
      <c r="G96" s="29"/>
      <c r="O96" s="29"/>
    </row>
    <row r="97">
      <c r="C97" s="29"/>
      <c r="D97" s="29"/>
      <c r="E97" s="29"/>
      <c r="F97" s="29"/>
      <c r="G97" s="29"/>
      <c r="O97" s="29"/>
    </row>
    <row r="98">
      <c r="C98" s="29"/>
      <c r="D98" s="29"/>
      <c r="E98" s="29"/>
      <c r="F98" s="29"/>
      <c r="G98" s="29"/>
      <c r="O98" s="29"/>
    </row>
    <row r="99">
      <c r="C99" s="29"/>
      <c r="D99" s="29"/>
      <c r="E99" s="29"/>
      <c r="F99" s="29"/>
      <c r="G99" s="29"/>
      <c r="O99" s="29"/>
    </row>
    <row r="100">
      <c r="C100" s="29"/>
      <c r="D100" s="29"/>
      <c r="E100" s="29"/>
      <c r="F100" s="29"/>
      <c r="G100" s="29"/>
      <c r="O100" s="29"/>
    </row>
    <row r="101">
      <c r="C101" s="29"/>
      <c r="D101" s="29"/>
      <c r="E101" s="29"/>
      <c r="F101" s="29"/>
      <c r="G101" s="29"/>
      <c r="O101" s="29"/>
    </row>
    <row r="102">
      <c r="C102" s="29"/>
      <c r="D102" s="29"/>
      <c r="E102" s="29"/>
      <c r="F102" s="29"/>
      <c r="G102" s="29"/>
      <c r="O102" s="29"/>
    </row>
    <row r="103">
      <c r="C103" s="29"/>
      <c r="D103" s="29"/>
      <c r="E103" s="29"/>
      <c r="F103" s="29"/>
      <c r="G103" s="29"/>
      <c r="O103" s="29"/>
    </row>
    <row r="104">
      <c r="C104" s="29"/>
      <c r="D104" s="29"/>
      <c r="E104" s="29"/>
      <c r="F104" s="29"/>
      <c r="G104" s="29"/>
      <c r="O104" s="29"/>
    </row>
    <row r="105">
      <c r="C105" s="29"/>
      <c r="D105" s="29"/>
      <c r="E105" s="29"/>
      <c r="F105" s="29"/>
      <c r="G105" s="29"/>
      <c r="O105" s="29"/>
    </row>
    <row r="106">
      <c r="C106" s="29"/>
      <c r="D106" s="29"/>
      <c r="E106" s="29"/>
      <c r="F106" s="29"/>
      <c r="G106" s="29"/>
      <c r="O106" s="29"/>
    </row>
    <row r="107">
      <c r="C107" s="29"/>
      <c r="D107" s="29"/>
      <c r="E107" s="29"/>
      <c r="F107" s="29"/>
      <c r="G107" s="29"/>
      <c r="O107" s="29"/>
    </row>
    <row r="108">
      <c r="C108" s="29"/>
      <c r="D108" s="29"/>
      <c r="E108" s="29"/>
      <c r="F108" s="29"/>
      <c r="G108" s="29"/>
      <c r="O108" s="29"/>
    </row>
    <row r="109">
      <c r="C109" s="29"/>
      <c r="D109" s="29"/>
      <c r="E109" s="29"/>
      <c r="F109" s="29"/>
      <c r="G109" s="29"/>
      <c r="O109" s="29"/>
    </row>
    <row r="110">
      <c r="C110" s="29"/>
      <c r="D110" s="29"/>
      <c r="E110" s="29"/>
      <c r="F110" s="29"/>
      <c r="G110" s="29"/>
      <c r="O110" s="29"/>
    </row>
    <row r="111">
      <c r="C111" s="29"/>
      <c r="D111" s="29"/>
      <c r="E111" s="29"/>
      <c r="F111" s="29"/>
      <c r="G111" s="29"/>
      <c r="O111" s="29"/>
    </row>
    <row r="112">
      <c r="C112" s="29"/>
      <c r="D112" s="29"/>
      <c r="E112" s="29"/>
      <c r="F112" s="29"/>
      <c r="G112" s="29"/>
      <c r="O112" s="29"/>
    </row>
    <row r="113">
      <c r="C113" s="29"/>
      <c r="D113" s="29"/>
      <c r="E113" s="29"/>
      <c r="F113" s="29"/>
      <c r="G113" s="29"/>
      <c r="O113" s="29"/>
    </row>
    <row r="114">
      <c r="C114" s="29"/>
      <c r="D114" s="29"/>
      <c r="E114" s="29"/>
      <c r="F114" s="29"/>
      <c r="G114" s="29"/>
      <c r="O114" s="29"/>
    </row>
    <row r="115">
      <c r="C115" s="29"/>
      <c r="D115" s="29"/>
      <c r="E115" s="29"/>
      <c r="F115" s="29"/>
      <c r="G115" s="29"/>
      <c r="O115" s="29"/>
    </row>
    <row r="116">
      <c r="C116" s="29"/>
      <c r="D116" s="29"/>
      <c r="E116" s="29"/>
      <c r="F116" s="29"/>
      <c r="G116" s="29"/>
      <c r="O116" s="29"/>
    </row>
    <row r="117">
      <c r="C117" s="29"/>
      <c r="D117" s="29"/>
      <c r="E117" s="29"/>
      <c r="F117" s="29"/>
      <c r="G117" s="29"/>
      <c r="O117" s="29"/>
    </row>
    <row r="118">
      <c r="C118" s="29"/>
      <c r="D118" s="29"/>
      <c r="E118" s="29"/>
      <c r="F118" s="29"/>
      <c r="G118" s="29"/>
      <c r="O118" s="29"/>
    </row>
    <row r="119">
      <c r="C119" s="29"/>
      <c r="D119" s="29"/>
      <c r="E119" s="29"/>
      <c r="F119" s="29"/>
      <c r="G119" s="29"/>
      <c r="O119" s="29"/>
    </row>
    <row r="120">
      <c r="C120" s="29"/>
      <c r="D120" s="29"/>
      <c r="E120" s="29"/>
      <c r="F120" s="29"/>
      <c r="G120" s="29"/>
      <c r="O120" s="29"/>
    </row>
    <row r="121">
      <c r="C121" s="29"/>
      <c r="D121" s="29"/>
      <c r="E121" s="29"/>
      <c r="F121" s="29"/>
      <c r="G121" s="29"/>
      <c r="O121" s="29"/>
    </row>
    <row r="122">
      <c r="C122" s="29"/>
      <c r="D122" s="29"/>
      <c r="E122" s="29"/>
      <c r="F122" s="29"/>
      <c r="G122" s="29"/>
      <c r="O122" s="29"/>
    </row>
    <row r="123">
      <c r="C123" s="29"/>
      <c r="D123" s="29"/>
      <c r="E123" s="29"/>
      <c r="F123" s="29"/>
      <c r="G123" s="29"/>
      <c r="O123" s="29"/>
    </row>
    <row r="124">
      <c r="C124" s="29"/>
      <c r="D124" s="29"/>
      <c r="E124" s="29"/>
      <c r="F124" s="29"/>
      <c r="G124" s="29"/>
      <c r="O124" s="29"/>
    </row>
    <row r="125">
      <c r="C125" s="29"/>
      <c r="D125" s="29"/>
      <c r="E125" s="29"/>
      <c r="F125" s="29"/>
      <c r="G125" s="29"/>
      <c r="O125" s="29"/>
    </row>
    <row r="126">
      <c r="C126" s="29"/>
      <c r="D126" s="29"/>
      <c r="E126" s="29"/>
      <c r="F126" s="29"/>
      <c r="G126" s="29"/>
      <c r="O126" s="29"/>
    </row>
    <row r="127">
      <c r="C127" s="29"/>
      <c r="D127" s="29"/>
      <c r="E127" s="29"/>
      <c r="F127" s="29"/>
      <c r="G127" s="29"/>
      <c r="O127" s="29"/>
    </row>
    <row r="128">
      <c r="C128" s="29"/>
      <c r="D128" s="29"/>
      <c r="E128" s="29"/>
      <c r="F128" s="29"/>
      <c r="G128" s="29"/>
      <c r="O128" s="29"/>
    </row>
    <row r="129">
      <c r="C129" s="29"/>
      <c r="D129" s="29"/>
      <c r="E129" s="29"/>
      <c r="F129" s="29"/>
      <c r="G129" s="29"/>
      <c r="O129" s="29"/>
    </row>
    <row r="130">
      <c r="C130" s="29"/>
      <c r="D130" s="29"/>
      <c r="E130" s="29"/>
      <c r="F130" s="29"/>
      <c r="G130" s="29"/>
      <c r="O130" s="29"/>
    </row>
    <row r="131">
      <c r="C131" s="29"/>
      <c r="D131" s="29"/>
      <c r="E131" s="29"/>
      <c r="F131" s="29"/>
      <c r="G131" s="29"/>
      <c r="O131" s="29"/>
    </row>
    <row r="132">
      <c r="C132" s="29"/>
      <c r="D132" s="29"/>
      <c r="E132" s="29"/>
      <c r="F132" s="29"/>
      <c r="G132" s="29"/>
      <c r="O132" s="29"/>
    </row>
    <row r="133">
      <c r="C133" s="29"/>
      <c r="D133" s="29"/>
      <c r="E133" s="29"/>
      <c r="F133" s="29"/>
      <c r="G133" s="29"/>
      <c r="O133" s="29"/>
    </row>
    <row r="134">
      <c r="C134" s="29"/>
      <c r="D134" s="29"/>
      <c r="E134" s="29"/>
      <c r="F134" s="29"/>
      <c r="G134" s="29"/>
      <c r="O134" s="29"/>
    </row>
    <row r="135">
      <c r="C135" s="29"/>
      <c r="D135" s="29"/>
      <c r="E135" s="29"/>
      <c r="F135" s="29"/>
      <c r="G135" s="29"/>
      <c r="O135" s="29"/>
    </row>
    <row r="136">
      <c r="C136" s="29"/>
      <c r="D136" s="29"/>
      <c r="E136" s="29"/>
      <c r="F136" s="29"/>
      <c r="G136" s="29"/>
      <c r="O136" s="29"/>
    </row>
    <row r="137">
      <c r="C137" s="29"/>
      <c r="D137" s="29"/>
      <c r="E137" s="29"/>
      <c r="F137" s="29"/>
      <c r="G137" s="29"/>
      <c r="O137" s="29"/>
    </row>
    <row r="138">
      <c r="C138" s="29"/>
      <c r="D138" s="29"/>
      <c r="E138" s="29"/>
      <c r="F138" s="29"/>
      <c r="G138" s="29"/>
      <c r="O138" s="29"/>
    </row>
    <row r="139">
      <c r="C139" s="29"/>
      <c r="D139" s="29"/>
      <c r="E139" s="29"/>
      <c r="F139" s="29"/>
      <c r="G139" s="29"/>
      <c r="O139" s="29"/>
    </row>
    <row r="140">
      <c r="C140" s="29"/>
      <c r="D140" s="29"/>
      <c r="E140" s="29"/>
      <c r="F140" s="29"/>
      <c r="G140" s="29"/>
      <c r="O140" s="29"/>
    </row>
    <row r="141">
      <c r="C141" s="29"/>
      <c r="D141" s="29"/>
      <c r="E141" s="29"/>
      <c r="F141" s="29"/>
      <c r="G141" s="29"/>
      <c r="O141" s="29"/>
    </row>
    <row r="142">
      <c r="C142" s="29"/>
      <c r="D142" s="29"/>
      <c r="E142" s="29"/>
      <c r="F142" s="29"/>
      <c r="G142" s="29"/>
      <c r="O142" s="29"/>
    </row>
    <row r="143">
      <c r="C143" s="29"/>
      <c r="D143" s="29"/>
      <c r="E143" s="29"/>
      <c r="F143" s="29"/>
      <c r="G143" s="29"/>
      <c r="O143" s="29"/>
    </row>
    <row r="144">
      <c r="C144" s="29"/>
      <c r="D144" s="29"/>
      <c r="E144" s="29"/>
      <c r="F144" s="29"/>
      <c r="G144" s="29"/>
      <c r="O144" s="29"/>
    </row>
    <row r="145">
      <c r="C145" s="29"/>
      <c r="D145" s="29"/>
      <c r="E145" s="29"/>
      <c r="F145" s="29"/>
      <c r="G145" s="29"/>
      <c r="O145" s="29"/>
    </row>
    <row r="146">
      <c r="C146" s="29"/>
      <c r="D146" s="29"/>
      <c r="E146" s="29"/>
      <c r="F146" s="29"/>
      <c r="G146" s="29"/>
      <c r="O146" s="29"/>
    </row>
    <row r="147">
      <c r="C147" s="29"/>
      <c r="D147" s="29"/>
      <c r="E147" s="29"/>
      <c r="F147" s="29"/>
      <c r="G147" s="29"/>
      <c r="O147" s="29"/>
    </row>
    <row r="148">
      <c r="C148" s="29"/>
      <c r="D148" s="29"/>
      <c r="E148" s="29"/>
      <c r="F148" s="29"/>
      <c r="G148" s="29"/>
      <c r="O148" s="29"/>
    </row>
    <row r="149">
      <c r="C149" s="29"/>
      <c r="D149" s="29"/>
      <c r="E149" s="29"/>
      <c r="F149" s="29"/>
      <c r="G149" s="29"/>
      <c r="O149" s="29"/>
    </row>
    <row r="150">
      <c r="C150" s="29"/>
      <c r="D150" s="29"/>
      <c r="E150" s="29"/>
      <c r="F150" s="29"/>
      <c r="G150" s="29"/>
      <c r="O150" s="29"/>
    </row>
    <row r="151">
      <c r="C151" s="29"/>
      <c r="D151" s="29"/>
      <c r="E151" s="29"/>
      <c r="F151" s="29"/>
      <c r="G151" s="29"/>
      <c r="O151" s="29"/>
    </row>
    <row r="152">
      <c r="C152" s="29"/>
      <c r="D152" s="29"/>
      <c r="E152" s="29"/>
      <c r="F152" s="29"/>
      <c r="G152" s="29"/>
      <c r="O152" s="29"/>
    </row>
    <row r="153">
      <c r="C153" s="29"/>
      <c r="D153" s="29"/>
      <c r="E153" s="29"/>
      <c r="F153" s="29"/>
      <c r="G153" s="29"/>
      <c r="O153" s="29"/>
    </row>
    <row r="154">
      <c r="C154" s="29"/>
      <c r="D154" s="29"/>
      <c r="E154" s="29"/>
      <c r="F154" s="29"/>
      <c r="G154" s="29"/>
      <c r="O154" s="29"/>
    </row>
    <row r="155">
      <c r="C155" s="29"/>
      <c r="D155" s="29"/>
      <c r="E155" s="29"/>
      <c r="F155" s="29"/>
      <c r="G155" s="29"/>
      <c r="O155" s="29"/>
    </row>
    <row r="156">
      <c r="C156" s="29"/>
      <c r="D156" s="29"/>
      <c r="E156" s="29"/>
      <c r="F156" s="29"/>
      <c r="G156" s="29"/>
      <c r="O156" s="29"/>
    </row>
    <row r="157">
      <c r="C157" s="29"/>
      <c r="D157" s="29"/>
      <c r="E157" s="29"/>
      <c r="F157" s="29"/>
      <c r="G157" s="29"/>
      <c r="O157" s="29"/>
    </row>
    <row r="158">
      <c r="C158" s="29"/>
      <c r="D158" s="29"/>
      <c r="E158" s="29"/>
      <c r="F158" s="29"/>
      <c r="G158" s="29"/>
      <c r="O158" s="29"/>
    </row>
    <row r="159">
      <c r="C159" s="29"/>
      <c r="D159" s="29"/>
      <c r="E159" s="29"/>
      <c r="F159" s="29"/>
      <c r="G159" s="29"/>
      <c r="O159" s="29"/>
    </row>
    <row r="160">
      <c r="C160" s="29"/>
      <c r="D160" s="29"/>
      <c r="E160" s="29"/>
      <c r="F160" s="29"/>
      <c r="G160" s="29"/>
      <c r="O160" s="29"/>
    </row>
    <row r="161">
      <c r="C161" s="29"/>
      <c r="D161" s="29"/>
      <c r="E161" s="29"/>
      <c r="F161" s="29"/>
      <c r="G161" s="29"/>
      <c r="O161" s="29"/>
    </row>
    <row r="162">
      <c r="C162" s="29"/>
      <c r="D162" s="29"/>
      <c r="E162" s="29"/>
      <c r="F162" s="29"/>
      <c r="G162" s="29"/>
      <c r="O162" s="29"/>
    </row>
    <row r="163">
      <c r="C163" s="29"/>
      <c r="D163" s="29"/>
      <c r="E163" s="29"/>
      <c r="F163" s="29"/>
      <c r="G163" s="29"/>
      <c r="O163" s="29"/>
    </row>
    <row r="164">
      <c r="C164" s="29"/>
      <c r="D164" s="29"/>
      <c r="E164" s="29"/>
      <c r="F164" s="29"/>
      <c r="G164" s="29"/>
      <c r="O164" s="29"/>
    </row>
    <row r="165">
      <c r="C165" s="29"/>
      <c r="D165" s="29"/>
      <c r="E165" s="29"/>
      <c r="F165" s="29"/>
      <c r="G165" s="29"/>
      <c r="O165" s="29"/>
    </row>
    <row r="166">
      <c r="C166" s="29"/>
      <c r="D166" s="29"/>
      <c r="E166" s="29"/>
      <c r="F166" s="29"/>
      <c r="G166" s="29"/>
      <c r="O166" s="29"/>
    </row>
    <row r="167">
      <c r="C167" s="29"/>
      <c r="D167" s="29"/>
      <c r="E167" s="29"/>
      <c r="F167" s="29"/>
      <c r="G167" s="29"/>
      <c r="O167" s="29"/>
    </row>
    <row r="168">
      <c r="C168" s="29"/>
      <c r="D168" s="29"/>
      <c r="E168" s="29"/>
      <c r="F168" s="29"/>
      <c r="G168" s="29"/>
      <c r="O168" s="29"/>
    </row>
    <row r="169">
      <c r="C169" s="29"/>
      <c r="D169" s="29"/>
      <c r="E169" s="29"/>
      <c r="F169" s="29"/>
      <c r="G169" s="29"/>
      <c r="O169" s="29"/>
    </row>
    <row r="170">
      <c r="C170" s="29"/>
      <c r="D170" s="29"/>
      <c r="E170" s="29"/>
      <c r="F170" s="29"/>
      <c r="G170" s="29"/>
      <c r="O170" s="29"/>
    </row>
    <row r="171">
      <c r="C171" s="29"/>
      <c r="D171" s="29"/>
      <c r="E171" s="29"/>
      <c r="F171" s="29"/>
      <c r="G171" s="29"/>
      <c r="O171" s="29"/>
    </row>
    <row r="172">
      <c r="C172" s="29"/>
      <c r="D172" s="29"/>
      <c r="E172" s="29"/>
      <c r="F172" s="29"/>
      <c r="G172" s="29"/>
      <c r="O172" s="29"/>
    </row>
    <row r="173">
      <c r="C173" s="29"/>
      <c r="D173" s="29"/>
      <c r="E173" s="29"/>
      <c r="F173" s="29"/>
      <c r="G173" s="29"/>
      <c r="O173" s="29"/>
    </row>
    <row r="174">
      <c r="C174" s="29"/>
      <c r="D174" s="29"/>
      <c r="E174" s="29"/>
      <c r="F174" s="29"/>
      <c r="G174" s="29"/>
      <c r="O174" s="29"/>
    </row>
    <row r="175">
      <c r="C175" s="29"/>
      <c r="D175" s="29"/>
      <c r="E175" s="29"/>
      <c r="F175" s="29"/>
      <c r="G175" s="29"/>
      <c r="O175" s="29"/>
    </row>
    <row r="176">
      <c r="C176" s="29"/>
      <c r="D176" s="29"/>
      <c r="E176" s="29"/>
      <c r="F176" s="29"/>
      <c r="G176" s="29"/>
      <c r="O176" s="29"/>
    </row>
    <row r="177">
      <c r="C177" s="29"/>
      <c r="D177" s="29"/>
      <c r="E177" s="29"/>
      <c r="F177" s="29"/>
      <c r="G177" s="29"/>
      <c r="O177" s="29"/>
    </row>
    <row r="178">
      <c r="C178" s="29"/>
      <c r="D178" s="29"/>
      <c r="E178" s="29"/>
      <c r="F178" s="29"/>
      <c r="G178" s="29"/>
      <c r="O178" s="29"/>
    </row>
    <row r="179">
      <c r="C179" s="29"/>
      <c r="D179" s="29"/>
      <c r="E179" s="29"/>
      <c r="F179" s="29"/>
      <c r="G179" s="29"/>
      <c r="O179" s="29"/>
    </row>
    <row r="180">
      <c r="C180" s="29"/>
      <c r="D180" s="29"/>
      <c r="E180" s="29"/>
      <c r="F180" s="29"/>
      <c r="G180" s="29"/>
      <c r="O180" s="29"/>
    </row>
    <row r="181">
      <c r="C181" s="29"/>
      <c r="D181" s="29"/>
      <c r="E181" s="29"/>
      <c r="F181" s="29"/>
      <c r="G181" s="29"/>
      <c r="O181" s="29"/>
    </row>
    <row r="182">
      <c r="C182" s="29"/>
      <c r="D182" s="29"/>
      <c r="E182" s="29"/>
      <c r="F182" s="29"/>
      <c r="G182" s="29"/>
      <c r="O182" s="29"/>
    </row>
    <row r="183">
      <c r="C183" s="29"/>
      <c r="D183" s="29"/>
      <c r="E183" s="29"/>
      <c r="F183" s="29"/>
      <c r="G183" s="29"/>
      <c r="O183" s="29"/>
    </row>
    <row r="184">
      <c r="C184" s="29"/>
      <c r="D184" s="29"/>
      <c r="E184" s="29"/>
      <c r="F184" s="29"/>
      <c r="G184" s="29"/>
      <c r="O184" s="29"/>
    </row>
    <row r="185">
      <c r="C185" s="29"/>
      <c r="D185" s="29"/>
      <c r="E185" s="29"/>
      <c r="F185" s="29"/>
      <c r="G185" s="29"/>
      <c r="O185" s="29"/>
    </row>
    <row r="186">
      <c r="C186" s="29"/>
      <c r="D186" s="29"/>
      <c r="E186" s="29"/>
      <c r="F186" s="29"/>
      <c r="G186" s="29"/>
      <c r="O186" s="29"/>
    </row>
    <row r="187">
      <c r="C187" s="29"/>
      <c r="D187" s="29"/>
      <c r="E187" s="29"/>
      <c r="F187" s="29"/>
      <c r="G187" s="29"/>
      <c r="O187" s="29"/>
    </row>
    <row r="188">
      <c r="C188" s="29"/>
      <c r="D188" s="29"/>
      <c r="E188" s="29"/>
      <c r="F188" s="29"/>
      <c r="G188" s="29"/>
      <c r="O188" s="29"/>
    </row>
    <row r="189">
      <c r="C189" s="29"/>
      <c r="D189" s="29"/>
      <c r="E189" s="29"/>
      <c r="F189" s="29"/>
      <c r="G189" s="29"/>
      <c r="O189" s="29"/>
    </row>
    <row r="190">
      <c r="C190" s="29"/>
      <c r="D190" s="29"/>
      <c r="E190" s="29"/>
      <c r="F190" s="29"/>
      <c r="G190" s="29"/>
      <c r="O190" s="29"/>
    </row>
    <row r="191">
      <c r="C191" s="29"/>
      <c r="D191" s="29"/>
      <c r="E191" s="29"/>
      <c r="F191" s="29"/>
      <c r="G191" s="29"/>
      <c r="O191" s="29"/>
    </row>
    <row r="192">
      <c r="C192" s="29"/>
      <c r="D192" s="29"/>
      <c r="E192" s="29"/>
      <c r="F192" s="29"/>
      <c r="G192" s="29"/>
      <c r="O192" s="29"/>
    </row>
    <row r="193">
      <c r="C193" s="29"/>
      <c r="D193" s="29"/>
      <c r="E193" s="29"/>
      <c r="F193" s="29"/>
      <c r="G193" s="29"/>
      <c r="O193" s="29"/>
    </row>
    <row r="194">
      <c r="C194" s="29"/>
      <c r="D194" s="29"/>
      <c r="E194" s="29"/>
      <c r="F194" s="29"/>
      <c r="G194" s="29"/>
      <c r="O194" s="29"/>
    </row>
    <row r="195">
      <c r="C195" s="29"/>
      <c r="D195" s="29"/>
      <c r="E195" s="29"/>
      <c r="F195" s="29"/>
      <c r="G195" s="29"/>
      <c r="O195" s="29"/>
    </row>
    <row r="196">
      <c r="C196" s="29"/>
      <c r="D196" s="29"/>
      <c r="E196" s="29"/>
      <c r="F196" s="29"/>
      <c r="G196" s="29"/>
      <c r="O196" s="29"/>
    </row>
    <row r="197">
      <c r="C197" s="29"/>
      <c r="D197" s="29"/>
      <c r="E197" s="29"/>
      <c r="F197" s="29"/>
      <c r="G197" s="29"/>
      <c r="O197" s="29"/>
    </row>
    <row r="198">
      <c r="C198" s="29"/>
      <c r="D198" s="29"/>
      <c r="E198" s="29"/>
      <c r="F198" s="29"/>
      <c r="G198" s="29"/>
      <c r="O198" s="29"/>
    </row>
    <row r="199">
      <c r="C199" s="29"/>
      <c r="D199" s="29"/>
      <c r="E199" s="29"/>
      <c r="F199" s="29"/>
      <c r="G199" s="29"/>
      <c r="O199" s="29"/>
    </row>
    <row r="200">
      <c r="C200" s="29"/>
      <c r="D200" s="29"/>
      <c r="E200" s="29"/>
      <c r="F200" s="29"/>
      <c r="G200" s="29"/>
      <c r="O200" s="29"/>
    </row>
    <row r="201">
      <c r="C201" s="29"/>
      <c r="D201" s="29"/>
      <c r="E201" s="29"/>
      <c r="F201" s="29"/>
      <c r="G201" s="29"/>
      <c r="O201" s="29"/>
    </row>
    <row r="202">
      <c r="C202" s="29"/>
      <c r="D202" s="29"/>
      <c r="E202" s="29"/>
      <c r="F202" s="29"/>
      <c r="G202" s="29"/>
      <c r="O202" s="29"/>
    </row>
    <row r="203">
      <c r="C203" s="29"/>
      <c r="D203" s="29"/>
      <c r="E203" s="29"/>
      <c r="F203" s="29"/>
      <c r="G203" s="29"/>
      <c r="O203" s="29"/>
    </row>
    <row r="204">
      <c r="C204" s="29"/>
      <c r="D204" s="29"/>
      <c r="E204" s="29"/>
      <c r="F204" s="29"/>
      <c r="G204" s="29"/>
      <c r="O204" s="29"/>
    </row>
    <row r="205">
      <c r="C205" s="29"/>
      <c r="D205" s="29"/>
      <c r="E205" s="29"/>
      <c r="F205" s="29"/>
      <c r="G205" s="29"/>
      <c r="O205" s="29"/>
    </row>
    <row r="206">
      <c r="C206" s="29"/>
      <c r="D206" s="29"/>
      <c r="E206" s="29"/>
      <c r="F206" s="29"/>
      <c r="G206" s="29"/>
      <c r="O206" s="29"/>
    </row>
    <row r="207">
      <c r="C207" s="29"/>
      <c r="D207" s="29"/>
      <c r="E207" s="29"/>
      <c r="F207" s="29"/>
      <c r="G207" s="29"/>
      <c r="O207" s="29"/>
    </row>
    <row r="208">
      <c r="C208" s="29"/>
      <c r="D208" s="29"/>
      <c r="E208" s="29"/>
      <c r="F208" s="29"/>
      <c r="G208" s="29"/>
      <c r="O208" s="29"/>
    </row>
    <row r="209">
      <c r="C209" s="29"/>
      <c r="D209" s="29"/>
      <c r="E209" s="29"/>
      <c r="F209" s="29"/>
      <c r="G209" s="29"/>
      <c r="O209" s="29"/>
    </row>
    <row r="210">
      <c r="C210" s="29"/>
      <c r="D210" s="29"/>
      <c r="E210" s="29"/>
      <c r="F210" s="29"/>
      <c r="G210" s="29"/>
      <c r="O210" s="29"/>
    </row>
    <row r="211">
      <c r="C211" s="29"/>
      <c r="D211" s="29"/>
      <c r="E211" s="29"/>
      <c r="F211" s="29"/>
      <c r="G211" s="29"/>
      <c r="O211" s="29"/>
    </row>
    <row r="212">
      <c r="C212" s="29"/>
      <c r="D212" s="29"/>
      <c r="E212" s="29"/>
      <c r="F212" s="29"/>
      <c r="G212" s="29"/>
      <c r="O212" s="29"/>
    </row>
    <row r="213">
      <c r="C213" s="29"/>
      <c r="D213" s="29"/>
      <c r="E213" s="29"/>
      <c r="F213" s="29"/>
      <c r="G213" s="29"/>
      <c r="O213" s="29"/>
    </row>
    <row r="214">
      <c r="C214" s="29"/>
      <c r="D214" s="29"/>
      <c r="E214" s="29"/>
      <c r="F214" s="29"/>
      <c r="G214" s="29"/>
      <c r="O214" s="29"/>
    </row>
    <row r="215">
      <c r="C215" s="29"/>
      <c r="D215" s="29"/>
      <c r="E215" s="29"/>
      <c r="F215" s="29"/>
      <c r="G215" s="29"/>
      <c r="O215" s="29"/>
    </row>
    <row r="216">
      <c r="C216" s="29"/>
      <c r="D216" s="29"/>
      <c r="E216" s="29"/>
      <c r="F216" s="29"/>
      <c r="G216" s="29"/>
      <c r="O216" s="29"/>
    </row>
    <row r="217">
      <c r="C217" s="29"/>
      <c r="D217" s="29"/>
      <c r="E217" s="29"/>
      <c r="F217" s="29"/>
      <c r="G217" s="29"/>
      <c r="O217" s="29"/>
    </row>
    <row r="218">
      <c r="C218" s="29"/>
      <c r="D218" s="29"/>
      <c r="E218" s="29"/>
      <c r="F218" s="29"/>
      <c r="G218" s="29"/>
      <c r="O218" s="29"/>
    </row>
    <row r="219">
      <c r="C219" s="29"/>
      <c r="D219" s="29"/>
      <c r="E219" s="29"/>
      <c r="F219" s="29"/>
      <c r="G219" s="29"/>
      <c r="O219" s="29"/>
    </row>
    <row r="220">
      <c r="C220" s="29"/>
      <c r="D220" s="29"/>
      <c r="E220" s="29"/>
      <c r="F220" s="29"/>
      <c r="G220" s="29"/>
      <c r="O220" s="29"/>
    </row>
    <row r="221">
      <c r="C221" s="29"/>
      <c r="D221" s="29"/>
      <c r="E221" s="29"/>
      <c r="F221" s="29"/>
      <c r="G221" s="29"/>
      <c r="O221" s="29"/>
    </row>
    <row r="222">
      <c r="C222" s="29"/>
      <c r="D222" s="29"/>
      <c r="E222" s="29"/>
      <c r="F222" s="29"/>
      <c r="G222" s="29"/>
      <c r="O222" s="29"/>
    </row>
    <row r="223">
      <c r="C223" s="29"/>
      <c r="D223" s="29"/>
      <c r="E223" s="29"/>
      <c r="F223" s="29"/>
      <c r="G223" s="29"/>
      <c r="O223" s="29"/>
    </row>
    <row r="224">
      <c r="C224" s="29"/>
      <c r="D224" s="29"/>
      <c r="E224" s="29"/>
      <c r="F224" s="29"/>
      <c r="G224" s="29"/>
      <c r="O224" s="29"/>
    </row>
    <row r="225">
      <c r="C225" s="29"/>
      <c r="D225" s="29"/>
      <c r="E225" s="29"/>
      <c r="F225" s="29"/>
      <c r="G225" s="29"/>
      <c r="O225" s="29"/>
    </row>
    <row r="226">
      <c r="C226" s="29"/>
      <c r="D226" s="29"/>
      <c r="E226" s="29"/>
      <c r="F226" s="29"/>
      <c r="G226" s="29"/>
      <c r="O226" s="29"/>
    </row>
    <row r="227">
      <c r="C227" s="29"/>
      <c r="D227" s="29"/>
      <c r="E227" s="29"/>
      <c r="F227" s="29"/>
      <c r="G227" s="29"/>
      <c r="O227" s="29"/>
    </row>
    <row r="228">
      <c r="C228" s="29"/>
      <c r="D228" s="29"/>
      <c r="E228" s="29"/>
      <c r="F228" s="29"/>
      <c r="G228" s="29"/>
      <c r="O228" s="29"/>
    </row>
    <row r="229">
      <c r="C229" s="29"/>
      <c r="D229" s="29"/>
      <c r="E229" s="29"/>
      <c r="F229" s="29"/>
      <c r="G229" s="29"/>
      <c r="O229" s="29"/>
    </row>
    <row r="230">
      <c r="C230" s="29"/>
      <c r="D230" s="29"/>
      <c r="E230" s="29"/>
      <c r="F230" s="29"/>
      <c r="G230" s="29"/>
      <c r="O230" s="29"/>
    </row>
    <row r="231">
      <c r="C231" s="29"/>
      <c r="D231" s="29"/>
      <c r="E231" s="29"/>
      <c r="F231" s="29"/>
      <c r="G231" s="29"/>
      <c r="O231" s="29"/>
    </row>
    <row r="232">
      <c r="C232" s="29"/>
      <c r="D232" s="29"/>
      <c r="E232" s="29"/>
      <c r="F232" s="29"/>
      <c r="G232" s="29"/>
      <c r="O232" s="29"/>
    </row>
    <row r="233">
      <c r="C233" s="29"/>
      <c r="D233" s="29"/>
      <c r="E233" s="29"/>
      <c r="F233" s="29"/>
      <c r="G233" s="29"/>
      <c r="O233" s="29"/>
    </row>
    <row r="234">
      <c r="C234" s="29"/>
      <c r="D234" s="29"/>
      <c r="E234" s="29"/>
      <c r="F234" s="29"/>
      <c r="G234" s="29"/>
      <c r="O234" s="29"/>
    </row>
    <row r="235">
      <c r="C235" s="29"/>
      <c r="D235" s="29"/>
      <c r="E235" s="29"/>
      <c r="F235" s="29"/>
      <c r="G235" s="29"/>
      <c r="O235" s="29"/>
    </row>
    <row r="236">
      <c r="C236" s="29"/>
      <c r="D236" s="29"/>
      <c r="E236" s="29"/>
      <c r="F236" s="29"/>
      <c r="G236" s="29"/>
      <c r="O236" s="29"/>
    </row>
    <row r="237">
      <c r="C237" s="29"/>
      <c r="D237" s="29"/>
      <c r="E237" s="29"/>
      <c r="F237" s="29"/>
      <c r="G237" s="29"/>
      <c r="O237" s="29"/>
    </row>
    <row r="238">
      <c r="C238" s="29"/>
      <c r="D238" s="29"/>
      <c r="E238" s="29"/>
      <c r="F238" s="29"/>
      <c r="G238" s="29"/>
      <c r="O238" s="29"/>
    </row>
    <row r="239">
      <c r="C239" s="29"/>
      <c r="D239" s="29"/>
      <c r="E239" s="29"/>
      <c r="F239" s="29"/>
      <c r="G239" s="29"/>
      <c r="O239" s="29"/>
    </row>
    <row r="240">
      <c r="C240" s="29"/>
      <c r="D240" s="29"/>
      <c r="E240" s="29"/>
      <c r="F240" s="29"/>
      <c r="G240" s="29"/>
      <c r="O240" s="29"/>
    </row>
    <row r="241">
      <c r="C241" s="29"/>
      <c r="D241" s="29"/>
      <c r="E241" s="29"/>
      <c r="F241" s="29"/>
      <c r="G241" s="29"/>
      <c r="O241" s="29"/>
    </row>
    <row r="242">
      <c r="C242" s="29"/>
      <c r="D242" s="29"/>
      <c r="E242" s="29"/>
      <c r="F242" s="29"/>
      <c r="G242" s="29"/>
      <c r="O242" s="29"/>
    </row>
    <row r="243">
      <c r="C243" s="29"/>
      <c r="D243" s="29"/>
      <c r="E243" s="29"/>
      <c r="F243" s="29"/>
      <c r="G243" s="29"/>
      <c r="O243" s="29"/>
    </row>
    <row r="244">
      <c r="C244" s="29"/>
      <c r="D244" s="29"/>
      <c r="E244" s="29"/>
      <c r="F244" s="29"/>
      <c r="G244" s="29"/>
      <c r="O244" s="29"/>
    </row>
    <row r="245">
      <c r="C245" s="29"/>
      <c r="D245" s="29"/>
      <c r="E245" s="29"/>
      <c r="F245" s="29"/>
      <c r="G245" s="29"/>
      <c r="O245" s="29"/>
    </row>
    <row r="246">
      <c r="C246" s="29"/>
      <c r="D246" s="29"/>
      <c r="E246" s="29"/>
      <c r="F246" s="29"/>
      <c r="G246" s="29"/>
      <c r="O246" s="29"/>
    </row>
    <row r="247">
      <c r="C247" s="29"/>
      <c r="D247" s="29"/>
      <c r="E247" s="29"/>
      <c r="F247" s="29"/>
      <c r="G247" s="29"/>
      <c r="O247" s="29"/>
    </row>
    <row r="248">
      <c r="C248" s="29"/>
      <c r="D248" s="29"/>
      <c r="E248" s="29"/>
      <c r="F248" s="29"/>
      <c r="G248" s="29"/>
      <c r="O248" s="29"/>
    </row>
    <row r="249">
      <c r="C249" s="29"/>
      <c r="D249" s="29"/>
      <c r="E249" s="29"/>
      <c r="F249" s="29"/>
      <c r="G249" s="29"/>
      <c r="O249" s="29"/>
    </row>
    <row r="250">
      <c r="C250" s="29"/>
      <c r="D250" s="29"/>
      <c r="E250" s="29"/>
      <c r="F250" s="29"/>
      <c r="G250" s="29"/>
      <c r="O250" s="29"/>
    </row>
    <row r="251">
      <c r="C251" s="29"/>
      <c r="D251" s="29"/>
      <c r="E251" s="29"/>
      <c r="F251" s="29"/>
      <c r="G251" s="29"/>
      <c r="O251" s="29"/>
    </row>
    <row r="252">
      <c r="C252" s="29"/>
      <c r="D252" s="29"/>
      <c r="E252" s="29"/>
      <c r="F252" s="29"/>
      <c r="G252" s="29"/>
      <c r="O252" s="29"/>
    </row>
    <row r="253">
      <c r="C253" s="29"/>
      <c r="D253" s="29"/>
      <c r="E253" s="29"/>
      <c r="F253" s="29"/>
      <c r="G253" s="29"/>
      <c r="O253" s="29"/>
    </row>
    <row r="254">
      <c r="C254" s="29"/>
      <c r="D254" s="29"/>
      <c r="E254" s="29"/>
      <c r="F254" s="29"/>
      <c r="G254" s="29"/>
      <c r="O254" s="29"/>
    </row>
    <row r="255">
      <c r="C255" s="29"/>
      <c r="D255" s="29"/>
      <c r="E255" s="29"/>
      <c r="F255" s="29"/>
      <c r="G255" s="29"/>
      <c r="O255" s="29"/>
    </row>
    <row r="256">
      <c r="C256" s="29"/>
      <c r="D256" s="29"/>
      <c r="E256" s="29"/>
      <c r="F256" s="29"/>
      <c r="G256" s="29"/>
      <c r="O256" s="29"/>
    </row>
    <row r="257">
      <c r="C257" s="29"/>
      <c r="D257" s="29"/>
      <c r="E257" s="29"/>
      <c r="F257" s="29"/>
      <c r="G257" s="29"/>
      <c r="O257" s="29"/>
    </row>
    <row r="258">
      <c r="C258" s="29"/>
      <c r="D258" s="29"/>
      <c r="E258" s="29"/>
      <c r="F258" s="29"/>
      <c r="G258" s="29"/>
      <c r="O258" s="29"/>
    </row>
    <row r="259">
      <c r="C259" s="29"/>
      <c r="D259" s="29"/>
      <c r="E259" s="29"/>
      <c r="F259" s="29"/>
      <c r="G259" s="29"/>
      <c r="O259" s="29"/>
    </row>
    <row r="260">
      <c r="C260" s="29"/>
      <c r="D260" s="29"/>
      <c r="E260" s="29"/>
      <c r="F260" s="29"/>
      <c r="G260" s="29"/>
      <c r="O260" s="29"/>
    </row>
    <row r="261">
      <c r="C261" s="29"/>
      <c r="D261" s="29"/>
      <c r="E261" s="29"/>
      <c r="F261" s="29"/>
      <c r="G261" s="29"/>
      <c r="O261" s="29"/>
    </row>
    <row r="262">
      <c r="C262" s="29"/>
      <c r="D262" s="29"/>
      <c r="E262" s="29"/>
      <c r="F262" s="29"/>
      <c r="G262" s="29"/>
      <c r="O262" s="29"/>
    </row>
    <row r="263">
      <c r="C263" s="29"/>
      <c r="D263" s="29"/>
      <c r="E263" s="29"/>
      <c r="F263" s="29"/>
      <c r="G263" s="29"/>
      <c r="O263" s="29"/>
    </row>
    <row r="264">
      <c r="C264" s="29"/>
      <c r="D264" s="29"/>
      <c r="E264" s="29"/>
      <c r="F264" s="29"/>
      <c r="G264" s="29"/>
      <c r="O264" s="29"/>
    </row>
    <row r="265">
      <c r="C265" s="29"/>
      <c r="D265" s="29"/>
      <c r="E265" s="29"/>
      <c r="F265" s="29"/>
      <c r="G265" s="29"/>
      <c r="O265" s="29"/>
    </row>
    <row r="266">
      <c r="C266" s="29"/>
      <c r="D266" s="29"/>
      <c r="E266" s="29"/>
      <c r="F266" s="29"/>
      <c r="G266" s="29"/>
      <c r="O266" s="29"/>
    </row>
    <row r="267">
      <c r="C267" s="29"/>
      <c r="D267" s="29"/>
      <c r="E267" s="29"/>
      <c r="F267" s="29"/>
      <c r="G267" s="29"/>
      <c r="O267" s="29"/>
    </row>
    <row r="268">
      <c r="C268" s="29"/>
      <c r="D268" s="29"/>
      <c r="E268" s="29"/>
      <c r="F268" s="29"/>
      <c r="G268" s="29"/>
      <c r="O268" s="29"/>
    </row>
    <row r="269">
      <c r="C269" s="29"/>
      <c r="D269" s="29"/>
      <c r="E269" s="29"/>
      <c r="F269" s="29"/>
      <c r="G269" s="29"/>
      <c r="O269" s="29"/>
    </row>
    <row r="270">
      <c r="C270" s="29"/>
      <c r="D270" s="29"/>
      <c r="E270" s="29"/>
      <c r="F270" s="29"/>
      <c r="G270" s="29"/>
      <c r="O270" s="29"/>
    </row>
    <row r="271">
      <c r="C271" s="29"/>
      <c r="D271" s="29"/>
      <c r="E271" s="29"/>
      <c r="F271" s="29"/>
      <c r="G271" s="29"/>
      <c r="O271" s="29"/>
    </row>
    <row r="272">
      <c r="C272" s="29"/>
      <c r="D272" s="29"/>
      <c r="E272" s="29"/>
      <c r="F272" s="29"/>
      <c r="G272" s="29"/>
      <c r="O272" s="29"/>
    </row>
    <row r="273">
      <c r="C273" s="29"/>
      <c r="D273" s="29"/>
      <c r="E273" s="29"/>
      <c r="F273" s="29"/>
      <c r="G273" s="29"/>
      <c r="O273" s="29"/>
    </row>
    <row r="274">
      <c r="C274" s="29"/>
      <c r="D274" s="29"/>
      <c r="E274" s="29"/>
      <c r="F274" s="29"/>
      <c r="G274" s="29"/>
      <c r="O274" s="29"/>
    </row>
    <row r="275">
      <c r="C275" s="29"/>
      <c r="D275" s="29"/>
      <c r="E275" s="29"/>
      <c r="F275" s="29"/>
      <c r="G275" s="29"/>
      <c r="O275" s="29"/>
    </row>
    <row r="276">
      <c r="C276" s="29"/>
      <c r="D276" s="29"/>
      <c r="E276" s="29"/>
      <c r="F276" s="29"/>
      <c r="G276" s="29"/>
      <c r="O276" s="29"/>
    </row>
    <row r="277">
      <c r="C277" s="29"/>
      <c r="D277" s="29"/>
      <c r="E277" s="29"/>
      <c r="F277" s="29"/>
      <c r="G277" s="29"/>
      <c r="O277" s="29"/>
    </row>
    <row r="278">
      <c r="C278" s="29"/>
      <c r="D278" s="29"/>
      <c r="E278" s="29"/>
      <c r="F278" s="29"/>
      <c r="G278" s="29"/>
      <c r="O278" s="29"/>
    </row>
    <row r="279">
      <c r="C279" s="29"/>
      <c r="D279" s="29"/>
      <c r="E279" s="29"/>
      <c r="F279" s="29"/>
      <c r="G279" s="29"/>
      <c r="O279" s="29"/>
    </row>
    <row r="280">
      <c r="C280" s="29"/>
      <c r="D280" s="29"/>
      <c r="E280" s="29"/>
      <c r="F280" s="29"/>
      <c r="G280" s="29"/>
      <c r="O280" s="29"/>
    </row>
    <row r="281">
      <c r="C281" s="29"/>
      <c r="D281" s="29"/>
      <c r="E281" s="29"/>
      <c r="F281" s="29"/>
      <c r="G281" s="29"/>
      <c r="O281" s="29"/>
    </row>
    <row r="282">
      <c r="C282" s="29"/>
      <c r="D282" s="29"/>
      <c r="E282" s="29"/>
      <c r="F282" s="29"/>
      <c r="G282" s="29"/>
      <c r="O282" s="29"/>
    </row>
    <row r="283">
      <c r="C283" s="29"/>
      <c r="D283" s="29"/>
      <c r="E283" s="29"/>
      <c r="F283" s="29"/>
      <c r="G283" s="29"/>
      <c r="O283" s="29"/>
    </row>
    <row r="284">
      <c r="C284" s="29"/>
      <c r="D284" s="29"/>
      <c r="E284" s="29"/>
      <c r="F284" s="29"/>
      <c r="G284" s="29"/>
      <c r="O284" s="29"/>
    </row>
    <row r="285">
      <c r="C285" s="29"/>
      <c r="D285" s="29"/>
      <c r="E285" s="29"/>
      <c r="F285" s="29"/>
      <c r="G285" s="29"/>
      <c r="O285" s="29"/>
    </row>
    <row r="286">
      <c r="C286" s="29"/>
      <c r="D286" s="29"/>
      <c r="E286" s="29"/>
      <c r="F286" s="29"/>
      <c r="G286" s="29"/>
      <c r="O286" s="29"/>
    </row>
    <row r="287">
      <c r="C287" s="29"/>
      <c r="D287" s="29"/>
      <c r="E287" s="29"/>
      <c r="F287" s="29"/>
      <c r="G287" s="29"/>
      <c r="O287" s="29"/>
    </row>
    <row r="288">
      <c r="C288" s="29"/>
      <c r="D288" s="29"/>
      <c r="E288" s="29"/>
      <c r="F288" s="29"/>
      <c r="G288" s="29"/>
      <c r="O288" s="29"/>
    </row>
    <row r="289">
      <c r="C289" s="29"/>
      <c r="D289" s="29"/>
      <c r="E289" s="29"/>
      <c r="F289" s="29"/>
      <c r="G289" s="29"/>
      <c r="O289" s="29"/>
    </row>
    <row r="290">
      <c r="C290" s="29"/>
      <c r="D290" s="29"/>
      <c r="E290" s="29"/>
      <c r="F290" s="29"/>
      <c r="G290" s="29"/>
      <c r="O290" s="29"/>
    </row>
    <row r="291">
      <c r="C291" s="29"/>
      <c r="D291" s="29"/>
      <c r="E291" s="29"/>
      <c r="F291" s="29"/>
      <c r="G291" s="29"/>
      <c r="O291" s="29"/>
    </row>
    <row r="292">
      <c r="C292" s="29"/>
      <c r="D292" s="29"/>
      <c r="E292" s="29"/>
      <c r="F292" s="29"/>
      <c r="G292" s="29"/>
      <c r="O292" s="29"/>
    </row>
    <row r="293">
      <c r="C293" s="29"/>
      <c r="D293" s="29"/>
      <c r="E293" s="29"/>
      <c r="F293" s="29"/>
      <c r="G293" s="29"/>
      <c r="O293" s="29"/>
    </row>
    <row r="294">
      <c r="C294" s="29"/>
      <c r="D294" s="29"/>
      <c r="E294" s="29"/>
      <c r="F294" s="29"/>
      <c r="G294" s="29"/>
      <c r="O294" s="29"/>
    </row>
    <row r="295">
      <c r="C295" s="29"/>
      <c r="D295" s="29"/>
      <c r="E295" s="29"/>
      <c r="F295" s="29"/>
      <c r="G295" s="29"/>
      <c r="O295" s="29"/>
    </row>
    <row r="296">
      <c r="C296" s="29"/>
      <c r="D296" s="29"/>
      <c r="E296" s="29"/>
      <c r="F296" s="29"/>
      <c r="G296" s="29"/>
      <c r="O296" s="29"/>
    </row>
    <row r="297">
      <c r="C297" s="29"/>
      <c r="D297" s="29"/>
      <c r="E297" s="29"/>
      <c r="F297" s="29"/>
      <c r="G297" s="29"/>
      <c r="O297" s="29"/>
    </row>
    <row r="298">
      <c r="C298" s="29"/>
      <c r="D298" s="29"/>
      <c r="E298" s="29"/>
      <c r="F298" s="29"/>
      <c r="G298" s="29"/>
      <c r="O298" s="29"/>
    </row>
    <row r="299">
      <c r="C299" s="29"/>
      <c r="D299" s="29"/>
      <c r="E299" s="29"/>
      <c r="F299" s="29"/>
      <c r="G299" s="29"/>
      <c r="O299" s="29"/>
    </row>
    <row r="300">
      <c r="C300" s="29"/>
      <c r="D300" s="29"/>
      <c r="E300" s="29"/>
      <c r="F300" s="29"/>
      <c r="G300" s="29"/>
      <c r="O300" s="29"/>
    </row>
    <row r="301">
      <c r="C301" s="29"/>
      <c r="D301" s="29"/>
      <c r="E301" s="29"/>
      <c r="F301" s="29"/>
      <c r="G301" s="29"/>
      <c r="O301" s="29"/>
    </row>
    <row r="302">
      <c r="C302" s="29"/>
      <c r="D302" s="29"/>
      <c r="E302" s="29"/>
      <c r="F302" s="29"/>
      <c r="G302" s="29"/>
      <c r="O302" s="29"/>
    </row>
    <row r="303">
      <c r="C303" s="29"/>
      <c r="D303" s="29"/>
      <c r="E303" s="29"/>
      <c r="F303" s="29"/>
      <c r="G303" s="29"/>
      <c r="O303" s="29"/>
    </row>
    <row r="304">
      <c r="C304" s="29"/>
      <c r="D304" s="29"/>
      <c r="E304" s="29"/>
      <c r="F304" s="29"/>
      <c r="G304" s="29"/>
      <c r="O304" s="29"/>
    </row>
    <row r="305">
      <c r="C305" s="29"/>
      <c r="D305" s="29"/>
      <c r="E305" s="29"/>
      <c r="F305" s="29"/>
      <c r="G305" s="29"/>
      <c r="O305" s="29"/>
    </row>
    <row r="306">
      <c r="C306" s="29"/>
      <c r="D306" s="29"/>
      <c r="E306" s="29"/>
      <c r="F306" s="29"/>
      <c r="G306" s="29"/>
      <c r="O306" s="29"/>
    </row>
    <row r="307">
      <c r="C307" s="29"/>
      <c r="D307" s="29"/>
      <c r="E307" s="29"/>
      <c r="F307" s="29"/>
      <c r="G307" s="29"/>
      <c r="O307" s="29"/>
    </row>
    <row r="308">
      <c r="C308" s="29"/>
      <c r="D308" s="29"/>
      <c r="E308" s="29"/>
      <c r="F308" s="29"/>
      <c r="G308" s="29"/>
      <c r="O308" s="29"/>
    </row>
    <row r="309">
      <c r="C309" s="29"/>
      <c r="D309" s="29"/>
      <c r="E309" s="29"/>
      <c r="F309" s="29"/>
      <c r="G309" s="29"/>
      <c r="O309" s="29"/>
    </row>
    <row r="310">
      <c r="C310" s="29"/>
      <c r="D310" s="29"/>
      <c r="E310" s="29"/>
      <c r="F310" s="29"/>
      <c r="G310" s="29"/>
      <c r="O310" s="29"/>
    </row>
    <row r="311">
      <c r="C311" s="29"/>
      <c r="D311" s="29"/>
      <c r="E311" s="29"/>
      <c r="F311" s="29"/>
      <c r="G311" s="29"/>
      <c r="O311" s="29"/>
    </row>
    <row r="312">
      <c r="C312" s="29"/>
      <c r="D312" s="29"/>
      <c r="E312" s="29"/>
      <c r="F312" s="29"/>
      <c r="G312" s="29"/>
      <c r="O312" s="29"/>
    </row>
    <row r="313">
      <c r="C313" s="29"/>
      <c r="D313" s="29"/>
      <c r="E313" s="29"/>
      <c r="F313" s="29"/>
      <c r="G313" s="29"/>
      <c r="O313" s="29"/>
    </row>
    <row r="314">
      <c r="C314" s="29"/>
      <c r="D314" s="29"/>
      <c r="E314" s="29"/>
      <c r="F314" s="29"/>
      <c r="G314" s="29"/>
      <c r="O314" s="29"/>
    </row>
    <row r="315">
      <c r="C315" s="29"/>
      <c r="D315" s="29"/>
      <c r="E315" s="29"/>
      <c r="F315" s="29"/>
      <c r="G315" s="29"/>
      <c r="O315" s="29"/>
    </row>
    <row r="316">
      <c r="C316" s="29"/>
      <c r="D316" s="29"/>
      <c r="E316" s="29"/>
      <c r="F316" s="29"/>
      <c r="G316" s="29"/>
      <c r="O316" s="29"/>
    </row>
    <row r="317">
      <c r="C317" s="29"/>
      <c r="D317" s="29"/>
      <c r="E317" s="29"/>
      <c r="F317" s="29"/>
      <c r="G317" s="29"/>
      <c r="O317" s="29"/>
    </row>
    <row r="318">
      <c r="C318" s="29"/>
      <c r="D318" s="29"/>
      <c r="E318" s="29"/>
      <c r="F318" s="29"/>
      <c r="G318" s="29"/>
      <c r="O318" s="29"/>
    </row>
    <row r="319">
      <c r="C319" s="29"/>
      <c r="D319" s="29"/>
      <c r="E319" s="29"/>
      <c r="F319" s="29"/>
      <c r="G319" s="29"/>
      <c r="O319" s="29"/>
    </row>
    <row r="320">
      <c r="C320" s="29"/>
      <c r="D320" s="29"/>
      <c r="E320" s="29"/>
      <c r="F320" s="29"/>
      <c r="G320" s="29"/>
      <c r="O320" s="29"/>
    </row>
    <row r="321">
      <c r="C321" s="29"/>
      <c r="D321" s="29"/>
      <c r="E321" s="29"/>
      <c r="F321" s="29"/>
      <c r="G321" s="29"/>
      <c r="O321" s="29"/>
    </row>
    <row r="322">
      <c r="C322" s="29"/>
      <c r="D322" s="29"/>
      <c r="E322" s="29"/>
      <c r="F322" s="29"/>
      <c r="G322" s="29"/>
      <c r="O322" s="29"/>
    </row>
    <row r="323">
      <c r="C323" s="29"/>
      <c r="D323" s="29"/>
      <c r="E323" s="29"/>
      <c r="F323" s="29"/>
      <c r="G323" s="29"/>
      <c r="O323" s="29"/>
    </row>
    <row r="324">
      <c r="C324" s="29"/>
      <c r="D324" s="29"/>
      <c r="E324" s="29"/>
      <c r="F324" s="29"/>
      <c r="G324" s="29"/>
      <c r="O324" s="29"/>
    </row>
    <row r="325">
      <c r="C325" s="29"/>
      <c r="D325" s="29"/>
      <c r="E325" s="29"/>
      <c r="F325" s="29"/>
      <c r="G325" s="29"/>
      <c r="O325" s="29"/>
    </row>
    <row r="326">
      <c r="C326" s="29"/>
      <c r="D326" s="29"/>
      <c r="E326" s="29"/>
      <c r="F326" s="29"/>
      <c r="G326" s="29"/>
      <c r="O326" s="29"/>
    </row>
    <row r="327">
      <c r="C327" s="29"/>
      <c r="D327" s="29"/>
      <c r="E327" s="29"/>
      <c r="F327" s="29"/>
      <c r="G327" s="29"/>
      <c r="O327" s="29"/>
    </row>
    <row r="328">
      <c r="C328" s="29"/>
      <c r="D328" s="29"/>
      <c r="E328" s="29"/>
      <c r="F328" s="29"/>
      <c r="G328" s="29"/>
      <c r="O328" s="29"/>
    </row>
    <row r="329">
      <c r="C329" s="29"/>
      <c r="D329" s="29"/>
      <c r="E329" s="29"/>
      <c r="F329" s="29"/>
      <c r="G329" s="29"/>
      <c r="O329" s="29"/>
    </row>
    <row r="330">
      <c r="C330" s="29"/>
      <c r="D330" s="29"/>
      <c r="E330" s="29"/>
      <c r="F330" s="29"/>
      <c r="G330" s="29"/>
      <c r="O330" s="29"/>
    </row>
    <row r="331">
      <c r="C331" s="29"/>
      <c r="D331" s="29"/>
      <c r="E331" s="29"/>
      <c r="F331" s="29"/>
      <c r="G331" s="29"/>
      <c r="O331" s="29"/>
    </row>
    <row r="332">
      <c r="C332" s="29"/>
      <c r="D332" s="29"/>
      <c r="E332" s="29"/>
      <c r="F332" s="29"/>
      <c r="G332" s="29"/>
      <c r="O332" s="29"/>
    </row>
    <row r="333">
      <c r="C333" s="29"/>
      <c r="D333" s="29"/>
      <c r="E333" s="29"/>
      <c r="F333" s="29"/>
      <c r="G333" s="29"/>
      <c r="O333" s="29"/>
    </row>
    <row r="334">
      <c r="C334" s="29"/>
      <c r="D334" s="29"/>
      <c r="E334" s="29"/>
      <c r="F334" s="29"/>
      <c r="G334" s="29"/>
      <c r="O334" s="29"/>
    </row>
    <row r="335">
      <c r="C335" s="29"/>
      <c r="D335" s="29"/>
      <c r="E335" s="29"/>
      <c r="F335" s="29"/>
      <c r="G335" s="29"/>
      <c r="O335" s="29"/>
    </row>
    <row r="336">
      <c r="C336" s="29"/>
      <c r="D336" s="29"/>
      <c r="E336" s="29"/>
      <c r="F336" s="29"/>
      <c r="G336" s="29"/>
      <c r="O336" s="29"/>
    </row>
    <row r="337">
      <c r="C337" s="29"/>
      <c r="D337" s="29"/>
      <c r="E337" s="29"/>
      <c r="F337" s="29"/>
      <c r="G337" s="29"/>
      <c r="O337" s="29"/>
    </row>
    <row r="338">
      <c r="C338" s="29"/>
      <c r="D338" s="29"/>
      <c r="E338" s="29"/>
      <c r="F338" s="29"/>
      <c r="G338" s="29"/>
      <c r="O338" s="29"/>
    </row>
    <row r="339">
      <c r="C339" s="29"/>
      <c r="D339" s="29"/>
      <c r="E339" s="29"/>
      <c r="F339" s="29"/>
      <c r="G339" s="29"/>
      <c r="O339" s="29"/>
    </row>
    <row r="340">
      <c r="C340" s="29"/>
      <c r="D340" s="29"/>
      <c r="E340" s="29"/>
      <c r="F340" s="29"/>
      <c r="G340" s="29"/>
      <c r="O340" s="29"/>
    </row>
    <row r="341">
      <c r="C341" s="29"/>
      <c r="D341" s="29"/>
      <c r="E341" s="29"/>
      <c r="F341" s="29"/>
      <c r="G341" s="29"/>
      <c r="O341" s="29"/>
    </row>
    <row r="342">
      <c r="C342" s="29"/>
      <c r="D342" s="29"/>
      <c r="E342" s="29"/>
      <c r="F342" s="29"/>
      <c r="G342" s="29"/>
      <c r="O342" s="29"/>
    </row>
    <row r="343">
      <c r="C343" s="29"/>
      <c r="D343" s="29"/>
      <c r="E343" s="29"/>
      <c r="F343" s="29"/>
      <c r="G343" s="29"/>
      <c r="O343" s="29"/>
    </row>
    <row r="344">
      <c r="C344" s="29"/>
      <c r="D344" s="29"/>
      <c r="E344" s="29"/>
      <c r="F344" s="29"/>
      <c r="G344" s="29"/>
      <c r="O344" s="29"/>
    </row>
    <row r="345">
      <c r="C345" s="29"/>
      <c r="D345" s="29"/>
      <c r="E345" s="29"/>
      <c r="F345" s="29"/>
      <c r="G345" s="29"/>
      <c r="O345" s="29"/>
    </row>
    <row r="346">
      <c r="C346" s="29"/>
      <c r="D346" s="29"/>
      <c r="E346" s="29"/>
      <c r="F346" s="29"/>
      <c r="G346" s="29"/>
      <c r="O346" s="29"/>
    </row>
    <row r="347">
      <c r="C347" s="29"/>
      <c r="D347" s="29"/>
      <c r="E347" s="29"/>
      <c r="F347" s="29"/>
      <c r="G347" s="29"/>
      <c r="O347" s="29"/>
    </row>
    <row r="348">
      <c r="C348" s="29"/>
      <c r="D348" s="29"/>
      <c r="E348" s="29"/>
      <c r="F348" s="29"/>
      <c r="G348" s="29"/>
      <c r="O348" s="29"/>
    </row>
    <row r="349">
      <c r="C349" s="29"/>
      <c r="D349" s="29"/>
      <c r="E349" s="29"/>
      <c r="F349" s="29"/>
      <c r="G349" s="29"/>
      <c r="O349" s="29"/>
    </row>
    <row r="350">
      <c r="C350" s="29"/>
      <c r="D350" s="29"/>
      <c r="E350" s="29"/>
      <c r="F350" s="29"/>
      <c r="G350" s="29"/>
      <c r="O350" s="29"/>
    </row>
    <row r="351">
      <c r="C351" s="29"/>
      <c r="D351" s="29"/>
      <c r="E351" s="29"/>
      <c r="F351" s="29"/>
      <c r="G351" s="29"/>
      <c r="O351" s="29"/>
    </row>
    <row r="352">
      <c r="C352" s="29"/>
      <c r="D352" s="29"/>
      <c r="E352" s="29"/>
      <c r="F352" s="29"/>
      <c r="G352" s="29"/>
      <c r="O352" s="29"/>
    </row>
    <row r="353">
      <c r="C353" s="29"/>
      <c r="D353" s="29"/>
      <c r="E353" s="29"/>
      <c r="F353" s="29"/>
      <c r="G353" s="29"/>
      <c r="O353" s="29"/>
    </row>
    <row r="354">
      <c r="C354" s="29"/>
      <c r="D354" s="29"/>
      <c r="E354" s="29"/>
      <c r="F354" s="29"/>
      <c r="G354" s="29"/>
      <c r="O354" s="29"/>
    </row>
    <row r="355">
      <c r="C355" s="29"/>
      <c r="D355" s="29"/>
      <c r="E355" s="29"/>
      <c r="F355" s="29"/>
      <c r="G355" s="29"/>
      <c r="O355" s="29"/>
    </row>
    <row r="356">
      <c r="C356" s="29"/>
      <c r="D356" s="29"/>
      <c r="E356" s="29"/>
      <c r="F356" s="29"/>
      <c r="G356" s="29"/>
      <c r="O356" s="29"/>
    </row>
    <row r="357">
      <c r="C357" s="29"/>
      <c r="D357" s="29"/>
      <c r="E357" s="29"/>
      <c r="F357" s="29"/>
      <c r="G357" s="29"/>
      <c r="O357" s="29"/>
    </row>
    <row r="358">
      <c r="C358" s="29"/>
      <c r="D358" s="29"/>
      <c r="E358" s="29"/>
      <c r="F358" s="29"/>
      <c r="G358" s="29"/>
      <c r="O358" s="29"/>
    </row>
    <row r="359">
      <c r="C359" s="29"/>
      <c r="D359" s="29"/>
      <c r="E359" s="29"/>
      <c r="F359" s="29"/>
      <c r="G359" s="29"/>
      <c r="O359" s="29"/>
    </row>
    <row r="360">
      <c r="C360" s="29"/>
      <c r="D360" s="29"/>
      <c r="E360" s="29"/>
      <c r="F360" s="29"/>
      <c r="G360" s="29"/>
      <c r="O360" s="29"/>
    </row>
    <row r="361">
      <c r="C361" s="29"/>
      <c r="D361" s="29"/>
      <c r="E361" s="29"/>
      <c r="F361" s="29"/>
      <c r="G361" s="29"/>
      <c r="O361" s="29"/>
    </row>
    <row r="362">
      <c r="C362" s="29"/>
      <c r="D362" s="29"/>
      <c r="E362" s="29"/>
      <c r="F362" s="29"/>
      <c r="G362" s="29"/>
      <c r="O362" s="29"/>
    </row>
    <row r="363">
      <c r="C363" s="29"/>
      <c r="D363" s="29"/>
      <c r="E363" s="29"/>
      <c r="F363" s="29"/>
      <c r="G363" s="29"/>
      <c r="O363" s="29"/>
    </row>
    <row r="364">
      <c r="C364" s="29"/>
      <c r="D364" s="29"/>
      <c r="E364" s="29"/>
      <c r="F364" s="29"/>
      <c r="G364" s="29"/>
      <c r="O364" s="29"/>
    </row>
    <row r="365">
      <c r="C365" s="29"/>
      <c r="D365" s="29"/>
      <c r="E365" s="29"/>
      <c r="F365" s="29"/>
      <c r="G365" s="29"/>
      <c r="O365" s="29"/>
    </row>
    <row r="366">
      <c r="C366" s="29"/>
      <c r="D366" s="29"/>
      <c r="E366" s="29"/>
      <c r="F366" s="29"/>
      <c r="G366" s="29"/>
      <c r="O366" s="29"/>
    </row>
    <row r="367">
      <c r="C367" s="29"/>
      <c r="D367" s="29"/>
      <c r="E367" s="29"/>
      <c r="F367" s="29"/>
      <c r="G367" s="29"/>
      <c r="O367" s="29"/>
    </row>
    <row r="368">
      <c r="C368" s="29"/>
      <c r="D368" s="29"/>
      <c r="E368" s="29"/>
      <c r="F368" s="29"/>
      <c r="G368" s="29"/>
      <c r="O368" s="29"/>
    </row>
    <row r="369">
      <c r="C369" s="29"/>
      <c r="D369" s="29"/>
      <c r="E369" s="29"/>
      <c r="F369" s="29"/>
      <c r="G369" s="29"/>
      <c r="O369" s="29"/>
    </row>
    <row r="370">
      <c r="C370" s="29"/>
      <c r="D370" s="29"/>
      <c r="E370" s="29"/>
      <c r="F370" s="29"/>
      <c r="G370" s="29"/>
      <c r="O370" s="29"/>
    </row>
    <row r="371">
      <c r="C371" s="29"/>
      <c r="D371" s="29"/>
      <c r="E371" s="29"/>
      <c r="F371" s="29"/>
      <c r="G371" s="29"/>
      <c r="O371" s="29"/>
    </row>
    <row r="372">
      <c r="C372" s="29"/>
      <c r="D372" s="29"/>
      <c r="E372" s="29"/>
      <c r="F372" s="29"/>
      <c r="G372" s="29"/>
      <c r="O372" s="29"/>
    </row>
    <row r="373">
      <c r="C373" s="29"/>
      <c r="D373" s="29"/>
      <c r="E373" s="29"/>
      <c r="F373" s="29"/>
      <c r="G373" s="29"/>
      <c r="O373" s="29"/>
    </row>
    <row r="374">
      <c r="C374" s="29"/>
      <c r="D374" s="29"/>
      <c r="E374" s="29"/>
      <c r="F374" s="29"/>
      <c r="G374" s="29"/>
      <c r="O374" s="29"/>
    </row>
    <row r="375">
      <c r="C375" s="29"/>
      <c r="D375" s="29"/>
      <c r="E375" s="29"/>
      <c r="F375" s="29"/>
      <c r="G375" s="29"/>
      <c r="O375" s="29"/>
    </row>
    <row r="376">
      <c r="C376" s="29"/>
      <c r="D376" s="29"/>
      <c r="E376" s="29"/>
      <c r="F376" s="29"/>
      <c r="G376" s="29"/>
      <c r="O376" s="29"/>
    </row>
    <row r="377">
      <c r="C377" s="29"/>
      <c r="D377" s="29"/>
      <c r="E377" s="29"/>
      <c r="F377" s="29"/>
      <c r="G377" s="29"/>
      <c r="O377" s="29"/>
    </row>
    <row r="378">
      <c r="C378" s="29"/>
      <c r="D378" s="29"/>
      <c r="E378" s="29"/>
      <c r="F378" s="29"/>
      <c r="G378" s="29"/>
      <c r="O378" s="29"/>
    </row>
    <row r="379">
      <c r="C379" s="29"/>
      <c r="D379" s="29"/>
      <c r="E379" s="29"/>
      <c r="F379" s="29"/>
      <c r="G379" s="29"/>
      <c r="O379" s="29"/>
    </row>
    <row r="380">
      <c r="C380" s="29"/>
      <c r="D380" s="29"/>
      <c r="E380" s="29"/>
      <c r="F380" s="29"/>
      <c r="G380" s="29"/>
      <c r="O380" s="29"/>
    </row>
    <row r="381">
      <c r="C381" s="29"/>
      <c r="D381" s="29"/>
      <c r="E381" s="29"/>
      <c r="F381" s="29"/>
      <c r="G381" s="29"/>
      <c r="O381" s="29"/>
    </row>
    <row r="382">
      <c r="C382" s="29"/>
      <c r="D382" s="29"/>
      <c r="E382" s="29"/>
      <c r="F382" s="29"/>
      <c r="G382" s="29"/>
      <c r="O382" s="29"/>
    </row>
    <row r="383">
      <c r="C383" s="29"/>
      <c r="D383" s="29"/>
      <c r="E383" s="29"/>
      <c r="F383" s="29"/>
      <c r="G383" s="29"/>
      <c r="O383" s="29"/>
    </row>
    <row r="384">
      <c r="C384" s="29"/>
      <c r="D384" s="29"/>
      <c r="E384" s="29"/>
      <c r="F384" s="29"/>
      <c r="G384" s="29"/>
      <c r="O384" s="29"/>
    </row>
    <row r="385">
      <c r="C385" s="29"/>
      <c r="D385" s="29"/>
      <c r="E385" s="29"/>
      <c r="F385" s="29"/>
      <c r="G385" s="29"/>
      <c r="O385" s="29"/>
    </row>
    <row r="386">
      <c r="C386" s="29"/>
      <c r="D386" s="29"/>
      <c r="E386" s="29"/>
      <c r="F386" s="29"/>
      <c r="G386" s="29"/>
      <c r="O386" s="29"/>
    </row>
    <row r="387">
      <c r="C387" s="29"/>
      <c r="D387" s="29"/>
      <c r="E387" s="29"/>
      <c r="F387" s="29"/>
      <c r="G387" s="29"/>
      <c r="O387" s="29"/>
    </row>
    <row r="388">
      <c r="C388" s="29"/>
      <c r="D388" s="29"/>
      <c r="E388" s="29"/>
      <c r="F388" s="29"/>
      <c r="G388" s="29"/>
      <c r="O388" s="29"/>
    </row>
    <row r="389">
      <c r="C389" s="29"/>
      <c r="D389" s="29"/>
      <c r="E389" s="29"/>
      <c r="F389" s="29"/>
      <c r="G389" s="29"/>
      <c r="O389" s="29"/>
    </row>
    <row r="390">
      <c r="C390" s="29"/>
      <c r="D390" s="29"/>
      <c r="E390" s="29"/>
      <c r="F390" s="29"/>
      <c r="G390" s="29"/>
      <c r="O390" s="29"/>
    </row>
    <row r="391">
      <c r="C391" s="29"/>
      <c r="D391" s="29"/>
      <c r="E391" s="29"/>
      <c r="F391" s="29"/>
      <c r="G391" s="29"/>
      <c r="O391" s="29"/>
    </row>
    <row r="392">
      <c r="C392" s="29"/>
      <c r="D392" s="29"/>
      <c r="E392" s="29"/>
      <c r="F392" s="29"/>
      <c r="G392" s="29"/>
      <c r="O392" s="29"/>
    </row>
    <row r="393">
      <c r="C393" s="29"/>
      <c r="D393" s="29"/>
      <c r="E393" s="29"/>
      <c r="F393" s="29"/>
      <c r="G393" s="29"/>
      <c r="O393" s="29"/>
    </row>
    <row r="394">
      <c r="C394" s="29"/>
      <c r="D394" s="29"/>
      <c r="E394" s="29"/>
      <c r="F394" s="29"/>
      <c r="G394" s="29"/>
      <c r="O394" s="29"/>
    </row>
    <row r="395">
      <c r="C395" s="29"/>
      <c r="D395" s="29"/>
      <c r="E395" s="29"/>
      <c r="F395" s="29"/>
      <c r="G395" s="29"/>
      <c r="O395" s="29"/>
    </row>
    <row r="396">
      <c r="C396" s="29"/>
      <c r="D396" s="29"/>
      <c r="E396" s="29"/>
      <c r="F396" s="29"/>
      <c r="G396" s="29"/>
      <c r="O396" s="29"/>
    </row>
    <row r="397">
      <c r="C397" s="29"/>
      <c r="D397" s="29"/>
      <c r="E397" s="29"/>
      <c r="F397" s="29"/>
      <c r="G397" s="29"/>
      <c r="O397" s="29"/>
    </row>
    <row r="398">
      <c r="C398" s="29"/>
      <c r="D398" s="29"/>
      <c r="E398" s="29"/>
      <c r="F398" s="29"/>
      <c r="G398" s="29"/>
      <c r="O398" s="29"/>
    </row>
    <row r="399">
      <c r="C399" s="29"/>
      <c r="D399" s="29"/>
      <c r="E399" s="29"/>
      <c r="F399" s="29"/>
      <c r="G399" s="29"/>
      <c r="O399" s="29"/>
    </row>
    <row r="400">
      <c r="C400" s="29"/>
      <c r="D400" s="29"/>
      <c r="E400" s="29"/>
      <c r="F400" s="29"/>
      <c r="G400" s="29"/>
      <c r="O400" s="29"/>
    </row>
    <row r="401">
      <c r="C401" s="29"/>
      <c r="D401" s="29"/>
      <c r="E401" s="29"/>
      <c r="F401" s="29"/>
      <c r="G401" s="29"/>
      <c r="O401" s="29"/>
    </row>
    <row r="402">
      <c r="C402" s="29"/>
      <c r="D402" s="29"/>
      <c r="E402" s="29"/>
      <c r="F402" s="29"/>
      <c r="G402" s="29"/>
      <c r="O402" s="29"/>
    </row>
    <row r="403">
      <c r="C403" s="29"/>
      <c r="D403" s="29"/>
      <c r="E403" s="29"/>
      <c r="F403" s="29"/>
      <c r="G403" s="29"/>
      <c r="O403" s="29"/>
    </row>
    <row r="404">
      <c r="C404" s="29"/>
      <c r="D404" s="29"/>
      <c r="E404" s="29"/>
      <c r="F404" s="29"/>
      <c r="G404" s="29"/>
      <c r="O404" s="29"/>
    </row>
    <row r="405">
      <c r="C405" s="29"/>
      <c r="D405" s="29"/>
      <c r="E405" s="29"/>
      <c r="F405" s="29"/>
      <c r="G405" s="29"/>
      <c r="O405" s="29"/>
    </row>
    <row r="406">
      <c r="C406" s="29"/>
      <c r="D406" s="29"/>
      <c r="E406" s="29"/>
      <c r="F406" s="29"/>
      <c r="G406" s="29"/>
      <c r="O406" s="29"/>
    </row>
    <row r="407">
      <c r="C407" s="29"/>
      <c r="D407" s="29"/>
      <c r="E407" s="29"/>
      <c r="F407" s="29"/>
      <c r="G407" s="29"/>
      <c r="O407" s="29"/>
    </row>
    <row r="408">
      <c r="C408" s="29"/>
      <c r="D408" s="29"/>
      <c r="E408" s="29"/>
      <c r="F408" s="29"/>
      <c r="G408" s="29"/>
      <c r="O408" s="29"/>
    </row>
    <row r="409">
      <c r="C409" s="29"/>
      <c r="D409" s="29"/>
      <c r="E409" s="29"/>
      <c r="F409" s="29"/>
      <c r="G409" s="29"/>
      <c r="O409" s="29"/>
    </row>
    <row r="410">
      <c r="C410" s="29"/>
      <c r="D410" s="29"/>
      <c r="E410" s="29"/>
      <c r="F410" s="29"/>
      <c r="G410" s="29"/>
      <c r="O410" s="29"/>
    </row>
    <row r="411">
      <c r="C411" s="29"/>
      <c r="D411" s="29"/>
      <c r="E411" s="29"/>
      <c r="F411" s="29"/>
      <c r="G411" s="29"/>
      <c r="O411" s="29"/>
    </row>
    <row r="412">
      <c r="C412" s="29"/>
      <c r="D412" s="29"/>
      <c r="E412" s="29"/>
      <c r="F412" s="29"/>
      <c r="G412" s="29"/>
      <c r="O412" s="29"/>
    </row>
    <row r="413">
      <c r="C413" s="29"/>
      <c r="D413" s="29"/>
      <c r="E413" s="29"/>
      <c r="F413" s="29"/>
      <c r="G413" s="29"/>
      <c r="O413" s="29"/>
    </row>
    <row r="414">
      <c r="C414" s="29"/>
      <c r="D414" s="29"/>
      <c r="E414" s="29"/>
      <c r="F414" s="29"/>
      <c r="G414" s="29"/>
      <c r="O414" s="29"/>
    </row>
    <row r="415">
      <c r="C415" s="29"/>
      <c r="D415" s="29"/>
      <c r="E415" s="29"/>
      <c r="F415" s="29"/>
      <c r="G415" s="29"/>
      <c r="O415" s="29"/>
    </row>
    <row r="416">
      <c r="C416" s="29"/>
      <c r="D416" s="29"/>
      <c r="E416" s="29"/>
      <c r="F416" s="29"/>
      <c r="G416" s="29"/>
      <c r="O416" s="29"/>
    </row>
    <row r="417">
      <c r="C417" s="29"/>
      <c r="D417" s="29"/>
      <c r="E417" s="29"/>
      <c r="F417" s="29"/>
      <c r="G417" s="29"/>
      <c r="O417" s="29"/>
    </row>
    <row r="418">
      <c r="C418" s="29"/>
      <c r="D418" s="29"/>
      <c r="E418" s="29"/>
      <c r="F418" s="29"/>
      <c r="G418" s="29"/>
      <c r="O418" s="29"/>
    </row>
    <row r="419">
      <c r="C419" s="29"/>
      <c r="D419" s="29"/>
      <c r="E419" s="29"/>
      <c r="F419" s="29"/>
      <c r="G419" s="29"/>
      <c r="O419" s="29"/>
    </row>
    <row r="420">
      <c r="C420" s="29"/>
      <c r="D420" s="29"/>
      <c r="E420" s="29"/>
      <c r="F420" s="29"/>
      <c r="G420" s="29"/>
      <c r="O420" s="29"/>
    </row>
    <row r="421">
      <c r="C421" s="29"/>
      <c r="D421" s="29"/>
      <c r="E421" s="29"/>
      <c r="F421" s="29"/>
      <c r="G421" s="29"/>
      <c r="O421" s="29"/>
    </row>
    <row r="422">
      <c r="C422" s="29"/>
      <c r="D422" s="29"/>
      <c r="E422" s="29"/>
      <c r="F422" s="29"/>
      <c r="G422" s="29"/>
      <c r="O422" s="29"/>
    </row>
    <row r="423">
      <c r="C423" s="29"/>
      <c r="D423" s="29"/>
      <c r="E423" s="29"/>
      <c r="F423" s="29"/>
      <c r="G423" s="29"/>
      <c r="O423" s="29"/>
    </row>
    <row r="424">
      <c r="C424" s="29"/>
      <c r="D424" s="29"/>
      <c r="E424" s="29"/>
      <c r="F424" s="29"/>
      <c r="G424" s="29"/>
      <c r="O424" s="29"/>
    </row>
    <row r="425">
      <c r="C425" s="29"/>
      <c r="D425" s="29"/>
      <c r="E425" s="29"/>
      <c r="F425" s="29"/>
      <c r="G425" s="29"/>
      <c r="O425" s="29"/>
    </row>
    <row r="426">
      <c r="C426" s="29"/>
      <c r="D426" s="29"/>
      <c r="E426" s="29"/>
      <c r="F426" s="29"/>
      <c r="G426" s="29"/>
      <c r="O426" s="29"/>
    </row>
    <row r="427">
      <c r="C427" s="29"/>
      <c r="D427" s="29"/>
      <c r="E427" s="29"/>
      <c r="F427" s="29"/>
      <c r="G427" s="29"/>
      <c r="O427" s="29"/>
    </row>
    <row r="428">
      <c r="C428" s="29"/>
      <c r="D428" s="29"/>
      <c r="E428" s="29"/>
      <c r="F428" s="29"/>
      <c r="G428" s="29"/>
      <c r="O428" s="29"/>
    </row>
    <row r="429">
      <c r="C429" s="29"/>
      <c r="D429" s="29"/>
      <c r="E429" s="29"/>
      <c r="F429" s="29"/>
      <c r="G429" s="29"/>
      <c r="O429" s="29"/>
    </row>
    <row r="430">
      <c r="C430" s="29"/>
      <c r="D430" s="29"/>
      <c r="E430" s="29"/>
      <c r="F430" s="29"/>
      <c r="G430" s="29"/>
      <c r="O430" s="29"/>
    </row>
    <row r="431">
      <c r="C431" s="29"/>
      <c r="D431" s="29"/>
      <c r="E431" s="29"/>
      <c r="F431" s="29"/>
      <c r="G431" s="29"/>
      <c r="O431" s="29"/>
    </row>
    <row r="432">
      <c r="C432" s="29"/>
      <c r="D432" s="29"/>
      <c r="E432" s="29"/>
      <c r="F432" s="29"/>
      <c r="G432" s="29"/>
      <c r="O432" s="29"/>
    </row>
    <row r="433">
      <c r="C433" s="29"/>
      <c r="D433" s="29"/>
      <c r="E433" s="29"/>
      <c r="F433" s="29"/>
      <c r="G433" s="29"/>
      <c r="O433" s="29"/>
    </row>
    <row r="434">
      <c r="C434" s="29"/>
      <c r="D434" s="29"/>
      <c r="E434" s="29"/>
      <c r="F434" s="29"/>
      <c r="G434" s="29"/>
      <c r="O434" s="29"/>
    </row>
    <row r="435">
      <c r="C435" s="29"/>
      <c r="D435" s="29"/>
      <c r="E435" s="29"/>
      <c r="F435" s="29"/>
      <c r="G435" s="29"/>
      <c r="O435" s="29"/>
    </row>
    <row r="436">
      <c r="C436" s="29"/>
      <c r="D436" s="29"/>
      <c r="E436" s="29"/>
      <c r="F436" s="29"/>
      <c r="G436" s="29"/>
      <c r="O436" s="29"/>
    </row>
    <row r="437">
      <c r="C437" s="29"/>
      <c r="D437" s="29"/>
      <c r="E437" s="29"/>
      <c r="F437" s="29"/>
      <c r="G437" s="29"/>
      <c r="O437" s="29"/>
    </row>
    <row r="438">
      <c r="C438" s="29"/>
      <c r="D438" s="29"/>
      <c r="E438" s="29"/>
      <c r="F438" s="29"/>
      <c r="G438" s="29"/>
      <c r="O438" s="29"/>
    </row>
    <row r="439">
      <c r="C439" s="29"/>
      <c r="D439" s="29"/>
      <c r="E439" s="29"/>
      <c r="F439" s="29"/>
      <c r="G439" s="29"/>
      <c r="O439" s="29"/>
    </row>
    <row r="440">
      <c r="C440" s="29"/>
      <c r="D440" s="29"/>
      <c r="E440" s="29"/>
      <c r="F440" s="29"/>
      <c r="G440" s="29"/>
      <c r="O440" s="29"/>
    </row>
    <row r="441">
      <c r="C441" s="29"/>
      <c r="D441" s="29"/>
      <c r="E441" s="29"/>
      <c r="F441" s="29"/>
      <c r="G441" s="29"/>
      <c r="O441" s="29"/>
    </row>
    <row r="442">
      <c r="C442" s="29"/>
      <c r="D442" s="29"/>
      <c r="E442" s="29"/>
      <c r="F442" s="29"/>
      <c r="G442" s="29"/>
      <c r="O442" s="29"/>
    </row>
    <row r="443">
      <c r="C443" s="29"/>
      <c r="D443" s="29"/>
      <c r="E443" s="29"/>
      <c r="F443" s="29"/>
      <c r="G443" s="29"/>
      <c r="O443" s="29"/>
    </row>
    <row r="444">
      <c r="C444" s="29"/>
      <c r="D444" s="29"/>
      <c r="E444" s="29"/>
      <c r="F444" s="29"/>
      <c r="G444" s="29"/>
      <c r="O444" s="29"/>
    </row>
    <row r="445">
      <c r="C445" s="29"/>
      <c r="D445" s="29"/>
      <c r="E445" s="29"/>
      <c r="F445" s="29"/>
      <c r="G445" s="29"/>
      <c r="O445" s="29"/>
    </row>
    <row r="446">
      <c r="C446" s="29"/>
      <c r="D446" s="29"/>
      <c r="E446" s="29"/>
      <c r="F446" s="29"/>
      <c r="G446" s="29"/>
      <c r="O446" s="29"/>
    </row>
    <row r="447">
      <c r="C447" s="29"/>
      <c r="D447" s="29"/>
      <c r="E447" s="29"/>
      <c r="F447" s="29"/>
      <c r="G447" s="29"/>
      <c r="O447" s="29"/>
    </row>
    <row r="448">
      <c r="C448" s="29"/>
      <c r="D448" s="29"/>
      <c r="E448" s="29"/>
      <c r="F448" s="29"/>
      <c r="G448" s="29"/>
      <c r="O448" s="29"/>
    </row>
    <row r="449">
      <c r="C449" s="29"/>
      <c r="D449" s="29"/>
      <c r="E449" s="29"/>
      <c r="F449" s="29"/>
      <c r="G449" s="29"/>
      <c r="O449" s="29"/>
    </row>
    <row r="450">
      <c r="C450" s="29"/>
      <c r="D450" s="29"/>
      <c r="E450" s="29"/>
      <c r="F450" s="29"/>
      <c r="G450" s="29"/>
      <c r="O450" s="29"/>
    </row>
    <row r="451">
      <c r="C451" s="29"/>
      <c r="D451" s="29"/>
      <c r="E451" s="29"/>
      <c r="F451" s="29"/>
      <c r="G451" s="29"/>
      <c r="O451" s="29"/>
    </row>
    <row r="452">
      <c r="C452" s="29"/>
      <c r="D452" s="29"/>
      <c r="E452" s="29"/>
      <c r="F452" s="29"/>
      <c r="G452" s="29"/>
      <c r="O452" s="29"/>
    </row>
    <row r="453">
      <c r="C453" s="29"/>
      <c r="D453" s="29"/>
      <c r="E453" s="29"/>
      <c r="F453" s="29"/>
      <c r="G453" s="29"/>
      <c r="O453" s="29"/>
    </row>
    <row r="454">
      <c r="C454" s="29"/>
      <c r="D454" s="29"/>
      <c r="E454" s="29"/>
      <c r="F454" s="29"/>
      <c r="G454" s="29"/>
      <c r="O454" s="29"/>
    </row>
    <row r="455">
      <c r="C455" s="29"/>
      <c r="D455" s="29"/>
      <c r="E455" s="29"/>
      <c r="F455" s="29"/>
      <c r="G455" s="29"/>
      <c r="O455" s="29"/>
    </row>
    <row r="456">
      <c r="C456" s="29"/>
      <c r="D456" s="29"/>
      <c r="E456" s="29"/>
      <c r="F456" s="29"/>
      <c r="G456" s="29"/>
      <c r="O456" s="29"/>
    </row>
    <row r="457">
      <c r="C457" s="29"/>
      <c r="D457" s="29"/>
      <c r="E457" s="29"/>
      <c r="F457" s="29"/>
      <c r="G457" s="29"/>
      <c r="O457" s="29"/>
    </row>
    <row r="458">
      <c r="C458" s="29"/>
      <c r="D458" s="29"/>
      <c r="E458" s="29"/>
      <c r="F458" s="29"/>
      <c r="G458" s="29"/>
      <c r="O458" s="29"/>
    </row>
    <row r="459">
      <c r="C459" s="29"/>
      <c r="D459" s="29"/>
      <c r="E459" s="29"/>
      <c r="F459" s="29"/>
      <c r="G459" s="29"/>
      <c r="O459" s="29"/>
    </row>
    <row r="460">
      <c r="C460" s="29"/>
      <c r="D460" s="29"/>
      <c r="E460" s="29"/>
      <c r="F460" s="29"/>
      <c r="G460" s="29"/>
      <c r="O460" s="29"/>
    </row>
    <row r="461">
      <c r="C461" s="29"/>
      <c r="D461" s="29"/>
      <c r="E461" s="29"/>
      <c r="F461" s="29"/>
      <c r="G461" s="29"/>
      <c r="O461" s="29"/>
    </row>
    <row r="462">
      <c r="C462" s="29"/>
      <c r="D462" s="29"/>
      <c r="E462" s="29"/>
      <c r="F462" s="29"/>
      <c r="G462" s="29"/>
      <c r="O462" s="29"/>
    </row>
    <row r="463">
      <c r="C463" s="29"/>
      <c r="D463" s="29"/>
      <c r="E463" s="29"/>
      <c r="F463" s="29"/>
      <c r="G463" s="29"/>
      <c r="O463" s="29"/>
    </row>
    <row r="464">
      <c r="C464" s="29"/>
      <c r="D464" s="29"/>
      <c r="E464" s="29"/>
      <c r="F464" s="29"/>
      <c r="G464" s="29"/>
      <c r="O464" s="29"/>
    </row>
    <row r="465">
      <c r="C465" s="29"/>
      <c r="D465" s="29"/>
      <c r="E465" s="29"/>
      <c r="F465" s="29"/>
      <c r="G465" s="29"/>
      <c r="O465" s="29"/>
    </row>
    <row r="466">
      <c r="C466" s="29"/>
      <c r="D466" s="29"/>
      <c r="E466" s="29"/>
      <c r="F466" s="29"/>
      <c r="G466" s="29"/>
      <c r="O466" s="29"/>
    </row>
    <row r="467">
      <c r="C467" s="29"/>
      <c r="D467" s="29"/>
      <c r="E467" s="29"/>
      <c r="F467" s="29"/>
      <c r="G467" s="29"/>
      <c r="O467" s="29"/>
    </row>
    <row r="468">
      <c r="C468" s="29"/>
      <c r="D468" s="29"/>
      <c r="E468" s="29"/>
      <c r="F468" s="29"/>
      <c r="G468" s="29"/>
      <c r="O468" s="29"/>
    </row>
    <row r="469">
      <c r="C469" s="29"/>
      <c r="D469" s="29"/>
      <c r="E469" s="29"/>
      <c r="F469" s="29"/>
      <c r="G469" s="29"/>
      <c r="O469" s="29"/>
    </row>
    <row r="470">
      <c r="C470" s="29"/>
      <c r="D470" s="29"/>
      <c r="E470" s="29"/>
      <c r="F470" s="29"/>
      <c r="G470" s="29"/>
      <c r="O470" s="29"/>
    </row>
    <row r="471">
      <c r="C471" s="29"/>
      <c r="D471" s="29"/>
      <c r="E471" s="29"/>
      <c r="F471" s="29"/>
      <c r="G471" s="29"/>
      <c r="O471" s="29"/>
    </row>
    <row r="472">
      <c r="C472" s="29"/>
      <c r="D472" s="29"/>
      <c r="E472" s="29"/>
      <c r="F472" s="29"/>
      <c r="G472" s="29"/>
      <c r="O472" s="29"/>
    </row>
    <row r="473">
      <c r="C473" s="29"/>
      <c r="D473" s="29"/>
      <c r="E473" s="29"/>
      <c r="F473" s="29"/>
      <c r="G473" s="29"/>
      <c r="O473" s="29"/>
    </row>
    <row r="474">
      <c r="C474" s="29"/>
      <c r="D474" s="29"/>
      <c r="E474" s="29"/>
      <c r="F474" s="29"/>
      <c r="G474" s="29"/>
      <c r="O474" s="29"/>
    </row>
    <row r="475">
      <c r="C475" s="29"/>
      <c r="D475" s="29"/>
      <c r="E475" s="29"/>
      <c r="F475" s="29"/>
      <c r="G475" s="29"/>
      <c r="O475" s="29"/>
    </row>
    <row r="476">
      <c r="C476" s="29"/>
      <c r="D476" s="29"/>
      <c r="E476" s="29"/>
      <c r="F476" s="29"/>
      <c r="G476" s="29"/>
      <c r="O476" s="29"/>
    </row>
    <row r="477">
      <c r="C477" s="29"/>
      <c r="D477" s="29"/>
      <c r="E477" s="29"/>
      <c r="F477" s="29"/>
      <c r="G477" s="29"/>
      <c r="O477" s="29"/>
    </row>
    <row r="478">
      <c r="C478" s="29"/>
      <c r="D478" s="29"/>
      <c r="E478" s="29"/>
      <c r="F478" s="29"/>
      <c r="G478" s="29"/>
      <c r="O478" s="29"/>
    </row>
    <row r="479">
      <c r="C479" s="29"/>
      <c r="D479" s="29"/>
      <c r="E479" s="29"/>
      <c r="F479" s="29"/>
      <c r="G479" s="29"/>
      <c r="O479" s="29"/>
    </row>
    <row r="480">
      <c r="C480" s="29"/>
      <c r="D480" s="29"/>
      <c r="E480" s="29"/>
      <c r="F480" s="29"/>
      <c r="G480" s="29"/>
      <c r="O480" s="29"/>
    </row>
    <row r="481">
      <c r="C481" s="29"/>
      <c r="D481" s="29"/>
      <c r="E481" s="29"/>
      <c r="F481" s="29"/>
      <c r="G481" s="29"/>
      <c r="O481" s="29"/>
    </row>
    <row r="482">
      <c r="C482" s="29"/>
      <c r="D482" s="29"/>
      <c r="E482" s="29"/>
      <c r="F482" s="29"/>
      <c r="G482" s="29"/>
      <c r="O482" s="29"/>
    </row>
    <row r="483">
      <c r="C483" s="29"/>
      <c r="D483" s="29"/>
      <c r="E483" s="29"/>
      <c r="F483" s="29"/>
      <c r="G483" s="29"/>
      <c r="O483" s="29"/>
    </row>
    <row r="484">
      <c r="C484" s="29"/>
      <c r="D484" s="29"/>
      <c r="E484" s="29"/>
      <c r="F484" s="29"/>
      <c r="G484" s="29"/>
      <c r="O484" s="29"/>
    </row>
    <row r="485">
      <c r="C485" s="29"/>
      <c r="D485" s="29"/>
      <c r="E485" s="29"/>
      <c r="F485" s="29"/>
      <c r="G485" s="29"/>
      <c r="O485" s="29"/>
    </row>
    <row r="486">
      <c r="C486" s="29"/>
      <c r="D486" s="29"/>
      <c r="E486" s="29"/>
      <c r="F486" s="29"/>
      <c r="G486" s="29"/>
      <c r="O486" s="29"/>
    </row>
    <row r="487">
      <c r="C487" s="29"/>
      <c r="D487" s="29"/>
      <c r="E487" s="29"/>
      <c r="F487" s="29"/>
      <c r="G487" s="29"/>
      <c r="O487" s="29"/>
    </row>
    <row r="488">
      <c r="C488" s="29"/>
      <c r="D488" s="29"/>
      <c r="E488" s="29"/>
      <c r="F488" s="29"/>
      <c r="G488" s="29"/>
      <c r="O488" s="29"/>
    </row>
    <row r="489">
      <c r="C489" s="29"/>
      <c r="D489" s="29"/>
      <c r="E489" s="29"/>
      <c r="F489" s="29"/>
      <c r="G489" s="29"/>
      <c r="O489" s="29"/>
    </row>
    <row r="490">
      <c r="C490" s="29"/>
      <c r="D490" s="29"/>
      <c r="E490" s="29"/>
      <c r="F490" s="29"/>
      <c r="G490" s="29"/>
      <c r="O490" s="29"/>
    </row>
    <row r="491">
      <c r="C491" s="29"/>
      <c r="D491" s="29"/>
      <c r="E491" s="29"/>
      <c r="F491" s="29"/>
      <c r="G491" s="29"/>
      <c r="O491" s="29"/>
    </row>
    <row r="492">
      <c r="C492" s="29"/>
      <c r="D492" s="29"/>
      <c r="E492" s="29"/>
      <c r="F492" s="29"/>
      <c r="G492" s="29"/>
      <c r="O492" s="29"/>
    </row>
    <row r="493">
      <c r="C493" s="29"/>
      <c r="D493" s="29"/>
      <c r="E493" s="29"/>
      <c r="F493" s="29"/>
      <c r="G493" s="29"/>
      <c r="O493" s="29"/>
    </row>
    <row r="494">
      <c r="C494" s="29"/>
      <c r="D494" s="29"/>
      <c r="E494" s="29"/>
      <c r="F494" s="29"/>
      <c r="G494" s="29"/>
      <c r="O494" s="29"/>
    </row>
    <row r="495">
      <c r="C495" s="29"/>
      <c r="D495" s="29"/>
      <c r="E495" s="29"/>
      <c r="F495" s="29"/>
      <c r="G495" s="29"/>
      <c r="O495" s="29"/>
    </row>
    <row r="496">
      <c r="C496" s="29"/>
      <c r="D496" s="29"/>
      <c r="E496" s="29"/>
      <c r="F496" s="29"/>
      <c r="G496" s="29"/>
      <c r="O496" s="29"/>
    </row>
    <row r="497">
      <c r="C497" s="29"/>
      <c r="D497" s="29"/>
      <c r="E497" s="29"/>
      <c r="F497" s="29"/>
      <c r="G497" s="29"/>
      <c r="O497" s="29"/>
    </row>
    <row r="498">
      <c r="C498" s="29"/>
      <c r="D498" s="29"/>
      <c r="E498" s="29"/>
      <c r="F498" s="29"/>
      <c r="G498" s="29"/>
      <c r="O498" s="29"/>
    </row>
    <row r="499">
      <c r="C499" s="29"/>
      <c r="D499" s="29"/>
      <c r="E499" s="29"/>
      <c r="F499" s="29"/>
      <c r="G499" s="29"/>
      <c r="O499" s="29"/>
    </row>
    <row r="500">
      <c r="C500" s="29"/>
      <c r="D500" s="29"/>
      <c r="E500" s="29"/>
      <c r="F500" s="29"/>
      <c r="G500" s="29"/>
      <c r="O500" s="29"/>
    </row>
    <row r="501">
      <c r="C501" s="29"/>
      <c r="D501" s="29"/>
      <c r="E501" s="29"/>
      <c r="F501" s="29"/>
      <c r="G501" s="29"/>
      <c r="O501" s="29"/>
    </row>
    <row r="502">
      <c r="C502" s="29"/>
      <c r="D502" s="29"/>
      <c r="E502" s="29"/>
      <c r="F502" s="29"/>
      <c r="G502" s="29"/>
      <c r="O502" s="29"/>
    </row>
    <row r="503">
      <c r="C503" s="29"/>
      <c r="D503" s="29"/>
      <c r="E503" s="29"/>
      <c r="F503" s="29"/>
      <c r="G503" s="29"/>
      <c r="O503" s="29"/>
    </row>
    <row r="504">
      <c r="C504" s="29"/>
      <c r="D504" s="29"/>
      <c r="E504" s="29"/>
      <c r="F504" s="29"/>
      <c r="G504" s="29"/>
      <c r="O504" s="29"/>
    </row>
    <row r="505">
      <c r="C505" s="29"/>
      <c r="D505" s="29"/>
      <c r="E505" s="29"/>
      <c r="F505" s="29"/>
      <c r="G505" s="29"/>
      <c r="O505" s="29"/>
    </row>
    <row r="506">
      <c r="C506" s="29"/>
      <c r="D506" s="29"/>
      <c r="E506" s="29"/>
      <c r="F506" s="29"/>
      <c r="G506" s="29"/>
      <c r="O506" s="29"/>
    </row>
    <row r="507">
      <c r="C507" s="29"/>
      <c r="D507" s="29"/>
      <c r="E507" s="29"/>
      <c r="F507" s="29"/>
      <c r="G507" s="29"/>
      <c r="O507" s="29"/>
    </row>
    <row r="508">
      <c r="C508" s="29"/>
      <c r="D508" s="29"/>
      <c r="E508" s="29"/>
      <c r="F508" s="29"/>
      <c r="G508" s="29"/>
      <c r="O508" s="29"/>
    </row>
    <row r="509">
      <c r="C509" s="29"/>
      <c r="D509" s="29"/>
      <c r="E509" s="29"/>
      <c r="F509" s="29"/>
      <c r="G509" s="29"/>
      <c r="O509" s="29"/>
    </row>
    <row r="510">
      <c r="C510" s="29"/>
      <c r="D510" s="29"/>
      <c r="E510" s="29"/>
      <c r="F510" s="29"/>
      <c r="G510" s="29"/>
      <c r="O510" s="29"/>
    </row>
    <row r="511">
      <c r="C511" s="29"/>
      <c r="D511" s="29"/>
      <c r="E511" s="29"/>
      <c r="F511" s="29"/>
      <c r="G511" s="29"/>
      <c r="O511" s="29"/>
    </row>
    <row r="512">
      <c r="C512" s="29"/>
      <c r="D512" s="29"/>
      <c r="E512" s="29"/>
      <c r="F512" s="29"/>
      <c r="G512" s="29"/>
      <c r="O512" s="29"/>
    </row>
    <row r="513">
      <c r="C513" s="29"/>
      <c r="D513" s="29"/>
      <c r="E513" s="29"/>
      <c r="F513" s="29"/>
      <c r="G513" s="29"/>
      <c r="O513" s="29"/>
    </row>
    <row r="514">
      <c r="C514" s="29"/>
      <c r="D514" s="29"/>
      <c r="E514" s="29"/>
      <c r="F514" s="29"/>
      <c r="G514" s="29"/>
      <c r="O514" s="29"/>
    </row>
    <row r="515">
      <c r="C515" s="29"/>
      <c r="D515" s="29"/>
      <c r="E515" s="29"/>
      <c r="F515" s="29"/>
      <c r="G515" s="29"/>
      <c r="O515" s="29"/>
    </row>
    <row r="516">
      <c r="C516" s="29"/>
      <c r="D516" s="29"/>
      <c r="E516" s="29"/>
      <c r="F516" s="29"/>
      <c r="G516" s="29"/>
      <c r="O516" s="29"/>
    </row>
    <row r="517">
      <c r="C517" s="29"/>
      <c r="D517" s="29"/>
      <c r="E517" s="29"/>
      <c r="F517" s="29"/>
      <c r="G517" s="29"/>
      <c r="O517" s="29"/>
    </row>
    <row r="518">
      <c r="C518" s="29"/>
      <c r="D518" s="29"/>
      <c r="E518" s="29"/>
      <c r="F518" s="29"/>
      <c r="G518" s="29"/>
      <c r="O518" s="29"/>
    </row>
    <row r="519">
      <c r="C519" s="29"/>
      <c r="D519" s="29"/>
      <c r="E519" s="29"/>
      <c r="F519" s="29"/>
      <c r="G519" s="29"/>
      <c r="O519" s="29"/>
    </row>
    <row r="520">
      <c r="C520" s="29"/>
      <c r="D520" s="29"/>
      <c r="E520" s="29"/>
      <c r="F520" s="29"/>
      <c r="G520" s="29"/>
      <c r="O520" s="29"/>
    </row>
    <row r="521">
      <c r="C521" s="29"/>
      <c r="D521" s="29"/>
      <c r="E521" s="29"/>
      <c r="F521" s="29"/>
      <c r="G521" s="29"/>
      <c r="O521" s="29"/>
    </row>
    <row r="522">
      <c r="C522" s="29"/>
      <c r="D522" s="29"/>
      <c r="E522" s="29"/>
      <c r="F522" s="29"/>
      <c r="G522" s="29"/>
      <c r="O522" s="29"/>
    </row>
    <row r="523">
      <c r="C523" s="29"/>
      <c r="D523" s="29"/>
      <c r="E523" s="29"/>
      <c r="F523" s="29"/>
      <c r="G523" s="29"/>
      <c r="O523" s="29"/>
    </row>
    <row r="524">
      <c r="C524" s="29"/>
      <c r="D524" s="29"/>
      <c r="E524" s="29"/>
      <c r="F524" s="29"/>
      <c r="G524" s="29"/>
      <c r="O524" s="29"/>
    </row>
    <row r="525">
      <c r="C525" s="29"/>
      <c r="D525" s="29"/>
      <c r="E525" s="29"/>
      <c r="F525" s="29"/>
      <c r="G525" s="29"/>
      <c r="O525" s="29"/>
    </row>
    <row r="526">
      <c r="C526" s="29"/>
      <c r="D526" s="29"/>
      <c r="E526" s="29"/>
      <c r="F526" s="29"/>
      <c r="G526" s="29"/>
      <c r="O526" s="29"/>
    </row>
    <row r="527">
      <c r="C527" s="29"/>
      <c r="D527" s="29"/>
      <c r="E527" s="29"/>
      <c r="F527" s="29"/>
      <c r="G527" s="29"/>
      <c r="O527" s="29"/>
    </row>
    <row r="528">
      <c r="C528" s="29"/>
      <c r="D528" s="29"/>
      <c r="E528" s="29"/>
      <c r="F528" s="29"/>
      <c r="G528" s="29"/>
      <c r="O528" s="29"/>
    </row>
    <row r="529">
      <c r="C529" s="29"/>
      <c r="D529" s="29"/>
      <c r="E529" s="29"/>
      <c r="F529" s="29"/>
      <c r="G529" s="29"/>
      <c r="O529" s="29"/>
    </row>
    <row r="530">
      <c r="C530" s="29"/>
      <c r="D530" s="29"/>
      <c r="E530" s="29"/>
      <c r="F530" s="29"/>
      <c r="G530" s="29"/>
      <c r="O530" s="29"/>
    </row>
    <row r="531">
      <c r="C531" s="29"/>
      <c r="D531" s="29"/>
      <c r="E531" s="29"/>
      <c r="F531" s="29"/>
      <c r="G531" s="29"/>
      <c r="O531" s="29"/>
    </row>
    <row r="532">
      <c r="C532" s="29"/>
      <c r="D532" s="29"/>
      <c r="E532" s="29"/>
      <c r="F532" s="29"/>
      <c r="G532" s="29"/>
      <c r="O532" s="29"/>
    </row>
    <row r="533">
      <c r="C533" s="29"/>
      <c r="D533" s="29"/>
      <c r="E533" s="29"/>
      <c r="F533" s="29"/>
      <c r="G533" s="29"/>
      <c r="O533" s="29"/>
    </row>
    <row r="534">
      <c r="C534" s="29"/>
      <c r="D534" s="29"/>
      <c r="E534" s="29"/>
      <c r="F534" s="29"/>
      <c r="G534" s="29"/>
      <c r="O534" s="29"/>
    </row>
    <row r="535">
      <c r="C535" s="29"/>
      <c r="D535" s="29"/>
      <c r="E535" s="29"/>
      <c r="F535" s="29"/>
      <c r="G535" s="29"/>
      <c r="O535" s="29"/>
    </row>
    <row r="536">
      <c r="C536" s="29"/>
      <c r="D536" s="29"/>
      <c r="E536" s="29"/>
      <c r="F536" s="29"/>
      <c r="G536" s="29"/>
      <c r="O536" s="29"/>
    </row>
    <row r="537">
      <c r="C537" s="29"/>
      <c r="D537" s="29"/>
      <c r="E537" s="29"/>
      <c r="F537" s="29"/>
      <c r="G537" s="29"/>
      <c r="O537" s="29"/>
    </row>
    <row r="538">
      <c r="C538" s="29"/>
      <c r="D538" s="29"/>
      <c r="E538" s="29"/>
      <c r="F538" s="29"/>
      <c r="G538" s="29"/>
      <c r="O538" s="29"/>
    </row>
    <row r="539">
      <c r="C539" s="29"/>
      <c r="D539" s="29"/>
      <c r="E539" s="29"/>
      <c r="F539" s="29"/>
      <c r="G539" s="29"/>
      <c r="O539" s="29"/>
    </row>
    <row r="540">
      <c r="C540" s="29"/>
      <c r="D540" s="29"/>
      <c r="E540" s="29"/>
      <c r="F540" s="29"/>
      <c r="G540" s="29"/>
      <c r="O540" s="29"/>
    </row>
    <row r="541">
      <c r="C541" s="29"/>
      <c r="D541" s="29"/>
      <c r="E541" s="29"/>
      <c r="F541" s="29"/>
      <c r="G541" s="29"/>
      <c r="O541" s="29"/>
    </row>
    <row r="542">
      <c r="C542" s="29"/>
      <c r="D542" s="29"/>
      <c r="E542" s="29"/>
      <c r="F542" s="29"/>
      <c r="G542" s="29"/>
      <c r="O542" s="29"/>
    </row>
    <row r="543">
      <c r="C543" s="29"/>
      <c r="D543" s="29"/>
      <c r="E543" s="29"/>
      <c r="F543" s="29"/>
      <c r="G543" s="29"/>
      <c r="O543" s="29"/>
    </row>
    <row r="544">
      <c r="C544" s="29"/>
      <c r="D544" s="29"/>
      <c r="E544" s="29"/>
      <c r="F544" s="29"/>
      <c r="G544" s="29"/>
      <c r="O544" s="29"/>
    </row>
    <row r="545">
      <c r="C545" s="29"/>
      <c r="D545" s="29"/>
      <c r="E545" s="29"/>
      <c r="F545" s="29"/>
      <c r="G545" s="29"/>
      <c r="O545" s="29"/>
    </row>
    <row r="546">
      <c r="C546" s="29"/>
      <c r="D546" s="29"/>
      <c r="E546" s="29"/>
      <c r="F546" s="29"/>
      <c r="G546" s="29"/>
      <c r="O546" s="29"/>
    </row>
    <row r="547">
      <c r="C547" s="29"/>
      <c r="D547" s="29"/>
      <c r="E547" s="29"/>
      <c r="F547" s="29"/>
      <c r="G547" s="29"/>
      <c r="O547" s="29"/>
    </row>
    <row r="548">
      <c r="C548" s="29"/>
      <c r="D548" s="29"/>
      <c r="E548" s="29"/>
      <c r="F548" s="29"/>
      <c r="G548" s="29"/>
      <c r="O548" s="29"/>
    </row>
    <row r="549">
      <c r="C549" s="29"/>
      <c r="D549" s="29"/>
      <c r="E549" s="29"/>
      <c r="F549" s="29"/>
      <c r="G549" s="29"/>
      <c r="O549" s="29"/>
    </row>
    <row r="550">
      <c r="C550" s="29"/>
      <c r="D550" s="29"/>
      <c r="E550" s="29"/>
      <c r="F550" s="29"/>
      <c r="G550" s="29"/>
      <c r="O550" s="29"/>
    </row>
    <row r="551">
      <c r="C551" s="29"/>
      <c r="D551" s="29"/>
      <c r="E551" s="29"/>
      <c r="F551" s="29"/>
      <c r="G551" s="29"/>
      <c r="O551" s="29"/>
    </row>
    <row r="552">
      <c r="C552" s="29"/>
      <c r="D552" s="29"/>
      <c r="E552" s="29"/>
      <c r="F552" s="29"/>
      <c r="G552" s="29"/>
      <c r="O552" s="29"/>
    </row>
    <row r="553">
      <c r="C553" s="29"/>
      <c r="D553" s="29"/>
      <c r="E553" s="29"/>
      <c r="F553" s="29"/>
      <c r="G553" s="29"/>
      <c r="O553" s="29"/>
    </row>
    <row r="554">
      <c r="C554" s="29"/>
      <c r="D554" s="29"/>
      <c r="E554" s="29"/>
      <c r="F554" s="29"/>
      <c r="G554" s="29"/>
      <c r="O554" s="29"/>
    </row>
    <row r="555">
      <c r="C555" s="29"/>
      <c r="D555" s="29"/>
      <c r="E555" s="29"/>
      <c r="F555" s="29"/>
      <c r="G555" s="29"/>
      <c r="O555" s="29"/>
    </row>
    <row r="556">
      <c r="C556" s="29"/>
      <c r="D556" s="29"/>
      <c r="E556" s="29"/>
      <c r="F556" s="29"/>
      <c r="G556" s="29"/>
      <c r="O556" s="29"/>
    </row>
    <row r="557">
      <c r="C557" s="29"/>
      <c r="D557" s="29"/>
      <c r="E557" s="29"/>
      <c r="F557" s="29"/>
      <c r="G557" s="29"/>
      <c r="O557" s="29"/>
    </row>
    <row r="558">
      <c r="C558" s="29"/>
      <c r="D558" s="29"/>
      <c r="E558" s="29"/>
      <c r="F558" s="29"/>
      <c r="G558" s="29"/>
      <c r="O558" s="29"/>
    </row>
    <row r="559">
      <c r="C559" s="29"/>
      <c r="D559" s="29"/>
      <c r="E559" s="29"/>
      <c r="F559" s="29"/>
      <c r="G559" s="29"/>
      <c r="O559" s="29"/>
    </row>
    <row r="560">
      <c r="C560" s="29"/>
      <c r="D560" s="29"/>
      <c r="E560" s="29"/>
      <c r="F560" s="29"/>
      <c r="G560" s="29"/>
      <c r="O560" s="29"/>
    </row>
    <row r="561">
      <c r="C561" s="29"/>
      <c r="D561" s="29"/>
      <c r="E561" s="29"/>
      <c r="F561" s="29"/>
      <c r="G561" s="29"/>
      <c r="O561" s="29"/>
    </row>
    <row r="562">
      <c r="C562" s="29"/>
      <c r="D562" s="29"/>
      <c r="E562" s="29"/>
      <c r="F562" s="29"/>
      <c r="G562" s="29"/>
      <c r="O562" s="29"/>
    </row>
    <row r="563">
      <c r="C563" s="29"/>
      <c r="D563" s="29"/>
      <c r="E563" s="29"/>
      <c r="F563" s="29"/>
      <c r="G563" s="29"/>
      <c r="O563" s="29"/>
    </row>
    <row r="564">
      <c r="C564" s="29"/>
      <c r="D564" s="29"/>
      <c r="E564" s="29"/>
      <c r="F564" s="29"/>
      <c r="G564" s="29"/>
      <c r="O564" s="29"/>
    </row>
    <row r="565">
      <c r="C565" s="29"/>
      <c r="D565" s="29"/>
      <c r="E565" s="29"/>
      <c r="F565" s="29"/>
      <c r="G565" s="29"/>
      <c r="O565" s="29"/>
    </row>
    <row r="566">
      <c r="C566" s="29"/>
      <c r="D566" s="29"/>
      <c r="E566" s="29"/>
      <c r="F566" s="29"/>
      <c r="G566" s="29"/>
      <c r="O566" s="29"/>
    </row>
    <row r="567">
      <c r="C567" s="29"/>
      <c r="D567" s="29"/>
      <c r="E567" s="29"/>
      <c r="F567" s="29"/>
      <c r="G567" s="29"/>
      <c r="O567" s="29"/>
    </row>
    <row r="568">
      <c r="C568" s="29"/>
      <c r="D568" s="29"/>
      <c r="E568" s="29"/>
      <c r="F568" s="29"/>
      <c r="G568" s="29"/>
      <c r="O568" s="29"/>
    </row>
    <row r="569">
      <c r="C569" s="29"/>
      <c r="D569" s="29"/>
      <c r="E569" s="29"/>
      <c r="F569" s="29"/>
      <c r="G569" s="29"/>
      <c r="O569" s="29"/>
    </row>
    <row r="570">
      <c r="C570" s="29"/>
      <c r="D570" s="29"/>
      <c r="E570" s="29"/>
      <c r="F570" s="29"/>
      <c r="G570" s="29"/>
      <c r="O570" s="29"/>
    </row>
    <row r="571">
      <c r="C571" s="29"/>
      <c r="D571" s="29"/>
      <c r="E571" s="29"/>
      <c r="F571" s="29"/>
      <c r="G571" s="29"/>
      <c r="O571" s="29"/>
    </row>
    <row r="572">
      <c r="C572" s="29"/>
      <c r="D572" s="29"/>
      <c r="E572" s="29"/>
      <c r="F572" s="29"/>
      <c r="G572" s="29"/>
      <c r="O572" s="29"/>
    </row>
    <row r="573">
      <c r="C573" s="29"/>
      <c r="D573" s="29"/>
      <c r="E573" s="29"/>
      <c r="F573" s="29"/>
      <c r="G573" s="29"/>
      <c r="O573" s="29"/>
    </row>
    <row r="574">
      <c r="C574" s="29"/>
      <c r="D574" s="29"/>
      <c r="E574" s="29"/>
      <c r="F574" s="29"/>
      <c r="G574" s="29"/>
      <c r="O574" s="29"/>
    </row>
    <row r="575">
      <c r="C575" s="29"/>
      <c r="D575" s="29"/>
      <c r="E575" s="29"/>
      <c r="F575" s="29"/>
      <c r="G575" s="29"/>
      <c r="O575" s="29"/>
    </row>
    <row r="576">
      <c r="C576" s="29"/>
      <c r="D576" s="29"/>
      <c r="E576" s="29"/>
      <c r="F576" s="29"/>
      <c r="G576" s="29"/>
      <c r="O576" s="29"/>
    </row>
    <row r="577">
      <c r="C577" s="29"/>
      <c r="D577" s="29"/>
      <c r="E577" s="29"/>
      <c r="F577" s="29"/>
      <c r="G577" s="29"/>
      <c r="O577" s="29"/>
    </row>
    <row r="578">
      <c r="C578" s="29"/>
      <c r="D578" s="29"/>
      <c r="E578" s="29"/>
      <c r="F578" s="29"/>
      <c r="G578" s="29"/>
      <c r="O578" s="29"/>
    </row>
    <row r="579">
      <c r="C579" s="29"/>
      <c r="D579" s="29"/>
      <c r="E579" s="29"/>
      <c r="F579" s="29"/>
      <c r="G579" s="29"/>
      <c r="O579" s="29"/>
    </row>
    <row r="580">
      <c r="C580" s="29"/>
      <c r="D580" s="29"/>
      <c r="E580" s="29"/>
      <c r="F580" s="29"/>
      <c r="G580" s="29"/>
      <c r="O580" s="29"/>
    </row>
    <row r="581">
      <c r="C581" s="29"/>
      <c r="D581" s="29"/>
      <c r="E581" s="29"/>
      <c r="F581" s="29"/>
      <c r="G581" s="29"/>
      <c r="O581" s="29"/>
    </row>
    <row r="582">
      <c r="C582" s="29"/>
      <c r="D582" s="29"/>
      <c r="E582" s="29"/>
      <c r="F582" s="29"/>
      <c r="G582" s="29"/>
      <c r="O582" s="29"/>
    </row>
    <row r="583">
      <c r="C583" s="29"/>
      <c r="D583" s="29"/>
      <c r="E583" s="29"/>
      <c r="F583" s="29"/>
      <c r="G583" s="29"/>
      <c r="O583" s="29"/>
    </row>
    <row r="584">
      <c r="C584" s="29"/>
      <c r="D584" s="29"/>
      <c r="E584" s="29"/>
      <c r="F584" s="29"/>
      <c r="G584" s="29"/>
      <c r="O584" s="29"/>
    </row>
    <row r="585">
      <c r="C585" s="29"/>
      <c r="D585" s="29"/>
      <c r="E585" s="29"/>
      <c r="F585" s="29"/>
      <c r="G585" s="29"/>
      <c r="O585" s="29"/>
    </row>
    <row r="586">
      <c r="C586" s="29"/>
      <c r="D586" s="29"/>
      <c r="E586" s="29"/>
      <c r="F586" s="29"/>
      <c r="G586" s="29"/>
      <c r="O586" s="29"/>
    </row>
    <row r="587">
      <c r="C587" s="29"/>
      <c r="D587" s="29"/>
      <c r="E587" s="29"/>
      <c r="F587" s="29"/>
      <c r="G587" s="29"/>
      <c r="O587" s="29"/>
    </row>
    <row r="588">
      <c r="C588" s="29"/>
      <c r="D588" s="29"/>
      <c r="E588" s="29"/>
      <c r="F588" s="29"/>
      <c r="G588" s="29"/>
      <c r="O588" s="29"/>
    </row>
    <row r="589">
      <c r="C589" s="29"/>
      <c r="D589" s="29"/>
      <c r="E589" s="29"/>
      <c r="F589" s="29"/>
      <c r="G589" s="29"/>
      <c r="O589" s="29"/>
    </row>
    <row r="590">
      <c r="C590" s="29"/>
      <c r="D590" s="29"/>
      <c r="E590" s="29"/>
      <c r="F590" s="29"/>
      <c r="G590" s="29"/>
      <c r="O590" s="29"/>
    </row>
    <row r="591">
      <c r="C591" s="29"/>
      <c r="D591" s="29"/>
      <c r="E591" s="29"/>
      <c r="F591" s="29"/>
      <c r="G591" s="29"/>
      <c r="O591" s="29"/>
    </row>
    <row r="592">
      <c r="C592" s="29"/>
      <c r="D592" s="29"/>
      <c r="E592" s="29"/>
      <c r="F592" s="29"/>
      <c r="G592" s="29"/>
      <c r="O592" s="29"/>
    </row>
    <row r="593">
      <c r="C593" s="29"/>
      <c r="D593" s="29"/>
      <c r="E593" s="29"/>
      <c r="F593" s="29"/>
      <c r="G593" s="29"/>
      <c r="O593" s="29"/>
    </row>
    <row r="594">
      <c r="C594" s="29"/>
      <c r="D594" s="29"/>
      <c r="E594" s="29"/>
      <c r="F594" s="29"/>
      <c r="G594" s="29"/>
      <c r="O594" s="29"/>
    </row>
    <row r="595">
      <c r="C595" s="29"/>
      <c r="D595" s="29"/>
      <c r="E595" s="29"/>
      <c r="F595" s="29"/>
      <c r="G595" s="29"/>
      <c r="O595" s="29"/>
    </row>
    <row r="596">
      <c r="C596" s="29"/>
      <c r="D596" s="29"/>
      <c r="E596" s="29"/>
      <c r="F596" s="29"/>
      <c r="G596" s="29"/>
      <c r="O596" s="29"/>
    </row>
    <row r="597">
      <c r="C597" s="29"/>
      <c r="D597" s="29"/>
      <c r="E597" s="29"/>
      <c r="F597" s="29"/>
      <c r="G597" s="29"/>
      <c r="O597" s="29"/>
    </row>
    <row r="598">
      <c r="C598" s="29"/>
      <c r="D598" s="29"/>
      <c r="E598" s="29"/>
      <c r="F598" s="29"/>
      <c r="G598" s="29"/>
      <c r="O598" s="29"/>
    </row>
    <row r="599">
      <c r="C599" s="29"/>
      <c r="D599" s="29"/>
      <c r="E599" s="29"/>
      <c r="F599" s="29"/>
      <c r="G599" s="29"/>
      <c r="O599" s="29"/>
    </row>
    <row r="600">
      <c r="C600" s="29"/>
      <c r="D600" s="29"/>
      <c r="E600" s="29"/>
      <c r="F600" s="29"/>
      <c r="G600" s="29"/>
      <c r="O600" s="29"/>
    </row>
    <row r="601">
      <c r="C601" s="29"/>
      <c r="D601" s="29"/>
      <c r="E601" s="29"/>
      <c r="F601" s="29"/>
      <c r="G601" s="29"/>
      <c r="O601" s="29"/>
    </row>
    <row r="602">
      <c r="C602" s="29"/>
      <c r="D602" s="29"/>
      <c r="E602" s="29"/>
      <c r="F602" s="29"/>
      <c r="G602" s="29"/>
      <c r="O602" s="29"/>
    </row>
    <row r="603">
      <c r="C603" s="29"/>
      <c r="D603" s="29"/>
      <c r="E603" s="29"/>
      <c r="F603" s="29"/>
      <c r="G603" s="29"/>
      <c r="O603" s="29"/>
    </row>
    <row r="604">
      <c r="C604" s="29"/>
      <c r="D604" s="29"/>
      <c r="E604" s="29"/>
      <c r="F604" s="29"/>
      <c r="G604" s="29"/>
      <c r="O604" s="29"/>
    </row>
    <row r="605">
      <c r="C605" s="29"/>
      <c r="D605" s="29"/>
      <c r="E605" s="29"/>
      <c r="F605" s="29"/>
      <c r="G605" s="29"/>
      <c r="O605" s="29"/>
    </row>
    <row r="606">
      <c r="C606" s="29"/>
      <c r="D606" s="29"/>
      <c r="E606" s="29"/>
      <c r="F606" s="29"/>
      <c r="G606" s="29"/>
      <c r="O606" s="29"/>
    </row>
    <row r="607">
      <c r="C607" s="29"/>
      <c r="D607" s="29"/>
      <c r="E607" s="29"/>
      <c r="F607" s="29"/>
      <c r="G607" s="29"/>
      <c r="O607" s="29"/>
    </row>
    <row r="608">
      <c r="C608" s="29"/>
      <c r="D608" s="29"/>
      <c r="E608" s="29"/>
      <c r="F608" s="29"/>
      <c r="G608" s="29"/>
      <c r="O608" s="29"/>
    </row>
    <row r="609">
      <c r="C609" s="29"/>
      <c r="D609" s="29"/>
      <c r="E609" s="29"/>
      <c r="F609" s="29"/>
      <c r="G609" s="29"/>
      <c r="O609" s="29"/>
    </row>
    <row r="610">
      <c r="C610" s="29"/>
      <c r="D610" s="29"/>
      <c r="E610" s="29"/>
      <c r="F610" s="29"/>
      <c r="G610" s="29"/>
      <c r="O610" s="29"/>
    </row>
    <row r="611">
      <c r="C611" s="29"/>
      <c r="D611" s="29"/>
      <c r="E611" s="29"/>
      <c r="F611" s="29"/>
      <c r="G611" s="29"/>
      <c r="O611" s="29"/>
    </row>
    <row r="612">
      <c r="C612" s="29"/>
      <c r="D612" s="29"/>
      <c r="E612" s="29"/>
      <c r="F612" s="29"/>
      <c r="G612" s="29"/>
      <c r="O612" s="29"/>
    </row>
    <row r="613">
      <c r="C613" s="29"/>
      <c r="D613" s="29"/>
      <c r="E613" s="29"/>
      <c r="F613" s="29"/>
      <c r="G613" s="29"/>
      <c r="O613" s="29"/>
    </row>
    <row r="614">
      <c r="C614" s="29"/>
      <c r="D614" s="29"/>
      <c r="E614" s="29"/>
      <c r="F614" s="29"/>
      <c r="G614" s="29"/>
      <c r="O614" s="29"/>
    </row>
    <row r="615">
      <c r="C615" s="29"/>
      <c r="D615" s="29"/>
      <c r="E615" s="29"/>
      <c r="F615" s="29"/>
      <c r="G615" s="29"/>
      <c r="O615" s="29"/>
    </row>
    <row r="616">
      <c r="C616" s="29"/>
      <c r="D616" s="29"/>
      <c r="E616" s="29"/>
      <c r="F616" s="29"/>
      <c r="G616" s="29"/>
      <c r="O616" s="29"/>
    </row>
    <row r="617">
      <c r="C617" s="29"/>
      <c r="D617" s="29"/>
      <c r="E617" s="29"/>
      <c r="F617" s="29"/>
      <c r="G617" s="29"/>
      <c r="O617" s="29"/>
    </row>
    <row r="618">
      <c r="C618" s="29"/>
      <c r="D618" s="29"/>
      <c r="E618" s="29"/>
      <c r="F618" s="29"/>
      <c r="G618" s="29"/>
      <c r="O618" s="29"/>
    </row>
    <row r="619">
      <c r="C619" s="29"/>
      <c r="D619" s="29"/>
      <c r="E619" s="29"/>
      <c r="F619" s="29"/>
      <c r="G619" s="29"/>
      <c r="O619" s="29"/>
    </row>
    <row r="620">
      <c r="C620" s="29"/>
      <c r="D620" s="29"/>
      <c r="E620" s="29"/>
      <c r="F620" s="29"/>
      <c r="G620" s="29"/>
      <c r="O620" s="29"/>
    </row>
    <row r="621">
      <c r="C621" s="29"/>
      <c r="D621" s="29"/>
      <c r="E621" s="29"/>
      <c r="F621" s="29"/>
      <c r="G621" s="29"/>
      <c r="O621" s="29"/>
    </row>
    <row r="622">
      <c r="C622" s="29"/>
      <c r="D622" s="29"/>
      <c r="E622" s="29"/>
      <c r="F622" s="29"/>
      <c r="G622" s="29"/>
      <c r="O622" s="29"/>
    </row>
    <row r="623">
      <c r="C623" s="29"/>
      <c r="D623" s="29"/>
      <c r="E623" s="29"/>
      <c r="F623" s="29"/>
      <c r="G623" s="29"/>
      <c r="O623" s="29"/>
    </row>
    <row r="624">
      <c r="C624" s="29"/>
      <c r="D624" s="29"/>
      <c r="E624" s="29"/>
      <c r="F624" s="29"/>
      <c r="G624" s="29"/>
      <c r="O624" s="29"/>
    </row>
    <row r="625">
      <c r="C625" s="29"/>
      <c r="D625" s="29"/>
      <c r="E625" s="29"/>
      <c r="F625" s="29"/>
      <c r="G625" s="29"/>
      <c r="O625" s="29"/>
    </row>
    <row r="626">
      <c r="C626" s="29"/>
      <c r="D626" s="29"/>
      <c r="E626" s="29"/>
      <c r="F626" s="29"/>
      <c r="G626" s="29"/>
      <c r="O626" s="29"/>
    </row>
    <row r="627">
      <c r="C627" s="29"/>
      <c r="D627" s="29"/>
      <c r="E627" s="29"/>
      <c r="F627" s="29"/>
      <c r="G627" s="29"/>
      <c r="O627" s="29"/>
    </row>
    <row r="628">
      <c r="C628" s="29"/>
      <c r="D628" s="29"/>
      <c r="E628" s="29"/>
      <c r="F628" s="29"/>
      <c r="G628" s="29"/>
      <c r="O628" s="29"/>
    </row>
    <row r="629">
      <c r="C629" s="29"/>
      <c r="D629" s="29"/>
      <c r="E629" s="29"/>
      <c r="F629" s="29"/>
      <c r="G629" s="29"/>
      <c r="O629" s="29"/>
    </row>
    <row r="630">
      <c r="C630" s="29"/>
      <c r="D630" s="29"/>
      <c r="E630" s="29"/>
      <c r="F630" s="29"/>
      <c r="G630" s="29"/>
      <c r="O630" s="29"/>
    </row>
    <row r="631">
      <c r="C631" s="29"/>
      <c r="D631" s="29"/>
      <c r="E631" s="29"/>
      <c r="F631" s="29"/>
      <c r="G631" s="29"/>
      <c r="O631" s="29"/>
    </row>
    <row r="632">
      <c r="C632" s="29"/>
      <c r="D632" s="29"/>
      <c r="E632" s="29"/>
      <c r="F632" s="29"/>
      <c r="G632" s="29"/>
      <c r="O632" s="29"/>
    </row>
    <row r="633">
      <c r="C633" s="29"/>
      <c r="D633" s="29"/>
      <c r="E633" s="29"/>
      <c r="F633" s="29"/>
      <c r="G633" s="29"/>
      <c r="O633" s="29"/>
    </row>
    <row r="634">
      <c r="C634" s="29"/>
      <c r="D634" s="29"/>
      <c r="E634" s="29"/>
      <c r="F634" s="29"/>
      <c r="G634" s="29"/>
      <c r="O634" s="29"/>
    </row>
    <row r="635">
      <c r="C635" s="29"/>
      <c r="D635" s="29"/>
      <c r="E635" s="29"/>
      <c r="F635" s="29"/>
      <c r="G635" s="29"/>
      <c r="O635" s="29"/>
    </row>
    <row r="636">
      <c r="C636" s="29"/>
      <c r="D636" s="29"/>
      <c r="E636" s="29"/>
      <c r="F636" s="29"/>
      <c r="G636" s="29"/>
      <c r="O636" s="29"/>
    </row>
    <row r="637">
      <c r="C637" s="29"/>
      <c r="D637" s="29"/>
      <c r="E637" s="29"/>
      <c r="F637" s="29"/>
      <c r="G637" s="29"/>
      <c r="O637" s="29"/>
    </row>
    <row r="638">
      <c r="C638" s="29"/>
      <c r="D638" s="29"/>
      <c r="E638" s="29"/>
      <c r="F638" s="29"/>
      <c r="G638" s="29"/>
      <c r="O638" s="29"/>
    </row>
    <row r="639">
      <c r="C639" s="29"/>
      <c r="D639" s="29"/>
      <c r="E639" s="29"/>
      <c r="F639" s="29"/>
      <c r="G639" s="29"/>
      <c r="O639" s="29"/>
    </row>
    <row r="640">
      <c r="C640" s="29"/>
      <c r="D640" s="29"/>
      <c r="E640" s="29"/>
      <c r="F640" s="29"/>
      <c r="G640" s="29"/>
      <c r="O640" s="29"/>
    </row>
    <row r="641">
      <c r="C641" s="29"/>
      <c r="D641" s="29"/>
      <c r="E641" s="29"/>
      <c r="F641" s="29"/>
      <c r="G641" s="29"/>
      <c r="O641" s="29"/>
    </row>
    <row r="642">
      <c r="C642" s="29"/>
      <c r="D642" s="29"/>
      <c r="E642" s="29"/>
      <c r="F642" s="29"/>
      <c r="G642" s="29"/>
      <c r="O642" s="29"/>
    </row>
    <row r="643">
      <c r="C643" s="29"/>
      <c r="D643" s="29"/>
      <c r="E643" s="29"/>
      <c r="F643" s="29"/>
      <c r="G643" s="29"/>
      <c r="O643" s="29"/>
    </row>
    <row r="644">
      <c r="C644" s="29"/>
      <c r="D644" s="29"/>
      <c r="E644" s="29"/>
      <c r="F644" s="29"/>
      <c r="G644" s="29"/>
      <c r="O644" s="29"/>
    </row>
    <row r="645">
      <c r="C645" s="29"/>
      <c r="D645" s="29"/>
      <c r="E645" s="29"/>
      <c r="F645" s="29"/>
      <c r="G645" s="29"/>
      <c r="O645" s="29"/>
    </row>
    <row r="646">
      <c r="C646" s="29"/>
      <c r="D646" s="29"/>
      <c r="E646" s="29"/>
      <c r="F646" s="29"/>
      <c r="G646" s="29"/>
      <c r="O646" s="29"/>
    </row>
    <row r="647">
      <c r="C647" s="29"/>
      <c r="D647" s="29"/>
      <c r="E647" s="29"/>
      <c r="F647" s="29"/>
      <c r="G647" s="29"/>
      <c r="O647" s="29"/>
    </row>
    <row r="648">
      <c r="C648" s="29"/>
      <c r="D648" s="29"/>
      <c r="E648" s="29"/>
      <c r="F648" s="29"/>
      <c r="G648" s="29"/>
      <c r="O648" s="29"/>
    </row>
    <row r="649">
      <c r="C649" s="29"/>
      <c r="D649" s="29"/>
      <c r="E649" s="29"/>
      <c r="F649" s="29"/>
      <c r="G649" s="29"/>
      <c r="O649" s="29"/>
    </row>
    <row r="650">
      <c r="C650" s="29"/>
      <c r="D650" s="29"/>
      <c r="E650" s="29"/>
      <c r="F650" s="29"/>
      <c r="G650" s="29"/>
      <c r="O650" s="29"/>
    </row>
    <row r="651">
      <c r="C651" s="29"/>
      <c r="D651" s="29"/>
      <c r="E651" s="29"/>
      <c r="F651" s="29"/>
      <c r="G651" s="29"/>
      <c r="O651" s="29"/>
    </row>
    <row r="652">
      <c r="C652" s="29"/>
      <c r="D652" s="29"/>
      <c r="E652" s="29"/>
      <c r="F652" s="29"/>
      <c r="G652" s="29"/>
      <c r="O652" s="29"/>
    </row>
    <row r="653">
      <c r="C653" s="29"/>
      <c r="D653" s="29"/>
      <c r="E653" s="29"/>
      <c r="F653" s="29"/>
      <c r="G653" s="29"/>
      <c r="O653" s="29"/>
    </row>
    <row r="654">
      <c r="C654" s="29"/>
      <c r="D654" s="29"/>
      <c r="E654" s="29"/>
      <c r="F654" s="29"/>
      <c r="G654" s="29"/>
      <c r="O654" s="29"/>
    </row>
    <row r="655">
      <c r="C655" s="29"/>
      <c r="D655" s="29"/>
      <c r="E655" s="29"/>
      <c r="F655" s="29"/>
      <c r="G655" s="29"/>
      <c r="O655" s="29"/>
    </row>
    <row r="656">
      <c r="C656" s="29"/>
      <c r="D656" s="29"/>
      <c r="E656" s="29"/>
      <c r="F656" s="29"/>
      <c r="G656" s="29"/>
      <c r="O656" s="29"/>
    </row>
    <row r="657">
      <c r="C657" s="29"/>
      <c r="D657" s="29"/>
      <c r="E657" s="29"/>
      <c r="F657" s="29"/>
      <c r="G657" s="29"/>
      <c r="O657" s="29"/>
    </row>
    <row r="658">
      <c r="C658" s="29"/>
      <c r="D658" s="29"/>
      <c r="E658" s="29"/>
      <c r="F658" s="29"/>
      <c r="G658" s="29"/>
      <c r="O658" s="29"/>
    </row>
    <row r="659">
      <c r="C659" s="29"/>
      <c r="D659" s="29"/>
      <c r="E659" s="29"/>
      <c r="F659" s="29"/>
      <c r="G659" s="29"/>
      <c r="O659" s="29"/>
    </row>
    <row r="660">
      <c r="C660" s="29"/>
      <c r="D660" s="29"/>
      <c r="E660" s="29"/>
      <c r="F660" s="29"/>
      <c r="G660" s="29"/>
      <c r="O660" s="29"/>
    </row>
    <row r="661">
      <c r="C661" s="29"/>
      <c r="D661" s="29"/>
      <c r="E661" s="29"/>
      <c r="F661" s="29"/>
      <c r="G661" s="29"/>
      <c r="O661" s="29"/>
    </row>
    <row r="662">
      <c r="C662" s="29"/>
      <c r="D662" s="29"/>
      <c r="E662" s="29"/>
      <c r="F662" s="29"/>
      <c r="G662" s="29"/>
      <c r="O662" s="29"/>
    </row>
    <row r="663">
      <c r="C663" s="29"/>
      <c r="D663" s="29"/>
      <c r="E663" s="29"/>
      <c r="F663" s="29"/>
      <c r="G663" s="29"/>
      <c r="O663" s="29"/>
    </row>
    <row r="664">
      <c r="C664" s="29"/>
      <c r="D664" s="29"/>
      <c r="E664" s="29"/>
      <c r="F664" s="29"/>
      <c r="G664" s="29"/>
      <c r="O664" s="29"/>
    </row>
    <row r="665">
      <c r="C665" s="29"/>
      <c r="D665" s="29"/>
      <c r="E665" s="29"/>
      <c r="F665" s="29"/>
      <c r="G665" s="29"/>
      <c r="O665" s="29"/>
    </row>
    <row r="666">
      <c r="C666" s="29"/>
      <c r="D666" s="29"/>
      <c r="E666" s="29"/>
      <c r="F666" s="29"/>
      <c r="G666" s="29"/>
      <c r="O666" s="29"/>
    </row>
    <row r="667">
      <c r="C667" s="29"/>
      <c r="D667" s="29"/>
      <c r="E667" s="29"/>
      <c r="F667" s="29"/>
      <c r="G667" s="29"/>
      <c r="O667" s="29"/>
    </row>
    <row r="668">
      <c r="C668" s="29"/>
      <c r="D668" s="29"/>
      <c r="E668" s="29"/>
      <c r="F668" s="29"/>
      <c r="G668" s="29"/>
      <c r="O668" s="29"/>
    </row>
    <row r="669">
      <c r="C669" s="29"/>
      <c r="D669" s="29"/>
      <c r="E669" s="29"/>
      <c r="F669" s="29"/>
      <c r="G669" s="29"/>
      <c r="O669" s="29"/>
    </row>
    <row r="670">
      <c r="C670" s="29"/>
      <c r="D670" s="29"/>
      <c r="E670" s="29"/>
      <c r="F670" s="29"/>
      <c r="G670" s="29"/>
      <c r="O670" s="29"/>
    </row>
    <row r="671">
      <c r="C671" s="29"/>
      <c r="D671" s="29"/>
      <c r="E671" s="29"/>
      <c r="F671" s="29"/>
      <c r="G671" s="29"/>
      <c r="O671" s="29"/>
    </row>
    <row r="672">
      <c r="C672" s="29"/>
      <c r="D672" s="29"/>
      <c r="E672" s="29"/>
      <c r="F672" s="29"/>
      <c r="G672" s="29"/>
      <c r="O672" s="29"/>
    </row>
    <row r="673">
      <c r="C673" s="29"/>
      <c r="D673" s="29"/>
      <c r="E673" s="29"/>
      <c r="F673" s="29"/>
      <c r="G673" s="29"/>
      <c r="O673" s="29"/>
    </row>
    <row r="674">
      <c r="C674" s="29"/>
      <c r="D674" s="29"/>
      <c r="E674" s="29"/>
      <c r="F674" s="29"/>
      <c r="G674" s="29"/>
      <c r="O674" s="29"/>
    </row>
    <row r="675">
      <c r="C675" s="29"/>
      <c r="D675" s="29"/>
      <c r="E675" s="29"/>
      <c r="F675" s="29"/>
      <c r="G675" s="29"/>
      <c r="O675" s="29"/>
    </row>
    <row r="676">
      <c r="C676" s="29"/>
      <c r="D676" s="29"/>
      <c r="E676" s="29"/>
      <c r="F676" s="29"/>
      <c r="G676" s="29"/>
      <c r="O676" s="29"/>
    </row>
    <row r="677">
      <c r="C677" s="29"/>
      <c r="D677" s="29"/>
      <c r="E677" s="29"/>
      <c r="F677" s="29"/>
      <c r="G677" s="29"/>
      <c r="O677" s="29"/>
    </row>
    <row r="678">
      <c r="C678" s="29"/>
      <c r="D678" s="29"/>
      <c r="E678" s="29"/>
      <c r="F678" s="29"/>
      <c r="G678" s="29"/>
      <c r="O678" s="29"/>
    </row>
    <row r="679">
      <c r="C679" s="29"/>
      <c r="D679" s="29"/>
      <c r="E679" s="29"/>
      <c r="F679" s="29"/>
      <c r="G679" s="29"/>
      <c r="O679" s="29"/>
    </row>
    <row r="680">
      <c r="C680" s="29"/>
      <c r="D680" s="29"/>
      <c r="E680" s="29"/>
      <c r="F680" s="29"/>
      <c r="G680" s="29"/>
      <c r="O680" s="29"/>
    </row>
    <row r="681">
      <c r="C681" s="29"/>
      <c r="D681" s="29"/>
      <c r="E681" s="29"/>
      <c r="F681" s="29"/>
      <c r="G681" s="29"/>
      <c r="O681" s="29"/>
    </row>
    <row r="682">
      <c r="C682" s="29"/>
      <c r="D682" s="29"/>
      <c r="E682" s="29"/>
      <c r="F682" s="29"/>
      <c r="G682" s="29"/>
      <c r="O682" s="29"/>
    </row>
    <row r="683">
      <c r="C683" s="29"/>
      <c r="D683" s="29"/>
      <c r="E683" s="29"/>
      <c r="F683" s="29"/>
      <c r="G683" s="29"/>
      <c r="O683" s="29"/>
    </row>
    <row r="684">
      <c r="C684" s="29"/>
      <c r="D684" s="29"/>
      <c r="E684" s="29"/>
      <c r="F684" s="29"/>
      <c r="G684" s="29"/>
      <c r="O684" s="29"/>
    </row>
    <row r="685">
      <c r="C685" s="29"/>
      <c r="D685" s="29"/>
      <c r="E685" s="29"/>
      <c r="F685" s="29"/>
      <c r="G685" s="29"/>
      <c r="O685" s="29"/>
    </row>
    <row r="686">
      <c r="C686" s="29"/>
      <c r="D686" s="29"/>
      <c r="E686" s="29"/>
      <c r="F686" s="29"/>
      <c r="G686" s="29"/>
      <c r="O686" s="29"/>
    </row>
    <row r="687">
      <c r="C687" s="29"/>
      <c r="D687" s="29"/>
      <c r="E687" s="29"/>
      <c r="F687" s="29"/>
      <c r="G687" s="29"/>
      <c r="O687" s="29"/>
    </row>
    <row r="688">
      <c r="C688" s="29"/>
      <c r="D688" s="29"/>
      <c r="E688" s="29"/>
      <c r="F688" s="29"/>
      <c r="G688" s="29"/>
      <c r="O688" s="29"/>
    </row>
    <row r="689">
      <c r="C689" s="29"/>
      <c r="D689" s="29"/>
      <c r="E689" s="29"/>
      <c r="F689" s="29"/>
      <c r="G689" s="29"/>
      <c r="O689" s="29"/>
    </row>
    <row r="690">
      <c r="C690" s="29"/>
      <c r="D690" s="29"/>
      <c r="E690" s="29"/>
      <c r="F690" s="29"/>
      <c r="G690" s="29"/>
      <c r="O690" s="29"/>
    </row>
    <row r="691">
      <c r="C691" s="29"/>
      <c r="D691" s="29"/>
      <c r="E691" s="29"/>
      <c r="F691" s="29"/>
      <c r="G691" s="29"/>
      <c r="O691" s="29"/>
    </row>
    <row r="692">
      <c r="C692" s="29"/>
      <c r="D692" s="29"/>
      <c r="E692" s="29"/>
      <c r="F692" s="29"/>
      <c r="G692" s="29"/>
      <c r="O692" s="29"/>
    </row>
    <row r="693">
      <c r="C693" s="29"/>
      <c r="D693" s="29"/>
      <c r="E693" s="29"/>
      <c r="F693" s="29"/>
      <c r="G693" s="29"/>
      <c r="O693" s="29"/>
    </row>
    <row r="694">
      <c r="C694" s="29"/>
      <c r="D694" s="29"/>
      <c r="E694" s="29"/>
      <c r="F694" s="29"/>
      <c r="G694" s="29"/>
      <c r="O694" s="29"/>
    </row>
    <row r="695">
      <c r="C695" s="29"/>
      <c r="D695" s="29"/>
      <c r="E695" s="29"/>
      <c r="F695" s="29"/>
      <c r="G695" s="29"/>
      <c r="O695" s="29"/>
    </row>
    <row r="696">
      <c r="C696" s="29"/>
      <c r="D696" s="29"/>
      <c r="E696" s="29"/>
      <c r="F696" s="29"/>
      <c r="G696" s="29"/>
      <c r="O696" s="29"/>
    </row>
    <row r="697">
      <c r="C697" s="29"/>
      <c r="D697" s="29"/>
      <c r="E697" s="29"/>
      <c r="F697" s="29"/>
      <c r="G697" s="29"/>
      <c r="O697" s="29"/>
    </row>
    <row r="698">
      <c r="C698" s="29"/>
      <c r="D698" s="29"/>
      <c r="E698" s="29"/>
      <c r="F698" s="29"/>
      <c r="G698" s="29"/>
      <c r="O698" s="29"/>
    </row>
    <row r="699">
      <c r="C699" s="29"/>
      <c r="D699" s="29"/>
      <c r="E699" s="29"/>
      <c r="F699" s="29"/>
      <c r="G699" s="29"/>
      <c r="O699" s="29"/>
    </row>
    <row r="700">
      <c r="C700" s="29"/>
      <c r="D700" s="29"/>
      <c r="E700" s="29"/>
      <c r="F700" s="29"/>
      <c r="G700" s="29"/>
      <c r="O700" s="29"/>
    </row>
    <row r="701">
      <c r="C701" s="29"/>
      <c r="D701" s="29"/>
      <c r="E701" s="29"/>
      <c r="F701" s="29"/>
      <c r="G701" s="29"/>
      <c r="O701" s="29"/>
    </row>
    <row r="702">
      <c r="C702" s="29"/>
      <c r="D702" s="29"/>
      <c r="E702" s="29"/>
      <c r="F702" s="29"/>
      <c r="G702" s="29"/>
      <c r="O702" s="29"/>
    </row>
    <row r="703">
      <c r="C703" s="29"/>
      <c r="D703" s="29"/>
      <c r="E703" s="29"/>
      <c r="F703" s="29"/>
      <c r="G703" s="29"/>
      <c r="O703" s="29"/>
    </row>
    <row r="704">
      <c r="C704" s="29"/>
      <c r="D704" s="29"/>
      <c r="E704" s="29"/>
      <c r="F704" s="29"/>
      <c r="G704" s="29"/>
      <c r="O704" s="29"/>
    </row>
    <row r="705">
      <c r="C705" s="29"/>
      <c r="D705" s="29"/>
      <c r="E705" s="29"/>
      <c r="F705" s="29"/>
      <c r="G705" s="29"/>
      <c r="O705" s="29"/>
    </row>
    <row r="706">
      <c r="C706" s="29"/>
      <c r="D706" s="29"/>
      <c r="E706" s="29"/>
      <c r="F706" s="29"/>
      <c r="G706" s="29"/>
      <c r="O706" s="29"/>
    </row>
    <row r="707">
      <c r="C707" s="29"/>
      <c r="D707" s="29"/>
      <c r="E707" s="29"/>
      <c r="F707" s="29"/>
      <c r="G707" s="29"/>
      <c r="O707" s="29"/>
    </row>
    <row r="708">
      <c r="C708" s="29"/>
      <c r="D708" s="29"/>
      <c r="E708" s="29"/>
      <c r="F708" s="29"/>
      <c r="G708" s="29"/>
      <c r="O708" s="29"/>
    </row>
    <row r="709">
      <c r="C709" s="29"/>
      <c r="D709" s="29"/>
      <c r="E709" s="29"/>
      <c r="F709" s="29"/>
      <c r="G709" s="29"/>
      <c r="O709" s="29"/>
    </row>
    <row r="710">
      <c r="C710" s="29"/>
      <c r="D710" s="29"/>
      <c r="E710" s="29"/>
      <c r="F710" s="29"/>
      <c r="G710" s="29"/>
      <c r="O710" s="29"/>
    </row>
    <row r="711">
      <c r="C711" s="29"/>
      <c r="D711" s="29"/>
      <c r="E711" s="29"/>
      <c r="F711" s="29"/>
      <c r="G711" s="29"/>
      <c r="O711" s="29"/>
    </row>
    <row r="712">
      <c r="C712" s="29"/>
      <c r="D712" s="29"/>
      <c r="E712" s="29"/>
      <c r="F712" s="29"/>
      <c r="G712" s="29"/>
      <c r="O712" s="29"/>
    </row>
    <row r="713">
      <c r="C713" s="29"/>
      <c r="D713" s="29"/>
      <c r="E713" s="29"/>
      <c r="F713" s="29"/>
      <c r="G713" s="29"/>
      <c r="O713" s="29"/>
    </row>
    <row r="714">
      <c r="C714" s="29"/>
      <c r="D714" s="29"/>
      <c r="E714" s="29"/>
      <c r="F714" s="29"/>
      <c r="G714" s="29"/>
      <c r="O714" s="29"/>
    </row>
    <row r="715">
      <c r="C715" s="29"/>
      <c r="D715" s="29"/>
      <c r="E715" s="29"/>
      <c r="F715" s="29"/>
      <c r="G715" s="29"/>
      <c r="O715" s="29"/>
    </row>
    <row r="716">
      <c r="C716" s="29"/>
      <c r="D716" s="29"/>
      <c r="E716" s="29"/>
      <c r="F716" s="29"/>
      <c r="G716" s="29"/>
      <c r="O716" s="29"/>
    </row>
    <row r="717">
      <c r="C717" s="29"/>
      <c r="D717" s="29"/>
      <c r="E717" s="29"/>
      <c r="F717" s="29"/>
      <c r="G717" s="29"/>
      <c r="O717" s="29"/>
    </row>
    <row r="718">
      <c r="C718" s="29"/>
      <c r="D718" s="29"/>
      <c r="E718" s="29"/>
      <c r="F718" s="29"/>
      <c r="G718" s="29"/>
      <c r="O718" s="29"/>
    </row>
    <row r="719">
      <c r="C719" s="29"/>
      <c r="D719" s="29"/>
      <c r="E719" s="29"/>
      <c r="F719" s="29"/>
      <c r="G719" s="29"/>
      <c r="O719" s="29"/>
    </row>
    <row r="720">
      <c r="C720" s="29"/>
      <c r="D720" s="29"/>
      <c r="E720" s="29"/>
      <c r="F720" s="29"/>
      <c r="G720" s="29"/>
      <c r="O720" s="29"/>
    </row>
    <row r="721">
      <c r="C721" s="29"/>
      <c r="D721" s="29"/>
      <c r="E721" s="29"/>
      <c r="F721" s="29"/>
      <c r="G721" s="29"/>
      <c r="O721" s="29"/>
    </row>
    <row r="722">
      <c r="C722" s="29"/>
      <c r="D722" s="29"/>
      <c r="E722" s="29"/>
      <c r="F722" s="29"/>
      <c r="G722" s="29"/>
      <c r="O722" s="29"/>
    </row>
    <row r="723">
      <c r="C723" s="29"/>
      <c r="D723" s="29"/>
      <c r="E723" s="29"/>
      <c r="F723" s="29"/>
      <c r="G723" s="29"/>
      <c r="O723" s="29"/>
    </row>
    <row r="724">
      <c r="C724" s="29"/>
      <c r="D724" s="29"/>
      <c r="E724" s="29"/>
      <c r="F724" s="29"/>
      <c r="G724" s="29"/>
      <c r="O724" s="29"/>
    </row>
    <row r="725">
      <c r="C725" s="29"/>
      <c r="D725" s="29"/>
      <c r="E725" s="29"/>
      <c r="F725" s="29"/>
      <c r="G725" s="29"/>
      <c r="O725" s="29"/>
    </row>
    <row r="726">
      <c r="C726" s="29"/>
      <c r="D726" s="29"/>
      <c r="E726" s="29"/>
      <c r="F726" s="29"/>
      <c r="G726" s="29"/>
      <c r="O726" s="29"/>
    </row>
    <row r="727">
      <c r="C727" s="29"/>
      <c r="D727" s="29"/>
      <c r="E727" s="29"/>
      <c r="F727" s="29"/>
      <c r="G727" s="29"/>
      <c r="O727" s="29"/>
    </row>
    <row r="728">
      <c r="C728" s="29"/>
      <c r="D728" s="29"/>
      <c r="E728" s="29"/>
      <c r="F728" s="29"/>
      <c r="G728" s="29"/>
      <c r="O728" s="29"/>
    </row>
    <row r="729">
      <c r="C729" s="29"/>
      <c r="D729" s="29"/>
      <c r="E729" s="29"/>
      <c r="F729" s="29"/>
      <c r="G729" s="29"/>
      <c r="O729" s="29"/>
    </row>
    <row r="730">
      <c r="C730" s="29"/>
      <c r="D730" s="29"/>
      <c r="E730" s="29"/>
      <c r="F730" s="29"/>
      <c r="G730" s="29"/>
      <c r="O730" s="29"/>
    </row>
    <row r="731">
      <c r="C731" s="29"/>
      <c r="D731" s="29"/>
      <c r="E731" s="29"/>
      <c r="F731" s="29"/>
      <c r="G731" s="29"/>
      <c r="O731" s="29"/>
    </row>
    <row r="732">
      <c r="C732" s="29"/>
      <c r="D732" s="29"/>
      <c r="E732" s="29"/>
      <c r="F732" s="29"/>
      <c r="G732" s="29"/>
      <c r="O732" s="29"/>
    </row>
    <row r="733">
      <c r="C733" s="29"/>
      <c r="D733" s="29"/>
      <c r="E733" s="29"/>
      <c r="F733" s="29"/>
      <c r="G733" s="29"/>
      <c r="O733" s="29"/>
    </row>
    <row r="734">
      <c r="C734" s="29"/>
      <c r="D734" s="29"/>
      <c r="E734" s="29"/>
      <c r="F734" s="29"/>
      <c r="G734" s="29"/>
      <c r="O734" s="29"/>
    </row>
    <row r="735">
      <c r="C735" s="29"/>
      <c r="D735" s="29"/>
      <c r="E735" s="29"/>
      <c r="F735" s="29"/>
      <c r="G735" s="29"/>
      <c r="O735" s="29"/>
    </row>
    <row r="736">
      <c r="C736" s="29"/>
      <c r="D736" s="29"/>
      <c r="E736" s="29"/>
      <c r="F736" s="29"/>
      <c r="G736" s="29"/>
      <c r="O736" s="29"/>
    </row>
    <row r="737">
      <c r="C737" s="29"/>
      <c r="D737" s="29"/>
      <c r="E737" s="29"/>
      <c r="F737" s="29"/>
      <c r="G737" s="29"/>
      <c r="O737" s="29"/>
    </row>
    <row r="738">
      <c r="C738" s="29"/>
      <c r="D738" s="29"/>
      <c r="E738" s="29"/>
      <c r="F738" s="29"/>
      <c r="G738" s="29"/>
      <c r="O738" s="29"/>
    </row>
    <row r="739">
      <c r="C739" s="29"/>
      <c r="D739" s="29"/>
      <c r="E739" s="29"/>
      <c r="F739" s="29"/>
      <c r="G739" s="29"/>
      <c r="O739" s="29"/>
    </row>
    <row r="740">
      <c r="C740" s="29"/>
      <c r="D740" s="29"/>
      <c r="E740" s="29"/>
      <c r="F740" s="29"/>
      <c r="G740" s="29"/>
      <c r="O740" s="29"/>
    </row>
    <row r="741">
      <c r="C741" s="29"/>
      <c r="D741" s="29"/>
      <c r="E741" s="29"/>
      <c r="F741" s="29"/>
      <c r="G741" s="29"/>
      <c r="O741" s="29"/>
    </row>
    <row r="742">
      <c r="C742" s="29"/>
      <c r="D742" s="29"/>
      <c r="E742" s="29"/>
      <c r="F742" s="29"/>
      <c r="G742" s="29"/>
      <c r="O742" s="29"/>
    </row>
    <row r="743">
      <c r="C743" s="29"/>
      <c r="D743" s="29"/>
      <c r="E743" s="29"/>
      <c r="F743" s="29"/>
      <c r="G743" s="29"/>
      <c r="O743" s="29"/>
    </row>
    <row r="744">
      <c r="C744" s="29"/>
      <c r="D744" s="29"/>
      <c r="E744" s="29"/>
      <c r="F744" s="29"/>
      <c r="G744" s="29"/>
      <c r="O744" s="29"/>
    </row>
    <row r="745">
      <c r="C745" s="29"/>
      <c r="D745" s="29"/>
      <c r="E745" s="29"/>
      <c r="F745" s="29"/>
      <c r="G745" s="29"/>
      <c r="O745" s="29"/>
    </row>
    <row r="746">
      <c r="C746" s="29"/>
      <c r="D746" s="29"/>
      <c r="E746" s="29"/>
      <c r="F746" s="29"/>
      <c r="G746" s="29"/>
      <c r="O746" s="29"/>
    </row>
    <row r="747">
      <c r="C747" s="29"/>
      <c r="D747" s="29"/>
      <c r="E747" s="29"/>
      <c r="F747" s="29"/>
      <c r="G747" s="29"/>
      <c r="O747" s="29"/>
    </row>
    <row r="748">
      <c r="C748" s="29"/>
      <c r="D748" s="29"/>
      <c r="E748" s="29"/>
      <c r="F748" s="29"/>
      <c r="G748" s="29"/>
      <c r="O748" s="29"/>
    </row>
    <row r="749">
      <c r="C749" s="29"/>
      <c r="D749" s="29"/>
      <c r="E749" s="29"/>
      <c r="F749" s="29"/>
      <c r="G749" s="29"/>
      <c r="O749" s="29"/>
    </row>
    <row r="750">
      <c r="C750" s="29"/>
      <c r="D750" s="29"/>
      <c r="E750" s="29"/>
      <c r="F750" s="29"/>
      <c r="G750" s="29"/>
      <c r="O750" s="29"/>
    </row>
    <row r="751">
      <c r="C751" s="29"/>
      <c r="D751" s="29"/>
      <c r="E751" s="29"/>
      <c r="F751" s="29"/>
      <c r="G751" s="29"/>
      <c r="O751" s="29"/>
    </row>
    <row r="752">
      <c r="C752" s="29"/>
      <c r="D752" s="29"/>
      <c r="E752" s="29"/>
      <c r="F752" s="29"/>
      <c r="G752" s="29"/>
      <c r="O752" s="29"/>
    </row>
    <row r="753">
      <c r="C753" s="29"/>
      <c r="D753" s="29"/>
      <c r="E753" s="29"/>
      <c r="F753" s="29"/>
      <c r="G753" s="29"/>
      <c r="O753" s="29"/>
    </row>
    <row r="754">
      <c r="C754" s="29"/>
      <c r="D754" s="29"/>
      <c r="E754" s="29"/>
      <c r="F754" s="29"/>
      <c r="G754" s="29"/>
      <c r="O754" s="29"/>
    </row>
    <row r="755">
      <c r="C755" s="29"/>
      <c r="D755" s="29"/>
      <c r="E755" s="29"/>
      <c r="F755" s="29"/>
      <c r="G755" s="29"/>
      <c r="O755" s="29"/>
    </row>
    <row r="756">
      <c r="C756" s="29"/>
      <c r="D756" s="29"/>
      <c r="E756" s="29"/>
      <c r="F756" s="29"/>
      <c r="G756" s="29"/>
      <c r="O756" s="29"/>
    </row>
    <row r="757">
      <c r="C757" s="29"/>
      <c r="D757" s="29"/>
      <c r="E757" s="29"/>
      <c r="F757" s="29"/>
      <c r="G757" s="29"/>
      <c r="O757" s="29"/>
    </row>
    <row r="758">
      <c r="C758" s="29"/>
      <c r="D758" s="29"/>
      <c r="E758" s="29"/>
      <c r="F758" s="29"/>
      <c r="G758" s="29"/>
      <c r="O758" s="29"/>
    </row>
    <row r="759">
      <c r="C759" s="29"/>
      <c r="D759" s="29"/>
      <c r="E759" s="29"/>
      <c r="F759" s="29"/>
      <c r="G759" s="29"/>
      <c r="O759" s="29"/>
    </row>
    <row r="760">
      <c r="C760" s="29"/>
      <c r="D760" s="29"/>
      <c r="E760" s="29"/>
      <c r="F760" s="29"/>
      <c r="G760" s="29"/>
      <c r="O760" s="29"/>
    </row>
    <row r="761">
      <c r="C761" s="29"/>
      <c r="D761" s="29"/>
      <c r="E761" s="29"/>
      <c r="F761" s="29"/>
      <c r="G761" s="29"/>
      <c r="O761" s="29"/>
    </row>
    <row r="762">
      <c r="C762" s="29"/>
      <c r="D762" s="29"/>
      <c r="E762" s="29"/>
      <c r="F762" s="29"/>
      <c r="G762" s="29"/>
      <c r="O762" s="29"/>
    </row>
    <row r="763">
      <c r="C763" s="29"/>
      <c r="D763" s="29"/>
      <c r="E763" s="29"/>
      <c r="F763" s="29"/>
      <c r="G763" s="29"/>
      <c r="O763" s="29"/>
    </row>
    <row r="764">
      <c r="C764" s="29"/>
      <c r="D764" s="29"/>
      <c r="E764" s="29"/>
      <c r="F764" s="29"/>
      <c r="G764" s="29"/>
      <c r="O764" s="29"/>
    </row>
    <row r="765">
      <c r="C765" s="29"/>
      <c r="D765" s="29"/>
      <c r="E765" s="29"/>
      <c r="F765" s="29"/>
      <c r="G765" s="29"/>
      <c r="O765" s="29"/>
    </row>
    <row r="766">
      <c r="C766" s="29"/>
      <c r="D766" s="29"/>
      <c r="E766" s="29"/>
      <c r="F766" s="29"/>
      <c r="G766" s="29"/>
      <c r="O766" s="29"/>
    </row>
    <row r="767">
      <c r="C767" s="29"/>
      <c r="D767" s="29"/>
      <c r="E767" s="29"/>
      <c r="F767" s="29"/>
      <c r="G767" s="29"/>
      <c r="O767" s="29"/>
    </row>
    <row r="768">
      <c r="C768" s="29"/>
      <c r="D768" s="29"/>
      <c r="E768" s="29"/>
      <c r="F768" s="29"/>
      <c r="G768" s="29"/>
      <c r="O768" s="29"/>
    </row>
    <row r="769">
      <c r="C769" s="29"/>
      <c r="D769" s="29"/>
      <c r="E769" s="29"/>
      <c r="F769" s="29"/>
      <c r="G769" s="29"/>
      <c r="O769" s="29"/>
    </row>
    <row r="770">
      <c r="C770" s="29"/>
      <c r="D770" s="29"/>
      <c r="E770" s="29"/>
      <c r="F770" s="29"/>
      <c r="G770" s="29"/>
      <c r="O770" s="29"/>
    </row>
    <row r="771">
      <c r="C771" s="29"/>
      <c r="D771" s="29"/>
      <c r="E771" s="29"/>
      <c r="F771" s="29"/>
      <c r="G771" s="29"/>
      <c r="O771" s="29"/>
    </row>
    <row r="772">
      <c r="C772" s="29"/>
      <c r="D772" s="29"/>
      <c r="E772" s="29"/>
      <c r="F772" s="29"/>
      <c r="G772" s="29"/>
      <c r="O772" s="29"/>
    </row>
    <row r="773">
      <c r="C773" s="29"/>
      <c r="D773" s="29"/>
      <c r="E773" s="29"/>
      <c r="F773" s="29"/>
      <c r="G773" s="29"/>
      <c r="O773" s="29"/>
    </row>
    <row r="774">
      <c r="C774" s="29"/>
      <c r="D774" s="29"/>
      <c r="E774" s="29"/>
      <c r="F774" s="29"/>
      <c r="G774" s="29"/>
      <c r="O774" s="29"/>
    </row>
    <row r="775">
      <c r="C775" s="29"/>
      <c r="D775" s="29"/>
      <c r="E775" s="29"/>
      <c r="F775" s="29"/>
      <c r="G775" s="29"/>
      <c r="O775" s="29"/>
    </row>
    <row r="776">
      <c r="C776" s="29"/>
      <c r="D776" s="29"/>
      <c r="E776" s="29"/>
      <c r="F776" s="29"/>
      <c r="G776" s="29"/>
      <c r="O776" s="29"/>
    </row>
    <row r="777">
      <c r="C777" s="29"/>
      <c r="D777" s="29"/>
      <c r="E777" s="29"/>
      <c r="F777" s="29"/>
      <c r="G777" s="29"/>
      <c r="O777" s="29"/>
    </row>
    <row r="778">
      <c r="C778" s="29"/>
      <c r="D778" s="29"/>
      <c r="E778" s="29"/>
      <c r="F778" s="29"/>
      <c r="G778" s="29"/>
      <c r="O778" s="29"/>
    </row>
    <row r="779">
      <c r="C779" s="29"/>
      <c r="D779" s="29"/>
      <c r="E779" s="29"/>
      <c r="F779" s="29"/>
      <c r="G779" s="29"/>
      <c r="O779" s="29"/>
    </row>
    <row r="780">
      <c r="C780" s="29"/>
      <c r="D780" s="29"/>
      <c r="E780" s="29"/>
      <c r="F780" s="29"/>
      <c r="G780" s="29"/>
      <c r="O780" s="29"/>
    </row>
    <row r="781">
      <c r="C781" s="29"/>
      <c r="D781" s="29"/>
      <c r="E781" s="29"/>
      <c r="F781" s="29"/>
      <c r="G781" s="29"/>
      <c r="O781" s="29"/>
    </row>
    <row r="782">
      <c r="C782" s="29"/>
      <c r="D782" s="29"/>
      <c r="E782" s="29"/>
      <c r="F782" s="29"/>
      <c r="G782" s="29"/>
      <c r="O782" s="29"/>
    </row>
    <row r="783">
      <c r="C783" s="29"/>
      <c r="D783" s="29"/>
      <c r="E783" s="29"/>
      <c r="F783" s="29"/>
      <c r="G783" s="29"/>
      <c r="O783" s="29"/>
    </row>
    <row r="784">
      <c r="C784" s="29"/>
      <c r="D784" s="29"/>
      <c r="E784" s="29"/>
      <c r="F784" s="29"/>
      <c r="G784" s="29"/>
      <c r="O784" s="29"/>
    </row>
    <row r="785">
      <c r="C785" s="29"/>
      <c r="D785" s="29"/>
      <c r="E785" s="29"/>
      <c r="F785" s="29"/>
      <c r="G785" s="29"/>
      <c r="O785" s="29"/>
    </row>
    <row r="786">
      <c r="C786" s="29"/>
      <c r="D786" s="29"/>
      <c r="E786" s="29"/>
      <c r="F786" s="29"/>
      <c r="G786" s="29"/>
      <c r="O786" s="29"/>
    </row>
    <row r="787">
      <c r="C787" s="29"/>
      <c r="D787" s="29"/>
      <c r="E787" s="29"/>
      <c r="F787" s="29"/>
      <c r="G787" s="29"/>
      <c r="O787" s="29"/>
    </row>
    <row r="788">
      <c r="C788" s="29"/>
      <c r="D788" s="29"/>
      <c r="E788" s="29"/>
      <c r="F788" s="29"/>
      <c r="G788" s="29"/>
      <c r="O788" s="29"/>
    </row>
    <row r="789">
      <c r="C789" s="29"/>
      <c r="D789" s="29"/>
      <c r="E789" s="29"/>
      <c r="F789" s="29"/>
      <c r="G789" s="29"/>
      <c r="O789" s="29"/>
    </row>
    <row r="790">
      <c r="C790" s="29"/>
      <c r="D790" s="29"/>
      <c r="E790" s="29"/>
      <c r="F790" s="29"/>
      <c r="G790" s="29"/>
      <c r="O790" s="29"/>
    </row>
    <row r="791">
      <c r="C791" s="29"/>
      <c r="D791" s="29"/>
      <c r="E791" s="29"/>
      <c r="F791" s="29"/>
      <c r="G791" s="29"/>
      <c r="O791" s="29"/>
    </row>
    <row r="792">
      <c r="C792" s="29"/>
      <c r="D792" s="29"/>
      <c r="E792" s="29"/>
      <c r="F792" s="29"/>
      <c r="G792" s="29"/>
      <c r="O792" s="29"/>
    </row>
    <row r="793">
      <c r="C793" s="29"/>
      <c r="D793" s="29"/>
      <c r="E793" s="29"/>
      <c r="F793" s="29"/>
      <c r="G793" s="29"/>
      <c r="O793" s="29"/>
    </row>
    <row r="794">
      <c r="C794" s="29"/>
      <c r="D794" s="29"/>
      <c r="E794" s="29"/>
      <c r="F794" s="29"/>
      <c r="G794" s="29"/>
      <c r="O794" s="29"/>
    </row>
    <row r="795">
      <c r="C795" s="29"/>
      <c r="D795" s="29"/>
      <c r="E795" s="29"/>
      <c r="F795" s="29"/>
      <c r="G795" s="29"/>
      <c r="O795" s="29"/>
    </row>
    <row r="796">
      <c r="C796" s="29"/>
      <c r="D796" s="29"/>
      <c r="E796" s="29"/>
      <c r="F796" s="29"/>
      <c r="G796" s="29"/>
      <c r="O796" s="29"/>
    </row>
    <row r="797">
      <c r="C797" s="29"/>
      <c r="D797" s="29"/>
      <c r="E797" s="29"/>
      <c r="F797" s="29"/>
      <c r="G797" s="29"/>
      <c r="O797" s="29"/>
    </row>
    <row r="798">
      <c r="C798" s="29"/>
      <c r="D798" s="29"/>
      <c r="E798" s="29"/>
      <c r="F798" s="29"/>
      <c r="G798" s="29"/>
      <c r="O798" s="29"/>
    </row>
    <row r="799">
      <c r="C799" s="29"/>
      <c r="D799" s="29"/>
      <c r="E799" s="29"/>
      <c r="F799" s="29"/>
      <c r="G799" s="29"/>
      <c r="O799" s="29"/>
    </row>
    <row r="800">
      <c r="C800" s="29"/>
      <c r="D800" s="29"/>
      <c r="E800" s="29"/>
      <c r="F800" s="29"/>
      <c r="G800" s="29"/>
      <c r="O800" s="29"/>
    </row>
    <row r="801">
      <c r="C801" s="29"/>
      <c r="D801" s="29"/>
      <c r="E801" s="29"/>
      <c r="F801" s="29"/>
      <c r="G801" s="29"/>
      <c r="O801" s="29"/>
    </row>
    <row r="802">
      <c r="C802" s="29"/>
      <c r="D802" s="29"/>
      <c r="E802" s="29"/>
      <c r="F802" s="29"/>
      <c r="G802" s="29"/>
      <c r="O802" s="29"/>
    </row>
    <row r="803">
      <c r="C803" s="29"/>
      <c r="D803" s="29"/>
      <c r="E803" s="29"/>
      <c r="F803" s="29"/>
      <c r="G803" s="29"/>
      <c r="O803" s="29"/>
    </row>
    <row r="804">
      <c r="C804" s="29"/>
      <c r="D804" s="29"/>
      <c r="E804" s="29"/>
      <c r="F804" s="29"/>
      <c r="G804" s="29"/>
      <c r="O804" s="29"/>
    </row>
    <row r="805">
      <c r="C805" s="29"/>
      <c r="D805" s="29"/>
      <c r="E805" s="29"/>
      <c r="F805" s="29"/>
      <c r="G805" s="29"/>
      <c r="O805" s="29"/>
    </row>
    <row r="806">
      <c r="C806" s="29"/>
      <c r="D806" s="29"/>
      <c r="E806" s="29"/>
      <c r="F806" s="29"/>
      <c r="G806" s="29"/>
      <c r="O806" s="29"/>
    </row>
    <row r="807">
      <c r="C807" s="29"/>
      <c r="D807" s="29"/>
      <c r="E807" s="29"/>
      <c r="F807" s="29"/>
      <c r="G807" s="29"/>
      <c r="O807" s="29"/>
    </row>
    <row r="808">
      <c r="C808" s="29"/>
      <c r="D808" s="29"/>
      <c r="E808" s="29"/>
      <c r="F808" s="29"/>
      <c r="G808" s="29"/>
      <c r="O808" s="29"/>
    </row>
    <row r="809">
      <c r="C809" s="29"/>
      <c r="D809" s="29"/>
      <c r="E809" s="29"/>
      <c r="F809" s="29"/>
      <c r="G809" s="29"/>
      <c r="O809" s="29"/>
    </row>
    <row r="810">
      <c r="C810" s="29"/>
      <c r="D810" s="29"/>
      <c r="E810" s="29"/>
      <c r="F810" s="29"/>
      <c r="G810" s="29"/>
      <c r="O810" s="29"/>
    </row>
    <row r="811">
      <c r="C811" s="29"/>
      <c r="D811" s="29"/>
      <c r="E811" s="29"/>
      <c r="F811" s="29"/>
      <c r="G811" s="29"/>
      <c r="O811" s="29"/>
    </row>
    <row r="812">
      <c r="C812" s="29"/>
      <c r="D812" s="29"/>
      <c r="E812" s="29"/>
      <c r="F812" s="29"/>
      <c r="G812" s="29"/>
      <c r="O812" s="29"/>
    </row>
    <row r="813">
      <c r="C813" s="29"/>
      <c r="D813" s="29"/>
      <c r="E813" s="29"/>
      <c r="F813" s="29"/>
      <c r="G813" s="29"/>
      <c r="O813" s="29"/>
    </row>
    <row r="814">
      <c r="C814" s="29"/>
      <c r="D814" s="29"/>
      <c r="E814" s="29"/>
      <c r="F814" s="29"/>
      <c r="G814" s="29"/>
      <c r="O814" s="29"/>
    </row>
    <row r="815">
      <c r="C815" s="29"/>
      <c r="D815" s="29"/>
      <c r="E815" s="29"/>
      <c r="F815" s="29"/>
      <c r="G815" s="29"/>
      <c r="O815" s="29"/>
    </row>
    <row r="816">
      <c r="C816" s="29"/>
      <c r="D816" s="29"/>
      <c r="E816" s="29"/>
      <c r="F816" s="29"/>
      <c r="G816" s="29"/>
      <c r="O816" s="29"/>
    </row>
    <row r="817">
      <c r="C817" s="29"/>
      <c r="D817" s="29"/>
      <c r="E817" s="29"/>
      <c r="F817" s="29"/>
      <c r="G817" s="29"/>
      <c r="O817" s="29"/>
    </row>
    <row r="818">
      <c r="C818" s="29"/>
      <c r="D818" s="29"/>
      <c r="E818" s="29"/>
      <c r="F818" s="29"/>
      <c r="G818" s="29"/>
      <c r="O818" s="29"/>
    </row>
    <row r="819">
      <c r="C819" s="29"/>
      <c r="D819" s="29"/>
      <c r="E819" s="29"/>
      <c r="F819" s="29"/>
      <c r="G819" s="29"/>
      <c r="O819" s="29"/>
    </row>
    <row r="820">
      <c r="C820" s="29"/>
      <c r="D820" s="29"/>
      <c r="E820" s="29"/>
      <c r="F820" s="29"/>
      <c r="G820" s="29"/>
      <c r="O820" s="29"/>
    </row>
    <row r="821">
      <c r="C821" s="29"/>
      <c r="D821" s="29"/>
      <c r="E821" s="29"/>
      <c r="F821" s="29"/>
      <c r="G821" s="29"/>
      <c r="O821" s="29"/>
    </row>
    <row r="822">
      <c r="C822" s="29"/>
      <c r="D822" s="29"/>
      <c r="E822" s="29"/>
      <c r="F822" s="29"/>
      <c r="G822" s="29"/>
      <c r="O822" s="29"/>
    </row>
    <row r="823">
      <c r="C823" s="29"/>
      <c r="D823" s="29"/>
      <c r="E823" s="29"/>
      <c r="F823" s="29"/>
      <c r="G823" s="29"/>
      <c r="O823" s="29"/>
    </row>
    <row r="824">
      <c r="C824" s="29"/>
      <c r="D824" s="29"/>
      <c r="E824" s="29"/>
      <c r="F824" s="29"/>
      <c r="G824" s="29"/>
      <c r="O824" s="29"/>
    </row>
    <row r="825">
      <c r="C825" s="29"/>
      <c r="D825" s="29"/>
      <c r="E825" s="29"/>
      <c r="F825" s="29"/>
      <c r="G825" s="29"/>
      <c r="O825" s="29"/>
    </row>
    <row r="826">
      <c r="C826" s="29"/>
      <c r="D826" s="29"/>
      <c r="E826" s="29"/>
      <c r="F826" s="29"/>
      <c r="G826" s="29"/>
      <c r="O826" s="29"/>
    </row>
    <row r="827">
      <c r="C827" s="29"/>
      <c r="D827" s="29"/>
      <c r="E827" s="29"/>
      <c r="F827" s="29"/>
      <c r="G827" s="29"/>
      <c r="O827" s="29"/>
    </row>
    <row r="828">
      <c r="C828" s="29"/>
      <c r="D828" s="29"/>
      <c r="E828" s="29"/>
      <c r="F828" s="29"/>
      <c r="G828" s="29"/>
      <c r="O828" s="29"/>
    </row>
    <row r="829">
      <c r="C829" s="29"/>
      <c r="D829" s="29"/>
      <c r="E829" s="29"/>
      <c r="F829" s="29"/>
      <c r="G829" s="29"/>
      <c r="O829" s="29"/>
    </row>
    <row r="830">
      <c r="C830" s="29"/>
      <c r="D830" s="29"/>
      <c r="E830" s="29"/>
      <c r="F830" s="29"/>
      <c r="G830" s="29"/>
      <c r="O830" s="29"/>
    </row>
    <row r="831">
      <c r="C831" s="29"/>
      <c r="D831" s="29"/>
      <c r="E831" s="29"/>
      <c r="F831" s="29"/>
      <c r="G831" s="29"/>
      <c r="O831" s="29"/>
    </row>
    <row r="832">
      <c r="C832" s="29"/>
      <c r="D832" s="29"/>
      <c r="E832" s="29"/>
      <c r="F832" s="29"/>
      <c r="G832" s="29"/>
      <c r="O832" s="29"/>
    </row>
    <row r="833">
      <c r="C833" s="29"/>
      <c r="D833" s="29"/>
      <c r="E833" s="29"/>
      <c r="F833" s="29"/>
      <c r="G833" s="29"/>
      <c r="O833" s="29"/>
    </row>
    <row r="834">
      <c r="C834" s="29"/>
      <c r="D834" s="29"/>
      <c r="E834" s="29"/>
      <c r="F834" s="29"/>
      <c r="G834" s="29"/>
      <c r="O834" s="29"/>
    </row>
    <row r="835">
      <c r="C835" s="29"/>
      <c r="D835" s="29"/>
      <c r="E835" s="29"/>
      <c r="F835" s="29"/>
      <c r="G835" s="29"/>
      <c r="O835" s="29"/>
    </row>
    <row r="836">
      <c r="C836" s="29"/>
      <c r="D836" s="29"/>
      <c r="E836" s="29"/>
      <c r="F836" s="29"/>
      <c r="G836" s="29"/>
      <c r="O836" s="29"/>
    </row>
    <row r="837">
      <c r="C837" s="29"/>
      <c r="D837" s="29"/>
      <c r="E837" s="29"/>
      <c r="F837" s="29"/>
      <c r="G837" s="29"/>
      <c r="O837" s="29"/>
    </row>
    <row r="838">
      <c r="C838" s="29"/>
      <c r="D838" s="29"/>
      <c r="E838" s="29"/>
      <c r="F838" s="29"/>
      <c r="G838" s="29"/>
      <c r="O838" s="29"/>
    </row>
    <row r="839">
      <c r="C839" s="29"/>
      <c r="D839" s="29"/>
      <c r="E839" s="29"/>
      <c r="F839" s="29"/>
      <c r="G839" s="29"/>
      <c r="O839" s="29"/>
    </row>
    <row r="840">
      <c r="C840" s="29"/>
      <c r="D840" s="29"/>
      <c r="E840" s="29"/>
      <c r="F840" s="29"/>
      <c r="G840" s="29"/>
      <c r="O840" s="29"/>
    </row>
    <row r="841">
      <c r="C841" s="29"/>
      <c r="D841" s="29"/>
      <c r="E841" s="29"/>
      <c r="F841" s="29"/>
      <c r="G841" s="29"/>
      <c r="O841" s="29"/>
    </row>
    <row r="842">
      <c r="C842" s="29"/>
      <c r="D842" s="29"/>
      <c r="E842" s="29"/>
      <c r="F842" s="29"/>
      <c r="G842" s="29"/>
      <c r="O842" s="29"/>
    </row>
    <row r="843">
      <c r="C843" s="29"/>
      <c r="D843" s="29"/>
      <c r="E843" s="29"/>
      <c r="F843" s="29"/>
      <c r="G843" s="29"/>
      <c r="O843" s="29"/>
    </row>
    <row r="844">
      <c r="C844" s="29"/>
      <c r="D844" s="29"/>
      <c r="E844" s="29"/>
      <c r="F844" s="29"/>
      <c r="G844" s="29"/>
      <c r="O844" s="29"/>
    </row>
    <row r="845">
      <c r="C845" s="29"/>
      <c r="D845" s="29"/>
      <c r="E845" s="29"/>
      <c r="F845" s="29"/>
      <c r="G845" s="29"/>
      <c r="O845" s="29"/>
    </row>
    <row r="846">
      <c r="C846" s="29"/>
      <c r="D846" s="29"/>
      <c r="E846" s="29"/>
      <c r="F846" s="29"/>
      <c r="G846" s="29"/>
      <c r="O846" s="29"/>
    </row>
    <row r="847">
      <c r="C847" s="29"/>
      <c r="D847" s="29"/>
      <c r="E847" s="29"/>
      <c r="F847" s="29"/>
      <c r="G847" s="29"/>
      <c r="O847" s="29"/>
    </row>
    <row r="848">
      <c r="C848" s="29"/>
      <c r="D848" s="29"/>
      <c r="E848" s="29"/>
      <c r="F848" s="29"/>
      <c r="G848" s="29"/>
      <c r="O848" s="29"/>
    </row>
    <row r="849">
      <c r="C849" s="29"/>
      <c r="D849" s="29"/>
      <c r="E849" s="29"/>
      <c r="F849" s="29"/>
      <c r="G849" s="29"/>
      <c r="O849" s="29"/>
    </row>
    <row r="850">
      <c r="C850" s="29"/>
      <c r="D850" s="29"/>
      <c r="E850" s="29"/>
      <c r="F850" s="29"/>
      <c r="G850" s="29"/>
      <c r="O850" s="29"/>
    </row>
    <row r="851">
      <c r="C851" s="29"/>
      <c r="D851" s="29"/>
      <c r="E851" s="29"/>
      <c r="F851" s="29"/>
      <c r="G851" s="29"/>
      <c r="O851" s="29"/>
    </row>
    <row r="852">
      <c r="C852" s="29"/>
      <c r="D852" s="29"/>
      <c r="E852" s="29"/>
      <c r="F852" s="29"/>
      <c r="G852" s="29"/>
      <c r="O852" s="29"/>
    </row>
    <row r="853">
      <c r="C853" s="29"/>
      <c r="D853" s="29"/>
      <c r="E853" s="29"/>
      <c r="F853" s="29"/>
      <c r="G853" s="29"/>
      <c r="O853" s="29"/>
    </row>
    <row r="854">
      <c r="C854" s="29"/>
      <c r="D854" s="29"/>
      <c r="E854" s="29"/>
      <c r="F854" s="29"/>
      <c r="G854" s="29"/>
      <c r="O854" s="29"/>
    </row>
    <row r="855">
      <c r="C855" s="29"/>
      <c r="D855" s="29"/>
      <c r="E855" s="29"/>
      <c r="F855" s="29"/>
      <c r="G855" s="29"/>
      <c r="O855" s="29"/>
    </row>
    <row r="856">
      <c r="C856" s="29"/>
      <c r="D856" s="29"/>
      <c r="E856" s="29"/>
      <c r="F856" s="29"/>
      <c r="G856" s="29"/>
      <c r="O856" s="29"/>
    </row>
    <row r="857">
      <c r="C857" s="29"/>
      <c r="D857" s="29"/>
      <c r="E857" s="29"/>
      <c r="F857" s="29"/>
      <c r="G857" s="29"/>
      <c r="O857" s="29"/>
    </row>
    <row r="858">
      <c r="C858" s="29"/>
      <c r="D858" s="29"/>
      <c r="E858" s="29"/>
      <c r="F858" s="29"/>
      <c r="G858" s="29"/>
      <c r="O858" s="29"/>
    </row>
    <row r="859">
      <c r="C859" s="29"/>
      <c r="D859" s="29"/>
      <c r="E859" s="29"/>
      <c r="F859" s="29"/>
      <c r="G859" s="29"/>
      <c r="O859" s="29"/>
    </row>
    <row r="860">
      <c r="C860" s="29"/>
      <c r="D860" s="29"/>
      <c r="E860" s="29"/>
      <c r="F860" s="29"/>
      <c r="G860" s="29"/>
      <c r="O860" s="29"/>
    </row>
    <row r="861">
      <c r="C861" s="29"/>
      <c r="D861" s="29"/>
      <c r="E861" s="29"/>
      <c r="F861" s="29"/>
      <c r="G861" s="29"/>
      <c r="O861" s="29"/>
    </row>
    <row r="862">
      <c r="C862" s="29"/>
      <c r="D862" s="29"/>
      <c r="E862" s="29"/>
      <c r="F862" s="29"/>
      <c r="G862" s="29"/>
      <c r="O862" s="29"/>
    </row>
    <row r="863">
      <c r="C863" s="29"/>
      <c r="D863" s="29"/>
      <c r="E863" s="29"/>
      <c r="F863" s="29"/>
      <c r="G863" s="29"/>
      <c r="O863" s="29"/>
    </row>
    <row r="864">
      <c r="C864" s="29"/>
      <c r="D864" s="29"/>
      <c r="E864" s="29"/>
      <c r="F864" s="29"/>
      <c r="G864" s="29"/>
      <c r="O864" s="29"/>
    </row>
    <row r="865">
      <c r="C865" s="29"/>
      <c r="D865" s="29"/>
      <c r="E865" s="29"/>
      <c r="F865" s="29"/>
      <c r="G865" s="29"/>
      <c r="O865" s="29"/>
    </row>
    <row r="866">
      <c r="C866" s="29"/>
      <c r="D866" s="29"/>
      <c r="E866" s="29"/>
      <c r="F866" s="29"/>
      <c r="G866" s="29"/>
      <c r="O866" s="29"/>
    </row>
    <row r="867">
      <c r="C867" s="29"/>
      <c r="D867" s="29"/>
      <c r="E867" s="29"/>
      <c r="F867" s="29"/>
      <c r="G867" s="29"/>
      <c r="O867" s="29"/>
    </row>
    <row r="868">
      <c r="C868" s="29"/>
      <c r="D868" s="29"/>
      <c r="E868" s="29"/>
      <c r="F868" s="29"/>
      <c r="G868" s="29"/>
      <c r="O868" s="29"/>
    </row>
    <row r="869">
      <c r="C869" s="29"/>
      <c r="D869" s="29"/>
      <c r="E869" s="29"/>
      <c r="F869" s="29"/>
      <c r="G869" s="29"/>
      <c r="O869" s="29"/>
    </row>
    <row r="870">
      <c r="C870" s="29"/>
      <c r="D870" s="29"/>
      <c r="E870" s="29"/>
      <c r="F870" s="29"/>
      <c r="G870" s="29"/>
      <c r="O870" s="29"/>
    </row>
    <row r="871">
      <c r="C871" s="29"/>
      <c r="D871" s="29"/>
      <c r="E871" s="29"/>
      <c r="F871" s="29"/>
      <c r="G871" s="29"/>
      <c r="O871" s="29"/>
    </row>
    <row r="872">
      <c r="C872" s="29"/>
      <c r="D872" s="29"/>
      <c r="E872" s="29"/>
      <c r="F872" s="29"/>
      <c r="G872" s="29"/>
      <c r="O872" s="29"/>
    </row>
    <row r="873">
      <c r="C873" s="29"/>
      <c r="D873" s="29"/>
      <c r="E873" s="29"/>
      <c r="F873" s="29"/>
      <c r="G873" s="29"/>
      <c r="O873" s="29"/>
    </row>
    <row r="874">
      <c r="C874" s="29"/>
      <c r="D874" s="29"/>
      <c r="E874" s="29"/>
      <c r="F874" s="29"/>
      <c r="G874" s="29"/>
      <c r="O874" s="29"/>
    </row>
    <row r="875">
      <c r="C875" s="29"/>
      <c r="D875" s="29"/>
      <c r="E875" s="29"/>
      <c r="F875" s="29"/>
      <c r="G875" s="29"/>
      <c r="O875" s="29"/>
    </row>
    <row r="876">
      <c r="C876" s="29"/>
      <c r="D876" s="29"/>
      <c r="E876" s="29"/>
      <c r="F876" s="29"/>
      <c r="G876" s="29"/>
      <c r="O876" s="29"/>
    </row>
    <row r="877">
      <c r="C877" s="29"/>
      <c r="D877" s="29"/>
      <c r="E877" s="29"/>
      <c r="F877" s="29"/>
      <c r="G877" s="29"/>
      <c r="O877" s="29"/>
    </row>
    <row r="878">
      <c r="C878" s="29"/>
      <c r="D878" s="29"/>
      <c r="E878" s="29"/>
      <c r="F878" s="29"/>
      <c r="G878" s="29"/>
      <c r="O878" s="29"/>
    </row>
    <row r="879">
      <c r="C879" s="29"/>
      <c r="D879" s="29"/>
      <c r="E879" s="29"/>
      <c r="F879" s="29"/>
      <c r="G879" s="29"/>
      <c r="O879" s="29"/>
    </row>
    <row r="880">
      <c r="C880" s="29"/>
      <c r="D880" s="29"/>
      <c r="E880" s="29"/>
      <c r="F880" s="29"/>
      <c r="G880" s="29"/>
      <c r="O880" s="29"/>
    </row>
    <row r="881">
      <c r="C881" s="29"/>
      <c r="D881" s="29"/>
      <c r="E881" s="29"/>
      <c r="F881" s="29"/>
      <c r="G881" s="29"/>
      <c r="O881" s="29"/>
    </row>
    <row r="882">
      <c r="C882" s="29"/>
      <c r="D882" s="29"/>
      <c r="E882" s="29"/>
      <c r="F882" s="29"/>
      <c r="G882" s="29"/>
      <c r="O882" s="29"/>
    </row>
    <row r="883">
      <c r="C883" s="29"/>
      <c r="D883" s="29"/>
      <c r="E883" s="29"/>
      <c r="F883" s="29"/>
      <c r="G883" s="29"/>
      <c r="O883" s="29"/>
    </row>
    <row r="884">
      <c r="C884" s="29"/>
      <c r="D884" s="29"/>
      <c r="E884" s="29"/>
      <c r="F884" s="29"/>
      <c r="G884" s="29"/>
      <c r="O884" s="29"/>
    </row>
    <row r="885">
      <c r="C885" s="29"/>
      <c r="D885" s="29"/>
      <c r="E885" s="29"/>
      <c r="F885" s="29"/>
      <c r="G885" s="29"/>
      <c r="O885" s="29"/>
    </row>
    <row r="886">
      <c r="C886" s="29"/>
      <c r="D886" s="29"/>
      <c r="E886" s="29"/>
      <c r="F886" s="29"/>
      <c r="G886" s="29"/>
      <c r="O886" s="29"/>
    </row>
    <row r="887">
      <c r="C887" s="29"/>
      <c r="D887" s="29"/>
      <c r="E887" s="29"/>
      <c r="F887" s="29"/>
      <c r="G887" s="29"/>
      <c r="O887" s="29"/>
    </row>
    <row r="888">
      <c r="C888" s="29"/>
      <c r="D888" s="29"/>
      <c r="E888" s="29"/>
      <c r="F888" s="29"/>
      <c r="G888" s="29"/>
      <c r="O888" s="29"/>
    </row>
    <row r="889">
      <c r="C889" s="29"/>
      <c r="D889" s="29"/>
      <c r="E889" s="29"/>
      <c r="F889" s="29"/>
      <c r="G889" s="29"/>
      <c r="O889" s="29"/>
    </row>
    <row r="890">
      <c r="C890" s="29"/>
      <c r="D890" s="29"/>
      <c r="E890" s="29"/>
      <c r="F890" s="29"/>
      <c r="G890" s="29"/>
      <c r="O890" s="29"/>
    </row>
    <row r="891">
      <c r="C891" s="29"/>
      <c r="D891" s="29"/>
      <c r="E891" s="29"/>
      <c r="F891" s="29"/>
      <c r="G891" s="29"/>
      <c r="O891" s="29"/>
    </row>
    <row r="892">
      <c r="C892" s="29"/>
      <c r="D892" s="29"/>
      <c r="E892" s="29"/>
      <c r="F892" s="29"/>
      <c r="G892" s="29"/>
      <c r="O892" s="29"/>
    </row>
    <row r="893">
      <c r="C893" s="29"/>
      <c r="D893" s="29"/>
      <c r="E893" s="29"/>
      <c r="F893" s="29"/>
      <c r="G893" s="29"/>
      <c r="O893" s="29"/>
    </row>
    <row r="894">
      <c r="C894" s="29"/>
      <c r="D894" s="29"/>
      <c r="E894" s="29"/>
      <c r="F894" s="29"/>
      <c r="G894" s="29"/>
      <c r="O894" s="29"/>
    </row>
    <row r="895">
      <c r="C895" s="29"/>
      <c r="D895" s="29"/>
      <c r="E895" s="29"/>
      <c r="F895" s="29"/>
      <c r="G895" s="29"/>
      <c r="O895" s="29"/>
    </row>
    <row r="896">
      <c r="C896" s="29"/>
      <c r="D896" s="29"/>
      <c r="E896" s="29"/>
      <c r="F896" s="29"/>
      <c r="G896" s="29"/>
      <c r="O896" s="29"/>
    </row>
    <row r="897">
      <c r="C897" s="29"/>
      <c r="D897" s="29"/>
      <c r="E897" s="29"/>
      <c r="F897" s="29"/>
      <c r="G897" s="29"/>
      <c r="O897" s="29"/>
    </row>
    <row r="898">
      <c r="C898" s="29"/>
      <c r="D898" s="29"/>
      <c r="E898" s="29"/>
      <c r="F898" s="29"/>
      <c r="G898" s="29"/>
      <c r="O898" s="29"/>
    </row>
    <row r="899">
      <c r="C899" s="29"/>
      <c r="D899" s="29"/>
      <c r="E899" s="29"/>
      <c r="F899" s="29"/>
      <c r="G899" s="29"/>
      <c r="O899" s="29"/>
    </row>
    <row r="900">
      <c r="C900" s="29"/>
      <c r="D900" s="29"/>
      <c r="E900" s="29"/>
      <c r="F900" s="29"/>
      <c r="G900" s="29"/>
      <c r="O900" s="29"/>
    </row>
    <row r="901">
      <c r="C901" s="29"/>
      <c r="D901" s="29"/>
      <c r="E901" s="29"/>
      <c r="F901" s="29"/>
      <c r="G901" s="29"/>
      <c r="O901" s="29"/>
    </row>
    <row r="902">
      <c r="C902" s="29"/>
      <c r="D902" s="29"/>
      <c r="E902" s="29"/>
      <c r="F902" s="29"/>
      <c r="G902" s="29"/>
      <c r="O902" s="29"/>
    </row>
    <row r="903">
      <c r="C903" s="29"/>
      <c r="D903" s="29"/>
      <c r="E903" s="29"/>
      <c r="F903" s="29"/>
      <c r="G903" s="29"/>
      <c r="O903" s="29"/>
    </row>
    <row r="904">
      <c r="C904" s="29"/>
      <c r="D904" s="29"/>
      <c r="E904" s="29"/>
      <c r="F904" s="29"/>
      <c r="G904" s="29"/>
      <c r="O904" s="29"/>
    </row>
    <row r="905">
      <c r="C905" s="29"/>
      <c r="D905" s="29"/>
      <c r="E905" s="29"/>
      <c r="F905" s="29"/>
      <c r="G905" s="29"/>
      <c r="O905" s="29"/>
    </row>
    <row r="906">
      <c r="C906" s="29"/>
      <c r="D906" s="29"/>
      <c r="E906" s="29"/>
      <c r="F906" s="29"/>
      <c r="G906" s="29"/>
      <c r="O906" s="29"/>
    </row>
    <row r="907">
      <c r="C907" s="29"/>
      <c r="D907" s="29"/>
      <c r="E907" s="29"/>
      <c r="F907" s="29"/>
      <c r="G907" s="29"/>
      <c r="O907" s="29"/>
    </row>
    <row r="908">
      <c r="C908" s="29"/>
      <c r="D908" s="29"/>
      <c r="E908" s="29"/>
      <c r="F908" s="29"/>
      <c r="G908" s="29"/>
      <c r="O908" s="29"/>
    </row>
    <row r="909">
      <c r="C909" s="29"/>
      <c r="D909" s="29"/>
      <c r="E909" s="29"/>
      <c r="F909" s="29"/>
      <c r="G909" s="29"/>
      <c r="O909" s="29"/>
    </row>
    <row r="910">
      <c r="C910" s="29"/>
      <c r="D910" s="29"/>
      <c r="E910" s="29"/>
      <c r="F910" s="29"/>
      <c r="G910" s="29"/>
      <c r="O910" s="29"/>
    </row>
    <row r="911">
      <c r="C911" s="29"/>
      <c r="D911" s="29"/>
      <c r="E911" s="29"/>
      <c r="F911" s="29"/>
      <c r="G911" s="29"/>
      <c r="O911" s="29"/>
    </row>
    <row r="912">
      <c r="C912" s="29"/>
      <c r="D912" s="29"/>
      <c r="E912" s="29"/>
      <c r="F912" s="29"/>
      <c r="G912" s="29"/>
      <c r="O912" s="29"/>
    </row>
    <row r="913">
      <c r="C913" s="29"/>
      <c r="D913" s="29"/>
      <c r="E913" s="29"/>
      <c r="F913" s="29"/>
      <c r="G913" s="29"/>
      <c r="O913" s="29"/>
    </row>
    <row r="914">
      <c r="C914" s="29"/>
      <c r="D914" s="29"/>
      <c r="E914" s="29"/>
      <c r="F914" s="29"/>
      <c r="G914" s="29"/>
      <c r="O914" s="29"/>
    </row>
    <row r="915">
      <c r="C915" s="29"/>
      <c r="D915" s="29"/>
      <c r="E915" s="29"/>
      <c r="F915" s="29"/>
      <c r="G915" s="29"/>
      <c r="O915" s="29"/>
    </row>
    <row r="916">
      <c r="C916" s="29"/>
      <c r="D916" s="29"/>
      <c r="E916" s="29"/>
      <c r="F916" s="29"/>
      <c r="G916" s="29"/>
      <c r="O916" s="29"/>
    </row>
    <row r="917">
      <c r="C917" s="29"/>
      <c r="D917" s="29"/>
      <c r="E917" s="29"/>
      <c r="F917" s="29"/>
      <c r="G917" s="29"/>
      <c r="O917" s="29"/>
    </row>
    <row r="918">
      <c r="C918" s="29"/>
      <c r="D918" s="29"/>
      <c r="E918" s="29"/>
      <c r="F918" s="29"/>
      <c r="G918" s="29"/>
      <c r="O918" s="29"/>
    </row>
    <row r="919">
      <c r="C919" s="29"/>
      <c r="D919" s="29"/>
      <c r="E919" s="29"/>
      <c r="F919" s="29"/>
      <c r="G919" s="29"/>
      <c r="O919" s="29"/>
    </row>
    <row r="920">
      <c r="C920" s="29"/>
      <c r="D920" s="29"/>
      <c r="E920" s="29"/>
      <c r="F920" s="29"/>
      <c r="G920" s="29"/>
      <c r="O920" s="29"/>
    </row>
    <row r="921">
      <c r="C921" s="29"/>
      <c r="D921" s="29"/>
      <c r="E921" s="29"/>
      <c r="F921" s="29"/>
      <c r="G921" s="29"/>
      <c r="O921" s="29"/>
    </row>
    <row r="922">
      <c r="C922" s="29"/>
      <c r="D922" s="29"/>
      <c r="E922" s="29"/>
      <c r="F922" s="29"/>
      <c r="G922" s="29"/>
      <c r="O922" s="29"/>
    </row>
    <row r="923">
      <c r="C923" s="29"/>
      <c r="D923" s="29"/>
      <c r="E923" s="29"/>
      <c r="F923" s="29"/>
      <c r="G923" s="29"/>
      <c r="O923" s="29"/>
    </row>
    <row r="924">
      <c r="C924" s="29"/>
      <c r="D924" s="29"/>
      <c r="E924" s="29"/>
      <c r="F924" s="29"/>
      <c r="G924" s="29"/>
      <c r="O924" s="29"/>
    </row>
    <row r="925">
      <c r="C925" s="29"/>
      <c r="D925" s="29"/>
      <c r="E925" s="29"/>
      <c r="F925" s="29"/>
      <c r="G925" s="29"/>
      <c r="O925" s="29"/>
    </row>
    <row r="926">
      <c r="C926" s="29"/>
      <c r="D926" s="29"/>
      <c r="E926" s="29"/>
      <c r="F926" s="29"/>
      <c r="G926" s="29"/>
      <c r="O926" s="29"/>
    </row>
    <row r="927">
      <c r="C927" s="29"/>
      <c r="D927" s="29"/>
      <c r="E927" s="29"/>
      <c r="F927" s="29"/>
      <c r="G927" s="29"/>
      <c r="O927" s="29"/>
    </row>
    <row r="928">
      <c r="C928" s="29"/>
      <c r="D928" s="29"/>
      <c r="E928" s="29"/>
      <c r="F928" s="29"/>
      <c r="G928" s="29"/>
      <c r="O928" s="29"/>
    </row>
    <row r="929">
      <c r="C929" s="29"/>
      <c r="D929" s="29"/>
      <c r="E929" s="29"/>
      <c r="F929" s="29"/>
      <c r="G929" s="29"/>
      <c r="O929" s="29"/>
    </row>
    <row r="930">
      <c r="C930" s="29"/>
      <c r="D930" s="29"/>
      <c r="E930" s="29"/>
      <c r="F930" s="29"/>
      <c r="G930" s="29"/>
      <c r="O930" s="29"/>
    </row>
    <row r="931">
      <c r="C931" s="29"/>
      <c r="D931" s="29"/>
      <c r="E931" s="29"/>
      <c r="F931" s="29"/>
      <c r="G931" s="29"/>
      <c r="O931" s="29"/>
    </row>
    <row r="932">
      <c r="C932" s="29"/>
      <c r="D932" s="29"/>
      <c r="E932" s="29"/>
      <c r="F932" s="29"/>
      <c r="G932" s="29"/>
      <c r="O932" s="29"/>
    </row>
    <row r="933">
      <c r="C933" s="29"/>
      <c r="D933" s="29"/>
      <c r="E933" s="29"/>
      <c r="F933" s="29"/>
      <c r="G933" s="29"/>
      <c r="O933" s="29"/>
    </row>
    <row r="934">
      <c r="C934" s="29"/>
      <c r="D934" s="29"/>
      <c r="E934" s="29"/>
      <c r="F934" s="29"/>
      <c r="G934" s="29"/>
      <c r="O934" s="29"/>
    </row>
    <row r="935">
      <c r="C935" s="29"/>
      <c r="D935" s="29"/>
      <c r="E935" s="29"/>
      <c r="F935" s="29"/>
      <c r="G935" s="29"/>
      <c r="O935" s="29"/>
    </row>
    <row r="936">
      <c r="C936" s="29"/>
      <c r="D936" s="29"/>
      <c r="E936" s="29"/>
      <c r="F936" s="29"/>
      <c r="G936" s="29"/>
      <c r="O936" s="29"/>
    </row>
    <row r="937">
      <c r="C937" s="29"/>
      <c r="D937" s="29"/>
      <c r="E937" s="29"/>
      <c r="F937" s="29"/>
      <c r="G937" s="29"/>
      <c r="O937" s="29"/>
    </row>
    <row r="938">
      <c r="C938" s="29"/>
      <c r="D938" s="29"/>
      <c r="E938" s="29"/>
      <c r="F938" s="29"/>
      <c r="G938" s="29"/>
      <c r="O938" s="29"/>
    </row>
    <row r="939">
      <c r="C939" s="29"/>
      <c r="D939" s="29"/>
      <c r="E939" s="29"/>
      <c r="F939" s="29"/>
      <c r="G939" s="29"/>
      <c r="O939" s="29"/>
    </row>
    <row r="940">
      <c r="C940" s="29"/>
      <c r="D940" s="29"/>
      <c r="E940" s="29"/>
      <c r="F940" s="29"/>
      <c r="G940" s="29"/>
      <c r="O940" s="29"/>
    </row>
    <row r="941">
      <c r="C941" s="29"/>
      <c r="D941" s="29"/>
      <c r="E941" s="29"/>
      <c r="F941" s="29"/>
      <c r="G941" s="29"/>
      <c r="O941" s="29"/>
    </row>
    <row r="942">
      <c r="C942" s="29"/>
      <c r="D942" s="29"/>
      <c r="E942" s="29"/>
      <c r="F942" s="29"/>
      <c r="G942" s="29"/>
      <c r="O942" s="29"/>
    </row>
    <row r="943">
      <c r="C943" s="29"/>
      <c r="D943" s="29"/>
      <c r="E943" s="29"/>
      <c r="F943" s="29"/>
      <c r="G943" s="29"/>
      <c r="O943" s="29"/>
    </row>
    <row r="944">
      <c r="C944" s="29"/>
      <c r="D944" s="29"/>
      <c r="E944" s="29"/>
      <c r="F944" s="29"/>
      <c r="G944" s="29"/>
      <c r="O944" s="29"/>
    </row>
    <row r="945">
      <c r="C945" s="29"/>
      <c r="D945" s="29"/>
      <c r="E945" s="29"/>
      <c r="F945" s="29"/>
      <c r="G945" s="29"/>
      <c r="O945" s="29"/>
    </row>
    <row r="946">
      <c r="C946" s="29"/>
      <c r="D946" s="29"/>
      <c r="E946" s="29"/>
      <c r="F946" s="29"/>
      <c r="G946" s="29"/>
      <c r="O946" s="29"/>
    </row>
    <row r="947">
      <c r="C947" s="29"/>
      <c r="D947" s="29"/>
      <c r="E947" s="29"/>
      <c r="F947" s="29"/>
      <c r="G947" s="29"/>
      <c r="O947" s="29"/>
    </row>
    <row r="948">
      <c r="C948" s="29"/>
      <c r="D948" s="29"/>
      <c r="E948" s="29"/>
      <c r="F948" s="29"/>
      <c r="G948" s="29"/>
      <c r="O948" s="29"/>
    </row>
    <row r="949">
      <c r="C949" s="29"/>
      <c r="D949" s="29"/>
      <c r="E949" s="29"/>
      <c r="F949" s="29"/>
      <c r="G949" s="29"/>
      <c r="O949" s="29"/>
    </row>
    <row r="950">
      <c r="C950" s="29"/>
      <c r="D950" s="29"/>
      <c r="E950" s="29"/>
      <c r="F950" s="29"/>
      <c r="G950" s="29"/>
      <c r="O950" s="29"/>
    </row>
    <row r="951">
      <c r="C951" s="29"/>
      <c r="D951" s="29"/>
      <c r="E951" s="29"/>
      <c r="F951" s="29"/>
      <c r="G951" s="29"/>
      <c r="O951" s="29"/>
    </row>
    <row r="952">
      <c r="C952" s="29"/>
      <c r="D952" s="29"/>
      <c r="E952" s="29"/>
      <c r="F952" s="29"/>
      <c r="G952" s="29"/>
      <c r="O952" s="29"/>
    </row>
    <row r="953">
      <c r="C953" s="29"/>
      <c r="D953" s="29"/>
      <c r="E953" s="29"/>
      <c r="F953" s="29"/>
      <c r="G953" s="29"/>
      <c r="O953" s="29"/>
    </row>
    <row r="954">
      <c r="C954" s="29"/>
      <c r="D954" s="29"/>
      <c r="E954" s="29"/>
      <c r="F954" s="29"/>
      <c r="G954" s="29"/>
      <c r="O954" s="29"/>
    </row>
    <row r="955">
      <c r="C955" s="29"/>
      <c r="D955" s="29"/>
      <c r="E955" s="29"/>
      <c r="F955" s="29"/>
      <c r="G955" s="29"/>
      <c r="O955" s="29"/>
    </row>
    <row r="956">
      <c r="C956" s="29"/>
      <c r="D956" s="29"/>
      <c r="E956" s="29"/>
      <c r="F956" s="29"/>
      <c r="G956" s="29"/>
      <c r="O956" s="29"/>
    </row>
    <row r="957">
      <c r="C957" s="29"/>
      <c r="D957" s="29"/>
      <c r="E957" s="29"/>
      <c r="F957" s="29"/>
      <c r="G957" s="29"/>
      <c r="O957" s="29"/>
    </row>
    <row r="958">
      <c r="C958" s="29"/>
      <c r="D958" s="29"/>
      <c r="E958" s="29"/>
      <c r="F958" s="29"/>
      <c r="G958" s="29"/>
      <c r="O958" s="29"/>
    </row>
    <row r="959">
      <c r="C959" s="29"/>
      <c r="D959" s="29"/>
      <c r="E959" s="29"/>
      <c r="F959" s="29"/>
      <c r="G959" s="29"/>
      <c r="O959" s="29"/>
    </row>
    <row r="960">
      <c r="C960" s="29"/>
      <c r="D960" s="29"/>
      <c r="E960" s="29"/>
      <c r="F960" s="29"/>
      <c r="G960" s="29"/>
      <c r="O960" s="29"/>
    </row>
    <row r="961">
      <c r="C961" s="29"/>
      <c r="D961" s="29"/>
      <c r="E961" s="29"/>
      <c r="F961" s="29"/>
      <c r="G961" s="29"/>
      <c r="O961" s="29"/>
    </row>
    <row r="962">
      <c r="C962" s="29"/>
      <c r="D962" s="29"/>
      <c r="E962" s="29"/>
      <c r="F962" s="29"/>
      <c r="G962" s="29"/>
      <c r="O962" s="29"/>
    </row>
    <row r="963">
      <c r="C963" s="29"/>
      <c r="D963" s="29"/>
      <c r="E963" s="29"/>
      <c r="F963" s="29"/>
      <c r="G963" s="29"/>
      <c r="O963" s="29"/>
    </row>
    <row r="964">
      <c r="C964" s="29"/>
      <c r="D964" s="29"/>
      <c r="E964" s="29"/>
      <c r="F964" s="29"/>
      <c r="G964" s="29"/>
      <c r="O964" s="29"/>
    </row>
    <row r="965">
      <c r="C965" s="29"/>
      <c r="D965" s="29"/>
      <c r="E965" s="29"/>
      <c r="F965" s="29"/>
      <c r="G965" s="29"/>
      <c r="O965" s="29"/>
    </row>
    <row r="966">
      <c r="C966" s="29"/>
      <c r="D966" s="29"/>
      <c r="E966" s="29"/>
      <c r="F966" s="29"/>
      <c r="G966" s="29"/>
      <c r="O966" s="29"/>
    </row>
    <row r="967">
      <c r="C967" s="29"/>
      <c r="D967" s="29"/>
      <c r="E967" s="29"/>
      <c r="F967" s="29"/>
      <c r="G967" s="29"/>
      <c r="O967" s="29"/>
    </row>
    <row r="968">
      <c r="C968" s="29"/>
      <c r="D968" s="29"/>
      <c r="E968" s="29"/>
      <c r="F968" s="29"/>
      <c r="G968" s="29"/>
      <c r="O968" s="29"/>
    </row>
    <row r="969">
      <c r="C969" s="29"/>
      <c r="D969" s="29"/>
      <c r="E969" s="29"/>
      <c r="F969" s="29"/>
      <c r="G969" s="29"/>
      <c r="O969" s="29"/>
    </row>
    <row r="970">
      <c r="C970" s="29"/>
      <c r="D970" s="29"/>
      <c r="E970" s="29"/>
      <c r="F970" s="29"/>
      <c r="G970" s="29"/>
      <c r="O970" s="29"/>
    </row>
    <row r="971">
      <c r="C971" s="29"/>
      <c r="D971" s="29"/>
      <c r="E971" s="29"/>
      <c r="F971" s="29"/>
      <c r="G971" s="29"/>
      <c r="O971" s="29"/>
    </row>
    <row r="972">
      <c r="C972" s="29"/>
      <c r="D972" s="29"/>
      <c r="E972" s="29"/>
      <c r="F972" s="29"/>
      <c r="G972" s="29"/>
      <c r="O972" s="29"/>
    </row>
    <row r="973">
      <c r="C973" s="29"/>
      <c r="D973" s="29"/>
      <c r="E973" s="29"/>
      <c r="F973" s="29"/>
      <c r="G973" s="29"/>
      <c r="O973" s="29"/>
    </row>
    <row r="974">
      <c r="C974" s="29"/>
      <c r="D974" s="29"/>
      <c r="E974" s="29"/>
      <c r="F974" s="29"/>
      <c r="G974" s="29"/>
      <c r="O974" s="29"/>
    </row>
    <row r="975">
      <c r="C975" s="29"/>
      <c r="D975" s="29"/>
      <c r="E975" s="29"/>
      <c r="F975" s="29"/>
      <c r="G975" s="29"/>
      <c r="O975" s="29"/>
    </row>
    <row r="976">
      <c r="C976" s="29"/>
      <c r="D976" s="29"/>
      <c r="E976" s="29"/>
      <c r="F976" s="29"/>
      <c r="G976" s="29"/>
      <c r="O976" s="29"/>
    </row>
    <row r="977">
      <c r="C977" s="29"/>
      <c r="D977" s="29"/>
      <c r="E977" s="29"/>
      <c r="F977" s="29"/>
      <c r="G977" s="29"/>
      <c r="O977" s="29"/>
    </row>
    <row r="978">
      <c r="C978" s="29"/>
      <c r="D978" s="29"/>
      <c r="E978" s="29"/>
      <c r="F978" s="29"/>
      <c r="G978" s="29"/>
      <c r="O978" s="29"/>
    </row>
    <row r="979">
      <c r="C979" s="29"/>
      <c r="D979" s="29"/>
      <c r="E979" s="29"/>
      <c r="F979" s="29"/>
      <c r="G979" s="29"/>
      <c r="O979" s="29"/>
    </row>
    <row r="980">
      <c r="C980" s="29"/>
      <c r="D980" s="29"/>
      <c r="E980" s="29"/>
      <c r="F980" s="29"/>
      <c r="G980" s="29"/>
      <c r="O980" s="29"/>
    </row>
    <row r="981">
      <c r="C981" s="29"/>
      <c r="D981" s="29"/>
      <c r="E981" s="29"/>
      <c r="F981" s="29"/>
      <c r="G981" s="29"/>
      <c r="O981" s="29"/>
    </row>
    <row r="982">
      <c r="C982" s="29"/>
      <c r="D982" s="29"/>
      <c r="E982" s="29"/>
      <c r="F982" s="29"/>
      <c r="G982" s="29"/>
      <c r="O982" s="29"/>
    </row>
    <row r="983">
      <c r="C983" s="29"/>
      <c r="D983" s="29"/>
      <c r="E983" s="29"/>
      <c r="F983" s="29"/>
      <c r="G983" s="29"/>
      <c r="O983" s="29"/>
    </row>
    <row r="984">
      <c r="C984" s="29"/>
      <c r="D984" s="29"/>
      <c r="E984" s="29"/>
      <c r="F984" s="29"/>
      <c r="G984" s="29"/>
      <c r="O984" s="29"/>
    </row>
    <row r="985">
      <c r="C985" s="29"/>
      <c r="D985" s="29"/>
      <c r="E985" s="29"/>
      <c r="F985" s="29"/>
      <c r="G985" s="29"/>
      <c r="O985" s="29"/>
    </row>
    <row r="986">
      <c r="C986" s="29"/>
      <c r="D986" s="29"/>
      <c r="E986" s="29"/>
      <c r="F986" s="29"/>
      <c r="G986" s="29"/>
      <c r="O986" s="29"/>
    </row>
    <row r="987">
      <c r="C987" s="29"/>
      <c r="D987" s="29"/>
      <c r="E987" s="29"/>
      <c r="F987" s="29"/>
      <c r="G987" s="29"/>
      <c r="O987" s="29"/>
    </row>
    <row r="988">
      <c r="C988" s="29"/>
      <c r="D988" s="29"/>
      <c r="E988" s="29"/>
      <c r="F988" s="29"/>
      <c r="G988" s="29"/>
      <c r="O988" s="29"/>
    </row>
    <row r="989">
      <c r="C989" s="29"/>
      <c r="D989" s="29"/>
      <c r="E989" s="29"/>
      <c r="F989" s="29"/>
      <c r="G989" s="29"/>
      <c r="O989" s="29"/>
    </row>
    <row r="990">
      <c r="C990" s="29"/>
      <c r="D990" s="29"/>
      <c r="E990" s="29"/>
      <c r="F990" s="29"/>
      <c r="G990" s="29"/>
      <c r="O990" s="29"/>
    </row>
    <row r="991">
      <c r="C991" s="29"/>
      <c r="D991" s="29"/>
      <c r="E991" s="29"/>
      <c r="F991" s="29"/>
      <c r="G991" s="29"/>
      <c r="O991" s="29"/>
    </row>
    <row r="992">
      <c r="C992" s="29"/>
      <c r="D992" s="29"/>
      <c r="E992" s="29"/>
      <c r="F992" s="29"/>
      <c r="G992" s="29"/>
      <c r="O992" s="29"/>
    </row>
    <row r="993">
      <c r="C993" s="29"/>
      <c r="D993" s="29"/>
      <c r="E993" s="29"/>
      <c r="F993" s="29"/>
      <c r="G993" s="29"/>
      <c r="O993" s="29"/>
    </row>
    <row r="994">
      <c r="C994" s="29"/>
      <c r="D994" s="29"/>
      <c r="E994" s="29"/>
      <c r="F994" s="29"/>
      <c r="G994" s="29"/>
      <c r="O994" s="29"/>
    </row>
    <row r="995">
      <c r="C995" s="29"/>
      <c r="D995" s="29"/>
      <c r="E995" s="29"/>
      <c r="F995" s="29"/>
      <c r="G995" s="29"/>
      <c r="O995" s="29"/>
    </row>
    <row r="996">
      <c r="C996" s="29"/>
      <c r="D996" s="29"/>
      <c r="E996" s="29"/>
      <c r="F996" s="29"/>
      <c r="G996" s="29"/>
      <c r="O996" s="29"/>
    </row>
    <row r="997">
      <c r="C997" s="29"/>
      <c r="D997" s="29"/>
      <c r="E997" s="29"/>
      <c r="F997" s="29"/>
      <c r="G997" s="29"/>
      <c r="O997" s="29"/>
    </row>
    <row r="998">
      <c r="C998" s="29"/>
      <c r="D998" s="29"/>
      <c r="E998" s="29"/>
      <c r="F998" s="29"/>
      <c r="G998" s="29"/>
      <c r="O998" s="29"/>
    </row>
    <row r="999">
      <c r="C999" s="29"/>
      <c r="D999" s="29"/>
      <c r="E999" s="29"/>
      <c r="F999" s="29"/>
      <c r="G999" s="29"/>
      <c r="O999" s="29"/>
    </row>
    <row r="1000">
      <c r="C1000" s="29"/>
      <c r="D1000" s="29"/>
      <c r="E1000" s="29"/>
      <c r="F1000" s="29"/>
      <c r="G1000" s="29"/>
      <c r="O1000" s="29"/>
    </row>
    <row r="1001">
      <c r="C1001" s="29"/>
      <c r="D1001" s="29"/>
      <c r="E1001" s="29"/>
      <c r="F1001" s="29"/>
      <c r="G1001" s="29"/>
      <c r="O1001" s="29"/>
    </row>
  </sheetData>
  <mergeCells count="5">
    <mergeCell ref="I1:J1"/>
    <mergeCell ref="L1:M1"/>
    <mergeCell ref="N1:O1"/>
    <mergeCell ref="D3:E3"/>
    <mergeCell ref="F3:G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28.5"/>
    <col customWidth="1" min="4" max="4" width="28.75"/>
    <col customWidth="1" min="5" max="5" width="15.63"/>
  </cols>
  <sheetData>
    <row r="3">
      <c r="B3" s="3" t="s">
        <v>0</v>
      </c>
      <c r="C3" s="4" t="s">
        <v>1</v>
      </c>
      <c r="D3" s="4" t="s">
        <v>2</v>
      </c>
      <c r="E3" s="4" t="s">
        <v>3</v>
      </c>
    </row>
    <row r="4">
      <c r="B4" s="2" t="s">
        <v>4</v>
      </c>
      <c r="C4" s="5" t="s">
        <v>5</v>
      </c>
      <c r="D4" s="5" t="s">
        <v>7</v>
      </c>
      <c r="E4" s="6" t="s">
        <v>8</v>
      </c>
    </row>
    <row r="5">
      <c r="B5" s="2" t="s">
        <v>9</v>
      </c>
      <c r="C5" s="5" t="s">
        <v>10</v>
      </c>
      <c r="D5" s="5" t="s">
        <v>11</v>
      </c>
      <c r="E5" s="6" t="s">
        <v>12</v>
      </c>
    </row>
    <row r="6">
      <c r="B6" s="2" t="s">
        <v>14</v>
      </c>
      <c r="C6" s="5" t="s">
        <v>15</v>
      </c>
      <c r="D6" s="5" t="s">
        <v>16</v>
      </c>
      <c r="E6" s="6" t="s">
        <v>17</v>
      </c>
    </row>
    <row r="7">
      <c r="B7" s="2" t="s">
        <v>18</v>
      </c>
      <c r="C7" s="5" t="s">
        <v>19</v>
      </c>
      <c r="D7" s="5" t="s">
        <v>20</v>
      </c>
      <c r="E7" s="6" t="s">
        <v>21</v>
      </c>
    </row>
    <row r="8">
      <c r="B8" s="2" t="s">
        <v>22</v>
      </c>
      <c r="C8" s="5" t="s">
        <v>23</v>
      </c>
      <c r="D8" s="5" t="s">
        <v>24</v>
      </c>
      <c r="E8" s="6" t="s">
        <v>21</v>
      </c>
    </row>
    <row r="9">
      <c r="B9" s="2" t="s">
        <v>26</v>
      </c>
      <c r="C9" s="5" t="s">
        <v>27</v>
      </c>
      <c r="D9" s="5" t="s">
        <v>15</v>
      </c>
      <c r="E9" s="6" t="s">
        <v>21</v>
      </c>
    </row>
    <row r="10">
      <c r="B10" s="2" t="s">
        <v>31</v>
      </c>
      <c r="C10" s="5" t="s">
        <v>33</v>
      </c>
      <c r="D10" s="5" t="s">
        <v>35</v>
      </c>
      <c r="E10" s="6" t="s">
        <v>21</v>
      </c>
    </row>
    <row r="11">
      <c r="B11" s="2" t="s">
        <v>39</v>
      </c>
      <c r="C11" s="5" t="s">
        <v>41</v>
      </c>
      <c r="D11" s="5" t="s">
        <v>42</v>
      </c>
      <c r="E11" s="6" t="s">
        <v>21</v>
      </c>
    </row>
    <row r="12">
      <c r="B12" s="2" t="s">
        <v>44</v>
      </c>
      <c r="C12" s="5" t="s">
        <v>46</v>
      </c>
      <c r="D12" s="5" t="s">
        <v>48</v>
      </c>
      <c r="E12" s="6" t="s">
        <v>49</v>
      </c>
    </row>
    <row r="13">
      <c r="B13" s="2" t="s">
        <v>50</v>
      </c>
      <c r="C13" s="5" t="s">
        <v>52</v>
      </c>
      <c r="D13" s="5" t="s">
        <v>53</v>
      </c>
      <c r="E13" s="6" t="s">
        <v>54</v>
      </c>
    </row>
    <row r="14">
      <c r="B14" s="2" t="s">
        <v>55</v>
      </c>
      <c r="C14" s="5" t="s">
        <v>57</v>
      </c>
      <c r="D14" s="5" t="s">
        <v>58</v>
      </c>
      <c r="E14" s="6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4" max="28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7" t="s">
        <v>6</v>
      </c>
      <c r="AA1" s="7" t="s">
        <v>13</v>
      </c>
      <c r="AC1" s="1"/>
      <c r="AD1" s="1"/>
      <c r="AE1" s="1"/>
      <c r="AF1" s="1"/>
      <c r="AG1" s="1"/>
      <c r="AH1" s="1"/>
      <c r="AI1" s="1"/>
    </row>
    <row r="2">
      <c r="A2" s="1"/>
      <c r="B2" s="1"/>
      <c r="C2" s="1"/>
      <c r="D2" s="1"/>
      <c r="E2" s="1"/>
      <c r="F2" s="1"/>
      <c r="G2" s="7" t="s">
        <v>25</v>
      </c>
      <c r="H2" s="1"/>
      <c r="I2" s="1"/>
      <c r="J2" s="7" t="s">
        <v>28</v>
      </c>
      <c r="K2" s="7" t="s">
        <v>29</v>
      </c>
      <c r="L2" s="1"/>
      <c r="M2" s="7" t="s">
        <v>30</v>
      </c>
      <c r="N2" s="7" t="s">
        <v>32</v>
      </c>
      <c r="O2" s="1" t="s">
        <v>34</v>
      </c>
      <c r="P2" s="7" t="s">
        <v>36</v>
      </c>
      <c r="Q2" s="7" t="s">
        <v>37</v>
      </c>
      <c r="R2" s="7" t="s">
        <v>38</v>
      </c>
      <c r="S2" s="7" t="s">
        <v>38</v>
      </c>
      <c r="T2" s="1"/>
      <c r="U2" s="7" t="s">
        <v>36</v>
      </c>
      <c r="V2" s="7" t="s">
        <v>43</v>
      </c>
      <c r="W2" s="7" t="s">
        <v>47</v>
      </c>
      <c r="X2" s="7" t="s">
        <v>36</v>
      </c>
      <c r="Y2" s="7" t="s">
        <v>37</v>
      </c>
      <c r="Z2" s="1"/>
      <c r="AA2" s="1" t="s">
        <v>51</v>
      </c>
      <c r="AB2" s="7" t="s">
        <v>34</v>
      </c>
      <c r="AC2" s="1"/>
      <c r="AD2" s="1"/>
      <c r="AE2" s="1"/>
      <c r="AF2" s="1"/>
      <c r="AG2" s="1"/>
      <c r="AH2" s="1"/>
      <c r="AI2" s="1"/>
    </row>
    <row r="3">
      <c r="A3" s="1"/>
      <c r="B3" s="9" t="s">
        <v>56</v>
      </c>
      <c r="C3" s="10"/>
      <c r="D3" s="11" t="s">
        <v>62</v>
      </c>
      <c r="E3" s="11" t="s">
        <v>64</v>
      </c>
      <c r="F3" s="10"/>
      <c r="G3" s="12" t="s">
        <v>6</v>
      </c>
      <c r="H3" s="11" t="s">
        <v>66</v>
      </c>
      <c r="I3" s="10"/>
      <c r="J3" s="11" t="s">
        <v>68</v>
      </c>
      <c r="K3" s="13" t="s">
        <v>69</v>
      </c>
      <c r="L3" s="1"/>
      <c r="M3" s="14" t="s">
        <v>70</v>
      </c>
      <c r="N3" s="14" t="s">
        <v>71</v>
      </c>
      <c r="O3" s="14" t="s">
        <v>72</v>
      </c>
      <c r="P3" s="14" t="s">
        <v>73</v>
      </c>
      <c r="Q3" s="14" t="s">
        <v>74</v>
      </c>
      <c r="R3" s="14" t="s">
        <v>71</v>
      </c>
      <c r="S3" s="14" t="s">
        <v>72</v>
      </c>
      <c r="T3" s="1"/>
      <c r="U3" s="14" t="s">
        <v>73</v>
      </c>
      <c r="V3" s="14" t="s">
        <v>67</v>
      </c>
      <c r="W3" s="14" t="s">
        <v>78</v>
      </c>
      <c r="X3" s="14" t="s">
        <v>79</v>
      </c>
      <c r="Y3" s="14" t="s">
        <v>73</v>
      </c>
      <c r="Z3" s="14" t="s">
        <v>77</v>
      </c>
      <c r="AA3" s="14" t="s">
        <v>67</v>
      </c>
      <c r="AB3" s="14" t="s">
        <v>71</v>
      </c>
      <c r="AC3" s="1"/>
      <c r="AD3" s="1"/>
      <c r="AE3" s="1"/>
      <c r="AF3" s="1"/>
      <c r="AG3" s="1"/>
      <c r="AH3" s="1"/>
      <c r="AI3" s="1"/>
    </row>
    <row r="4">
      <c r="A4" s="1"/>
      <c r="B4" s="15" t="s">
        <v>80</v>
      </c>
      <c r="C4" s="1" t="s">
        <v>81</v>
      </c>
      <c r="D4" s="7">
        <v>3.0</v>
      </c>
      <c r="E4" s="7">
        <v>0.0</v>
      </c>
      <c r="F4" s="1"/>
      <c r="G4" s="7">
        <v>30.0</v>
      </c>
      <c r="H4" s="16" t="s">
        <v>83</v>
      </c>
      <c r="I4" s="1"/>
      <c r="J4" s="7">
        <v>20.0</v>
      </c>
      <c r="K4" s="17" t="s">
        <v>84</v>
      </c>
      <c r="L4" s="1"/>
      <c r="M4" s="7">
        <v>1.0</v>
      </c>
      <c r="N4" s="7">
        <v>1.0</v>
      </c>
      <c r="O4" s="19">
        <f t="shared" ref="O4:O5" si="1">N4/0.3 * (0.7)</f>
        <v>2.333333333</v>
      </c>
      <c r="P4" s="7">
        <v>70.0</v>
      </c>
      <c r="Q4" s="20">
        <v>0.3</v>
      </c>
      <c r="R4" s="21">
        <f t="shared" ref="R4:R5" si="2">N4*P4*Q4/1000 / Z4</f>
        <v>0.07</v>
      </c>
      <c r="S4" s="22">
        <f t="shared" ref="S4:S7" si="3">O4*P4*Q4/1000</f>
        <v>0.049</v>
      </c>
      <c r="T4" s="1"/>
      <c r="U4" s="7">
        <v>0.5</v>
      </c>
      <c r="V4" s="19">
        <f t="shared" ref="V4:V7" si="4">U4*AA4</f>
        <v>2.5</v>
      </c>
      <c r="W4" s="19">
        <f t="shared" ref="W4:W7" si="5">V4/R4</f>
        <v>35.71428571</v>
      </c>
      <c r="X4" s="19">
        <f t="shared" ref="X4:X7" si="6">S4/2.5*W4</f>
        <v>0.7</v>
      </c>
      <c r="Y4" s="19">
        <f t="shared" ref="Y4:Y7" si="7">(U4+X4)/P4 *100*1.15</f>
        <v>1.971428571</v>
      </c>
      <c r="Z4" s="7">
        <v>0.3</v>
      </c>
      <c r="AA4" s="7">
        <v>5.0</v>
      </c>
      <c r="AB4" s="7">
        <v>1.0</v>
      </c>
      <c r="AC4" s="26"/>
      <c r="AD4" s="1"/>
      <c r="AE4" s="1"/>
      <c r="AF4" s="1"/>
      <c r="AG4" s="1"/>
      <c r="AH4" s="1"/>
      <c r="AI4" s="1"/>
    </row>
    <row r="5">
      <c r="A5" s="1"/>
      <c r="B5" s="15" t="s">
        <v>80</v>
      </c>
      <c r="C5" s="28" t="s">
        <v>101</v>
      </c>
      <c r="D5" s="30">
        <v>4.0</v>
      </c>
      <c r="E5" s="30">
        <v>2.0</v>
      </c>
      <c r="F5" s="28"/>
      <c r="G5" s="30">
        <v>45.0</v>
      </c>
      <c r="H5" s="31" t="s">
        <v>103</v>
      </c>
      <c r="I5" s="28"/>
      <c r="J5" s="30">
        <v>35.0</v>
      </c>
      <c r="K5" s="32" t="s">
        <v>84</v>
      </c>
      <c r="L5" s="28"/>
      <c r="M5" s="30">
        <v>1.5</v>
      </c>
      <c r="N5" s="30">
        <v>2.0</v>
      </c>
      <c r="O5" s="34">
        <f t="shared" si="1"/>
        <v>4.666666667</v>
      </c>
      <c r="P5" s="30">
        <v>80.0</v>
      </c>
      <c r="Q5" s="35">
        <v>0.4</v>
      </c>
      <c r="R5" s="36">
        <f t="shared" si="2"/>
        <v>0.2133333333</v>
      </c>
      <c r="S5" s="36">
        <f t="shared" si="3"/>
        <v>0.1493333333</v>
      </c>
      <c r="T5" s="28"/>
      <c r="U5" s="30">
        <v>2.0</v>
      </c>
      <c r="V5" s="34">
        <f t="shared" si="4"/>
        <v>10</v>
      </c>
      <c r="W5" s="34">
        <f t="shared" si="5"/>
        <v>46.875</v>
      </c>
      <c r="X5" s="34">
        <f t="shared" si="6"/>
        <v>2.8</v>
      </c>
      <c r="Y5" s="34">
        <f t="shared" si="7"/>
        <v>6.9</v>
      </c>
      <c r="Z5" s="30">
        <v>0.3</v>
      </c>
      <c r="AA5" s="30">
        <v>5.0</v>
      </c>
      <c r="AB5" s="30">
        <v>2.0</v>
      </c>
      <c r="AC5" s="26"/>
      <c r="AD5" s="1"/>
      <c r="AE5" s="1"/>
      <c r="AF5" s="1"/>
      <c r="AG5" s="1"/>
      <c r="AH5" s="1"/>
      <c r="AI5" s="1"/>
    </row>
    <row r="6">
      <c r="A6" s="1"/>
      <c r="B6" s="15" t="s">
        <v>80</v>
      </c>
      <c r="C6" s="1" t="s">
        <v>104</v>
      </c>
      <c r="D6" s="7">
        <v>5.0</v>
      </c>
      <c r="E6" s="7">
        <v>5.0</v>
      </c>
      <c r="F6" s="1"/>
      <c r="G6" s="7">
        <v>60.0</v>
      </c>
      <c r="H6" s="16" t="s">
        <v>106</v>
      </c>
      <c r="I6" s="1"/>
      <c r="J6" s="7">
        <v>70.0</v>
      </c>
      <c r="K6" s="17" t="s">
        <v>107</v>
      </c>
      <c r="L6" s="1"/>
      <c r="M6" s="7">
        <v>3.0</v>
      </c>
      <c r="N6" s="7">
        <v>10.0</v>
      </c>
      <c r="O6" s="19">
        <f t="shared" ref="O6:O7" si="8">N6/0.6 * (0.4)</f>
        <v>6.666666667</v>
      </c>
      <c r="P6" s="7">
        <v>90.0</v>
      </c>
      <c r="Q6" s="20">
        <v>0.5</v>
      </c>
      <c r="R6" s="19">
        <f>N6*P6*Q6/ 1000 / Z6</f>
        <v>0.75</v>
      </c>
      <c r="S6" s="21">
        <f t="shared" si="3"/>
        <v>0.3</v>
      </c>
      <c r="T6" s="1"/>
      <c r="U6" s="7">
        <v>4.0</v>
      </c>
      <c r="V6" s="19">
        <f t="shared" si="4"/>
        <v>40</v>
      </c>
      <c r="W6" s="19">
        <f t="shared" si="5"/>
        <v>53.33333333</v>
      </c>
      <c r="X6" s="19">
        <f t="shared" si="6"/>
        <v>6.4</v>
      </c>
      <c r="Y6" s="19">
        <f t="shared" si="7"/>
        <v>13.28888889</v>
      </c>
      <c r="Z6" s="7">
        <v>0.6</v>
      </c>
      <c r="AA6" s="7">
        <v>10.0</v>
      </c>
      <c r="AB6" s="7">
        <v>10.0</v>
      </c>
      <c r="AC6" s="26"/>
      <c r="AD6" s="1"/>
      <c r="AE6" s="1"/>
      <c r="AF6" s="1"/>
      <c r="AG6" s="1"/>
      <c r="AH6" s="1"/>
      <c r="AI6" s="1"/>
    </row>
    <row r="7">
      <c r="A7" s="1"/>
      <c r="B7" s="40"/>
      <c r="C7" s="42" t="s">
        <v>110</v>
      </c>
      <c r="D7" s="44">
        <v>6.0</v>
      </c>
      <c r="E7" s="44">
        <v>10.0</v>
      </c>
      <c r="F7" s="42"/>
      <c r="G7" s="44">
        <v>20.0</v>
      </c>
      <c r="H7" s="45" t="s">
        <v>112</v>
      </c>
      <c r="I7" s="42"/>
      <c r="J7" s="44">
        <v>100.0</v>
      </c>
      <c r="K7" s="46" t="s">
        <v>114</v>
      </c>
      <c r="L7" s="28"/>
      <c r="M7" s="47">
        <v>10.0</v>
      </c>
      <c r="N7" s="30">
        <v>50.0</v>
      </c>
      <c r="O7" s="34">
        <f t="shared" si="8"/>
        <v>33.33333333</v>
      </c>
      <c r="P7" s="30">
        <v>100.0</v>
      </c>
      <c r="Q7" s="35">
        <v>0.5</v>
      </c>
      <c r="R7" s="34">
        <f>N7*P7*Q7/1000 / Z7</f>
        <v>4.166666667</v>
      </c>
      <c r="S7" s="34">
        <f t="shared" si="3"/>
        <v>1.666666667</v>
      </c>
      <c r="T7" s="28"/>
      <c r="U7" s="30">
        <v>8.0</v>
      </c>
      <c r="V7" s="34">
        <f t="shared" si="4"/>
        <v>80</v>
      </c>
      <c r="W7" s="34">
        <f t="shared" si="5"/>
        <v>19.2</v>
      </c>
      <c r="X7" s="34">
        <f t="shared" si="6"/>
        <v>12.8</v>
      </c>
      <c r="Y7" s="34">
        <f t="shared" si="7"/>
        <v>23.92</v>
      </c>
      <c r="Z7" s="30">
        <v>0.6</v>
      </c>
      <c r="AA7" s="30">
        <v>10.0</v>
      </c>
      <c r="AB7" s="30">
        <v>10.0</v>
      </c>
      <c r="AC7" s="26"/>
      <c r="AD7" s="1"/>
      <c r="AE7" s="1"/>
      <c r="AF7" s="1"/>
      <c r="AG7" s="1"/>
      <c r="AH7" s="1"/>
      <c r="AI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1"/>
      <c r="B9" s="1"/>
      <c r="C9" s="1"/>
      <c r="D9" s="1"/>
      <c r="E9" s="1"/>
      <c r="F9" s="1"/>
      <c r="G9" s="7" t="s">
        <v>122</v>
      </c>
      <c r="H9" s="7" t="s">
        <v>36</v>
      </c>
      <c r="I9" s="1"/>
      <c r="J9" s="1"/>
      <c r="K9" s="1"/>
      <c r="L9" s="7" t="s">
        <v>123</v>
      </c>
      <c r="M9" s="1"/>
      <c r="N9" s="7" t="s">
        <v>124</v>
      </c>
      <c r="O9" s="7" t="s">
        <v>125</v>
      </c>
      <c r="P9" s="7" t="s">
        <v>37</v>
      </c>
      <c r="Q9" s="7" t="s">
        <v>43</v>
      </c>
      <c r="R9" s="7" t="s">
        <v>38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1"/>
      <c r="B10" s="9" t="s">
        <v>126</v>
      </c>
      <c r="C10" s="10"/>
      <c r="D10" s="11" t="s">
        <v>62</v>
      </c>
      <c r="E10" s="11" t="s">
        <v>64</v>
      </c>
      <c r="F10" s="10"/>
      <c r="G10" s="12" t="s">
        <v>6</v>
      </c>
      <c r="H10" s="13" t="s">
        <v>73</v>
      </c>
      <c r="I10" s="1"/>
      <c r="J10" s="50" t="s">
        <v>130</v>
      </c>
      <c r="K10" s="1"/>
      <c r="L10" s="14" t="s">
        <v>131</v>
      </c>
      <c r="M10" s="1"/>
      <c r="N10" s="14" t="s">
        <v>71</v>
      </c>
      <c r="O10" s="50" t="s">
        <v>71</v>
      </c>
      <c r="P10" s="14" t="s">
        <v>6</v>
      </c>
      <c r="Q10" s="50" t="s">
        <v>67</v>
      </c>
      <c r="R10" s="14" t="s">
        <v>72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"/>
      <c r="B11" s="53"/>
      <c r="C11" s="1" t="s">
        <v>134</v>
      </c>
      <c r="D11" s="7">
        <v>3.0</v>
      </c>
      <c r="E11" s="7">
        <v>0.0</v>
      </c>
      <c r="F11" s="1"/>
      <c r="G11" s="19">
        <f t="shared" ref="G11:G14" si="9">Q11*10^6/O11/60</f>
        <v>200</v>
      </c>
      <c r="H11" s="17">
        <v>0.1</v>
      </c>
      <c r="I11" s="1"/>
      <c r="J11" s="1" t="s">
        <v>139</v>
      </c>
      <c r="K11" s="1"/>
      <c r="L11" s="7" t="s">
        <v>140</v>
      </c>
      <c r="M11" s="1"/>
      <c r="N11" s="7">
        <v>50.0</v>
      </c>
      <c r="O11" s="16">
        <f t="shared" ref="O11:O14" si="10">N11*H11</f>
        <v>5</v>
      </c>
      <c r="P11" s="20">
        <v>0.3</v>
      </c>
      <c r="Q11" s="7">
        <f t="shared" ref="Q11:Q14" si="11">H11*2*P11</f>
        <v>0.06</v>
      </c>
      <c r="R11" s="19">
        <f t="shared" ref="R11:R18" si="12">O11*10^-6</f>
        <v>0.000005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"/>
      <c r="B12" s="53"/>
      <c r="C12" s="28" t="s">
        <v>147</v>
      </c>
      <c r="D12" s="30">
        <v>4.0</v>
      </c>
      <c r="E12" s="30">
        <v>2.0</v>
      </c>
      <c r="F12" s="28"/>
      <c r="G12" s="34">
        <f t="shared" si="9"/>
        <v>100</v>
      </c>
      <c r="H12" s="32">
        <v>1.0</v>
      </c>
      <c r="I12" s="28"/>
      <c r="J12" s="28" t="s">
        <v>151</v>
      </c>
      <c r="K12" s="28"/>
      <c r="L12" s="30" t="s">
        <v>152</v>
      </c>
      <c r="M12" s="28"/>
      <c r="N12" s="30">
        <v>50.0</v>
      </c>
      <c r="O12" s="31">
        <f t="shared" si="10"/>
        <v>50</v>
      </c>
      <c r="P12" s="35">
        <v>0.15</v>
      </c>
      <c r="Q12" s="30">
        <f t="shared" si="11"/>
        <v>0.3</v>
      </c>
      <c r="R12" s="34">
        <f t="shared" si="12"/>
        <v>0.00005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"/>
      <c r="B13" s="53"/>
      <c r="C13" s="1" t="s">
        <v>156</v>
      </c>
      <c r="D13" s="7">
        <v>5.0</v>
      </c>
      <c r="E13" s="7">
        <v>5.0</v>
      </c>
      <c r="F13" s="1"/>
      <c r="G13" s="19">
        <f t="shared" si="9"/>
        <v>30</v>
      </c>
      <c r="H13" s="17">
        <v>10.0</v>
      </c>
      <c r="I13" s="1"/>
      <c r="J13" s="1" t="s">
        <v>157</v>
      </c>
      <c r="K13" s="1"/>
      <c r="L13" s="7" t="s">
        <v>158</v>
      </c>
      <c r="M13" s="1"/>
      <c r="N13" s="7">
        <v>100.0</v>
      </c>
      <c r="O13" s="16">
        <f t="shared" si="10"/>
        <v>1000</v>
      </c>
      <c r="P13" s="20">
        <v>0.09</v>
      </c>
      <c r="Q13" s="7">
        <f t="shared" si="11"/>
        <v>1.8</v>
      </c>
      <c r="R13" s="60">
        <f t="shared" si="12"/>
        <v>0.001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/>
      <c r="B14" s="53"/>
      <c r="C14" s="28" t="s">
        <v>161</v>
      </c>
      <c r="D14" s="30">
        <v>6.0</v>
      </c>
      <c r="E14" s="30">
        <v>10.0</v>
      </c>
      <c r="F14" s="28"/>
      <c r="G14" s="34">
        <f t="shared" si="9"/>
        <v>5</v>
      </c>
      <c r="H14" s="32">
        <v>50.0</v>
      </c>
      <c r="I14" s="28"/>
      <c r="J14" s="28" t="s">
        <v>162</v>
      </c>
      <c r="K14" s="28"/>
      <c r="L14" s="30" t="s">
        <v>163</v>
      </c>
      <c r="M14" s="28"/>
      <c r="N14" s="30">
        <v>600.0</v>
      </c>
      <c r="O14" s="31">
        <f t="shared" si="10"/>
        <v>30000</v>
      </c>
      <c r="P14" s="35">
        <v>0.09</v>
      </c>
      <c r="Q14" s="30">
        <f t="shared" si="11"/>
        <v>9</v>
      </c>
      <c r="R14" s="62">
        <f t="shared" si="12"/>
        <v>0.03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"/>
      <c r="B15" s="53"/>
      <c r="C15" s="1" t="s">
        <v>164</v>
      </c>
      <c r="D15" s="7" t="s">
        <v>165</v>
      </c>
      <c r="E15" s="7">
        <v>2.0</v>
      </c>
      <c r="F15" s="1"/>
      <c r="G15" s="1"/>
      <c r="H15" s="17">
        <v>10.0</v>
      </c>
      <c r="I15" s="1"/>
      <c r="J15" s="1" t="s">
        <v>166</v>
      </c>
      <c r="K15" s="1"/>
      <c r="L15" s="7" t="s">
        <v>158</v>
      </c>
      <c r="M15" s="1"/>
      <c r="N15" s="7">
        <v>50.0</v>
      </c>
      <c r="O15" s="63">
        <v>1000.0</v>
      </c>
      <c r="P15" s="1"/>
      <c r="Q15" s="26"/>
      <c r="R15" s="19">
        <f t="shared" si="12"/>
        <v>0.001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"/>
      <c r="B16" s="53"/>
      <c r="C16" s="28" t="s">
        <v>168</v>
      </c>
      <c r="D16" s="30" t="s">
        <v>169</v>
      </c>
      <c r="E16" s="30">
        <v>4.0</v>
      </c>
      <c r="F16" s="28"/>
      <c r="G16" s="28"/>
      <c r="H16" s="64">
        <v>100.0</v>
      </c>
      <c r="I16" s="28"/>
      <c r="J16" s="28"/>
      <c r="K16" s="28"/>
      <c r="L16" s="30" t="s">
        <v>163</v>
      </c>
      <c r="M16" s="28"/>
      <c r="N16" s="30">
        <v>50.0</v>
      </c>
      <c r="O16" s="65">
        <v>10000.0</v>
      </c>
      <c r="P16" s="28"/>
      <c r="Q16" s="66"/>
      <c r="R16" s="62">
        <f t="shared" si="12"/>
        <v>0.01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A17" s="1"/>
      <c r="B17" s="53"/>
      <c r="C17" s="1" t="s">
        <v>170</v>
      </c>
      <c r="D17" s="7" t="s">
        <v>171</v>
      </c>
      <c r="E17" s="7">
        <v>8.0</v>
      </c>
      <c r="F17" s="1"/>
      <c r="G17" s="1"/>
      <c r="H17" s="17" t="s">
        <v>173</v>
      </c>
      <c r="I17" s="1"/>
      <c r="J17" s="1"/>
      <c r="K17" s="1"/>
      <c r="L17" s="1"/>
      <c r="M17" s="1"/>
      <c r="N17" s="7">
        <v>100.0</v>
      </c>
      <c r="O17" s="63">
        <v>1000000.0</v>
      </c>
      <c r="P17" s="1"/>
      <c r="Q17" s="26"/>
      <c r="R17" s="19">
        <f t="shared" si="12"/>
        <v>1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"/>
      <c r="B18" s="53"/>
      <c r="C18" s="28" t="s">
        <v>175</v>
      </c>
      <c r="D18" s="30" t="s">
        <v>176</v>
      </c>
      <c r="E18" s="30">
        <v>14.0</v>
      </c>
      <c r="F18" s="28"/>
      <c r="G18" s="28"/>
      <c r="H18" s="64" t="s">
        <v>177</v>
      </c>
      <c r="I18" s="28"/>
      <c r="J18" s="28" t="s">
        <v>178</v>
      </c>
      <c r="K18" s="28"/>
      <c r="L18" s="30" t="s">
        <v>179</v>
      </c>
      <c r="M18" s="28"/>
      <c r="N18" s="30">
        <v>600.0</v>
      </c>
      <c r="O18" s="65">
        <v>1.0E8</v>
      </c>
      <c r="P18" s="28"/>
      <c r="Q18" s="66"/>
      <c r="R18" s="34">
        <f t="shared" si="12"/>
        <v>100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"/>
      <c r="B19" s="53"/>
      <c r="C19" s="1" t="s">
        <v>184</v>
      </c>
      <c r="D19" s="70" t="s">
        <v>185</v>
      </c>
      <c r="E19" s="70" t="s">
        <v>186</v>
      </c>
      <c r="F19" s="1"/>
      <c r="G19" s="70" t="s">
        <v>187</v>
      </c>
      <c r="H19" s="17" t="s">
        <v>112</v>
      </c>
      <c r="I19" s="1"/>
      <c r="J19" s="1"/>
      <c r="K19" s="1"/>
      <c r="L19" s="7" t="s">
        <v>112</v>
      </c>
      <c r="M19" s="1"/>
      <c r="N19" s="7" t="s">
        <v>112</v>
      </c>
      <c r="O19" s="7" t="s">
        <v>112</v>
      </c>
      <c r="P19" s="1"/>
      <c r="Q19" s="1"/>
      <c r="R19" s="7" t="s">
        <v>112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/>
      <c r="B20" s="40"/>
      <c r="C20" s="42" t="s">
        <v>190</v>
      </c>
      <c r="D20" s="72" t="s">
        <v>191</v>
      </c>
      <c r="E20" s="72" t="s">
        <v>186</v>
      </c>
      <c r="F20" s="42"/>
      <c r="G20" s="72" t="s">
        <v>187</v>
      </c>
      <c r="H20" s="46" t="s">
        <v>193</v>
      </c>
      <c r="I20" s="28"/>
      <c r="J20" s="28"/>
      <c r="K20" s="28"/>
      <c r="L20" s="30" t="s">
        <v>193</v>
      </c>
      <c r="M20" s="28"/>
      <c r="N20" s="30" t="s">
        <v>193</v>
      </c>
      <c r="O20" s="30" t="s">
        <v>193</v>
      </c>
      <c r="P20" s="28"/>
      <c r="Q20" s="28"/>
      <c r="R20" s="30" t="s">
        <v>193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>
      <c r="A22" s="1"/>
      <c r="B22" s="1"/>
      <c r="C22" s="1"/>
      <c r="D22" s="1"/>
      <c r="E22" s="1"/>
      <c r="F22" s="1"/>
      <c r="G22" s="7" t="s">
        <v>36</v>
      </c>
      <c r="H22" s="1" t="s">
        <v>196</v>
      </c>
      <c r="I22" s="7" t="s">
        <v>36</v>
      </c>
      <c r="J22" s="1"/>
      <c r="K22" s="7" t="s">
        <v>93</v>
      </c>
      <c r="L22" s="7" t="s">
        <v>93</v>
      </c>
      <c r="M22" s="7" t="s">
        <v>201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>
      <c r="A23" s="1"/>
      <c r="B23" s="9" t="s">
        <v>203</v>
      </c>
      <c r="C23" s="10"/>
      <c r="D23" s="11" t="s">
        <v>62</v>
      </c>
      <c r="E23" s="11" t="s">
        <v>64</v>
      </c>
      <c r="F23" s="10"/>
      <c r="G23" s="11" t="s">
        <v>204</v>
      </c>
      <c r="H23" s="12" t="s">
        <v>71</v>
      </c>
      <c r="I23" s="11" t="s">
        <v>66</v>
      </c>
      <c r="J23" s="10"/>
      <c r="K23" s="11" t="s">
        <v>68</v>
      </c>
      <c r="L23" s="11" t="s">
        <v>206</v>
      </c>
      <c r="M23" s="13" t="s">
        <v>207</v>
      </c>
      <c r="N23" s="1"/>
      <c r="O23" s="1"/>
      <c r="P23" s="80" t="s">
        <v>208</v>
      </c>
      <c r="Q23" s="11" t="s">
        <v>73</v>
      </c>
      <c r="R23" s="11" t="s">
        <v>66</v>
      </c>
      <c r="S23" s="13" t="s">
        <v>209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"/>
      <c r="B24" s="53"/>
      <c r="C24" s="1" t="s">
        <v>81</v>
      </c>
      <c r="D24" s="7">
        <v>3.0</v>
      </c>
      <c r="E24" s="7">
        <v>0.0</v>
      </c>
      <c r="F24" s="1"/>
      <c r="G24" s="7">
        <v>30.0</v>
      </c>
      <c r="H24" s="7">
        <v>0.0</v>
      </c>
      <c r="I24" s="16" t="s">
        <v>83</v>
      </c>
      <c r="J24" s="1"/>
      <c r="K24" s="7">
        <v>0.5</v>
      </c>
      <c r="L24" s="7">
        <v>2.0</v>
      </c>
      <c r="M24" s="17">
        <v>5.0</v>
      </c>
      <c r="N24" s="1"/>
      <c r="O24" s="1"/>
      <c r="P24" s="84">
        <v>-4.0</v>
      </c>
      <c r="Q24" s="7" t="s">
        <v>214</v>
      </c>
      <c r="R24" s="7" t="s">
        <v>215</v>
      </c>
      <c r="S24" s="17" t="s">
        <v>216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"/>
      <c r="B25" s="53"/>
      <c r="C25" s="28" t="s">
        <v>101</v>
      </c>
      <c r="D25" s="30">
        <v>4.0</v>
      </c>
      <c r="E25" s="30">
        <v>0.0</v>
      </c>
      <c r="F25" s="28"/>
      <c r="G25" s="30">
        <v>40.0</v>
      </c>
      <c r="H25" s="30">
        <v>0.0</v>
      </c>
      <c r="I25" s="31" t="s">
        <v>103</v>
      </c>
      <c r="J25" s="28"/>
      <c r="K25" s="30">
        <v>1.0</v>
      </c>
      <c r="L25" s="30">
        <v>3.0</v>
      </c>
      <c r="M25" s="32">
        <v>10.0</v>
      </c>
      <c r="N25" s="1"/>
      <c r="O25" s="1"/>
      <c r="P25" s="84">
        <v>-3.0</v>
      </c>
      <c r="Q25" s="7" t="s">
        <v>218</v>
      </c>
      <c r="R25" s="7" t="s">
        <v>219</v>
      </c>
      <c r="S25" s="17" t="s">
        <v>112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/>
      <c r="B26" s="53"/>
      <c r="C26" s="1" t="s">
        <v>104</v>
      </c>
      <c r="D26" s="7">
        <v>5.0</v>
      </c>
      <c r="E26" s="7">
        <v>1.0</v>
      </c>
      <c r="F26" s="1"/>
      <c r="G26" s="7">
        <v>40.0</v>
      </c>
      <c r="H26" s="7">
        <v>1.0</v>
      </c>
      <c r="I26" s="16" t="s">
        <v>106</v>
      </c>
      <c r="J26" s="1"/>
      <c r="K26" s="7">
        <v>2.0</v>
      </c>
      <c r="L26" s="7">
        <v>5.0</v>
      </c>
      <c r="M26" s="17">
        <v>20.0</v>
      </c>
      <c r="N26" s="1"/>
      <c r="O26" s="1"/>
      <c r="P26" s="84">
        <v>-2.0</v>
      </c>
      <c r="Q26" s="7" t="s">
        <v>219</v>
      </c>
      <c r="R26" s="7" t="s">
        <v>229</v>
      </c>
      <c r="S26" s="17" t="s">
        <v>106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"/>
      <c r="B27" s="53"/>
      <c r="C27" s="28" t="s">
        <v>110</v>
      </c>
      <c r="D27" s="30">
        <v>6.0</v>
      </c>
      <c r="E27" s="30">
        <v>2.0</v>
      </c>
      <c r="F27" s="28"/>
      <c r="G27" s="30">
        <v>40.0</v>
      </c>
      <c r="H27" s="30">
        <v>5.0</v>
      </c>
      <c r="I27" s="31" t="s">
        <v>112</v>
      </c>
      <c r="J27" s="28"/>
      <c r="K27" s="30">
        <v>5.0</v>
      </c>
      <c r="L27" s="30">
        <v>10.0</v>
      </c>
      <c r="M27" s="32">
        <v>40.0</v>
      </c>
      <c r="N27" s="1"/>
      <c r="O27" s="1"/>
      <c r="P27" s="84">
        <v>-1.0</v>
      </c>
      <c r="Q27" s="7" t="s">
        <v>233</v>
      </c>
      <c r="R27" s="7" t="s">
        <v>234</v>
      </c>
      <c r="S27" s="17" t="s">
        <v>235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>
      <c r="A28" s="1"/>
      <c r="B28" s="53"/>
      <c r="C28" s="1" t="s">
        <v>237</v>
      </c>
      <c r="D28" s="7">
        <v>6.0</v>
      </c>
      <c r="E28" s="7">
        <v>3.0</v>
      </c>
      <c r="F28" s="1"/>
      <c r="G28" s="7">
        <v>40.0</v>
      </c>
      <c r="H28" s="7">
        <v>5.0</v>
      </c>
      <c r="I28" s="16" t="s">
        <v>83</v>
      </c>
      <c r="J28" s="1"/>
      <c r="K28" s="7">
        <v>10.0</v>
      </c>
      <c r="L28" s="7">
        <v>5.0</v>
      </c>
      <c r="M28" s="17">
        <v>100.0</v>
      </c>
      <c r="N28" s="1"/>
      <c r="O28" s="1"/>
      <c r="P28" s="86">
        <v>0.0</v>
      </c>
      <c r="Q28" s="30" t="s">
        <v>238</v>
      </c>
      <c r="R28" s="30" t="s">
        <v>238</v>
      </c>
      <c r="S28" s="32" t="s">
        <v>83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>
      <c r="A29" s="1"/>
      <c r="B29" s="15" t="s">
        <v>80</v>
      </c>
      <c r="C29" s="28" t="s">
        <v>239</v>
      </c>
      <c r="D29" s="28"/>
      <c r="E29" s="28"/>
      <c r="F29" s="28"/>
      <c r="G29" s="28"/>
      <c r="H29" s="28"/>
      <c r="I29" s="88"/>
      <c r="J29" s="28"/>
      <c r="K29" s="28"/>
      <c r="L29" s="28"/>
      <c r="M29" s="89"/>
      <c r="N29" s="1"/>
      <c r="O29" s="1"/>
      <c r="P29" s="84">
        <v>1.0</v>
      </c>
      <c r="Q29" s="16" t="s">
        <v>241</v>
      </c>
      <c r="R29" s="7" t="s">
        <v>242</v>
      </c>
      <c r="S29" s="17" t="s">
        <v>243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>
      <c r="A30" s="1"/>
      <c r="B30" s="53"/>
      <c r="C30" s="1" t="s">
        <v>245</v>
      </c>
      <c r="D30" s="7">
        <v>6.0</v>
      </c>
      <c r="E30" s="7">
        <v>3.0</v>
      </c>
      <c r="F30" s="1"/>
      <c r="G30" s="7">
        <v>20.0</v>
      </c>
      <c r="H30" s="7">
        <v>5.0</v>
      </c>
      <c r="I30" s="16" t="s">
        <v>83</v>
      </c>
      <c r="J30" s="1"/>
      <c r="K30" s="7">
        <v>1.0</v>
      </c>
      <c r="L30" s="7">
        <v>20.0</v>
      </c>
      <c r="M30" s="17">
        <v>100.0</v>
      </c>
      <c r="N30" s="1"/>
      <c r="O30" s="1"/>
      <c r="P30" s="84">
        <v>2.0</v>
      </c>
      <c r="Q30" s="16" t="s">
        <v>246</v>
      </c>
      <c r="R30" s="7" t="s">
        <v>247</v>
      </c>
      <c r="S30" s="17" t="s">
        <v>248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>
      <c r="A31" s="1"/>
      <c r="B31" s="15" t="s">
        <v>80</v>
      </c>
      <c r="C31" s="28" t="s">
        <v>249</v>
      </c>
      <c r="D31" s="30">
        <v>5.0</v>
      </c>
      <c r="E31" s="30">
        <v>1.0</v>
      </c>
      <c r="F31" s="28"/>
      <c r="G31" s="30">
        <v>30.0</v>
      </c>
      <c r="H31" s="30">
        <v>0.0</v>
      </c>
      <c r="I31" s="88"/>
      <c r="J31" s="28"/>
      <c r="K31" s="30">
        <v>1.0</v>
      </c>
      <c r="L31" s="30">
        <v>5.0</v>
      </c>
      <c r="M31" s="32">
        <v>30.0</v>
      </c>
      <c r="N31" s="1"/>
      <c r="O31" s="1"/>
      <c r="P31" s="91">
        <v>3.0</v>
      </c>
      <c r="Q31" s="92" t="s">
        <v>251</v>
      </c>
      <c r="R31" s="93" t="s">
        <v>246</v>
      </c>
      <c r="S31" s="94" t="s">
        <v>193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>
      <c r="A32" s="1"/>
      <c r="B32" s="53"/>
      <c r="C32" s="1" t="s">
        <v>252</v>
      </c>
      <c r="D32" s="1"/>
      <c r="E32" s="7">
        <v>0.0</v>
      </c>
      <c r="F32" s="1"/>
      <c r="G32" s="7">
        <v>20.0</v>
      </c>
      <c r="H32" s="7">
        <v>1.0</v>
      </c>
      <c r="I32" s="16" t="s">
        <v>253</v>
      </c>
      <c r="J32" s="1"/>
      <c r="K32" s="7">
        <v>1.0</v>
      </c>
      <c r="L32" s="7">
        <v>0.0</v>
      </c>
      <c r="M32" s="17">
        <v>100.0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>
      <c r="A33" s="1"/>
      <c r="B33" s="53"/>
      <c r="C33" s="28" t="s">
        <v>254</v>
      </c>
      <c r="D33" s="28"/>
      <c r="E33" s="30">
        <v>0.0</v>
      </c>
      <c r="F33" s="28"/>
      <c r="G33" s="30">
        <v>20.0</v>
      </c>
      <c r="H33" s="30">
        <v>1.0</v>
      </c>
      <c r="I33" s="31" t="s">
        <v>255</v>
      </c>
      <c r="J33" s="28"/>
      <c r="K33" s="30">
        <v>1.0</v>
      </c>
      <c r="L33" s="30">
        <v>0.0</v>
      </c>
      <c r="M33" s="32">
        <v>20.0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>
      <c r="A34" s="1"/>
      <c r="B34" s="15" t="s">
        <v>80</v>
      </c>
      <c r="C34" s="97" t="s">
        <v>258</v>
      </c>
      <c r="D34" s="97"/>
      <c r="E34" s="93">
        <v>1.0</v>
      </c>
      <c r="F34" s="97"/>
      <c r="G34" s="97"/>
      <c r="H34" s="93">
        <v>0.0</v>
      </c>
      <c r="I34" s="98"/>
      <c r="J34" s="97"/>
      <c r="K34" s="97"/>
      <c r="L34" s="97"/>
      <c r="M34" s="9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>
      <c r="A36" s="1"/>
      <c r="B36" s="1"/>
      <c r="C36" s="1"/>
      <c r="D36" s="1"/>
      <c r="E36" s="7" t="s">
        <v>263</v>
      </c>
      <c r="F36" s="1"/>
      <c r="G36" s="1" t="s">
        <v>196</v>
      </c>
      <c r="H36" s="1"/>
      <c r="I36" s="1"/>
      <c r="J36" s="7" t="s">
        <v>29</v>
      </c>
      <c r="K36" s="1"/>
      <c r="L36" s="7" t="s">
        <v>201</v>
      </c>
      <c r="M36" s="7" t="s">
        <v>265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>
      <c r="A37" s="1"/>
      <c r="B37" s="9" t="s">
        <v>268</v>
      </c>
      <c r="C37" s="10"/>
      <c r="D37" s="11" t="s">
        <v>64</v>
      </c>
      <c r="E37" s="11" t="s">
        <v>204</v>
      </c>
      <c r="F37" s="10"/>
      <c r="G37" s="12" t="s">
        <v>71</v>
      </c>
      <c r="H37" s="11" t="s">
        <v>269</v>
      </c>
      <c r="I37" s="10"/>
      <c r="J37" s="11" t="s">
        <v>270</v>
      </c>
      <c r="K37" s="10"/>
      <c r="L37" s="11" t="s">
        <v>271</v>
      </c>
      <c r="M37" s="13" t="s">
        <v>69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>
      <c r="A38" s="1"/>
      <c r="B38" s="53"/>
      <c r="C38" s="1" t="s">
        <v>81</v>
      </c>
      <c r="D38" s="7">
        <v>0.0</v>
      </c>
      <c r="E38" s="7">
        <v>3.0</v>
      </c>
      <c r="F38" s="1"/>
      <c r="G38" s="7">
        <v>0.0</v>
      </c>
      <c r="H38" s="16" t="s">
        <v>83</v>
      </c>
      <c r="I38" s="1"/>
      <c r="J38" s="7" t="s">
        <v>84</v>
      </c>
      <c r="K38" s="1"/>
      <c r="L38" s="7">
        <v>10.0</v>
      </c>
      <c r="M38" s="17">
        <v>0.2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>
      <c r="A39" s="1"/>
      <c r="B39" s="53"/>
      <c r="C39" s="28" t="s">
        <v>101</v>
      </c>
      <c r="D39" s="30">
        <v>0.0</v>
      </c>
      <c r="E39" s="30">
        <v>5.0</v>
      </c>
      <c r="F39" s="28"/>
      <c r="G39" s="30">
        <v>0.0</v>
      </c>
      <c r="H39" s="31" t="s">
        <v>103</v>
      </c>
      <c r="I39" s="28"/>
      <c r="J39" s="30" t="s">
        <v>84</v>
      </c>
      <c r="K39" s="28"/>
      <c r="L39" s="30">
        <v>20.0</v>
      </c>
      <c r="M39" s="32">
        <v>1.0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>
      <c r="A40" s="1"/>
      <c r="B40" s="53"/>
      <c r="C40" s="1" t="s">
        <v>104</v>
      </c>
      <c r="D40" s="7">
        <v>0.0</v>
      </c>
      <c r="E40" s="7">
        <v>10.0</v>
      </c>
      <c r="F40" s="1"/>
      <c r="G40" s="7">
        <v>1.0</v>
      </c>
      <c r="H40" s="16" t="s">
        <v>106</v>
      </c>
      <c r="I40" s="1"/>
      <c r="J40" s="7" t="s">
        <v>107</v>
      </c>
      <c r="K40" s="1"/>
      <c r="L40" s="7">
        <v>50.0</v>
      </c>
      <c r="M40" s="17">
        <v>5.0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>
      <c r="A41" s="1"/>
      <c r="B41" s="53"/>
      <c r="C41" s="28" t="s">
        <v>110</v>
      </c>
      <c r="D41" s="30">
        <v>1.0</v>
      </c>
      <c r="E41" s="31">
        <v>10.0</v>
      </c>
      <c r="F41" s="28"/>
      <c r="G41" s="30">
        <v>2.0</v>
      </c>
      <c r="H41" s="31" t="s">
        <v>112</v>
      </c>
      <c r="I41" s="28"/>
      <c r="J41" s="30" t="s">
        <v>114</v>
      </c>
      <c r="K41" s="28"/>
      <c r="L41" s="30">
        <v>100.0</v>
      </c>
      <c r="M41" s="32">
        <v>50.0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>
      <c r="A42" s="1"/>
      <c r="B42" s="15" t="s">
        <v>80</v>
      </c>
      <c r="C42" s="1" t="s">
        <v>276</v>
      </c>
      <c r="D42" s="7">
        <v>1.0</v>
      </c>
      <c r="E42" s="16">
        <v>20.0</v>
      </c>
      <c r="F42" s="1"/>
      <c r="G42" s="7">
        <v>0.0</v>
      </c>
      <c r="H42" s="16" t="s">
        <v>278</v>
      </c>
      <c r="I42" s="1"/>
      <c r="J42" s="7" t="s">
        <v>107</v>
      </c>
      <c r="K42" s="1"/>
      <c r="L42" s="7">
        <v>20.0</v>
      </c>
      <c r="M42" s="17">
        <v>5.0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"/>
      <c r="B43" s="53"/>
      <c r="C43" s="28" t="s">
        <v>280</v>
      </c>
      <c r="D43" s="30">
        <v>3.0</v>
      </c>
      <c r="E43" s="31">
        <v>10.0</v>
      </c>
      <c r="F43" s="28"/>
      <c r="G43" s="30">
        <v>1.0</v>
      </c>
      <c r="H43" s="31" t="s">
        <v>83</v>
      </c>
      <c r="I43" s="28"/>
      <c r="J43" s="30" t="s">
        <v>84</v>
      </c>
      <c r="K43" s="28"/>
      <c r="L43" s="30">
        <v>10.0</v>
      </c>
      <c r="M43" s="32">
        <v>0.5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1"/>
      <c r="B44" s="15" t="s">
        <v>80</v>
      </c>
      <c r="C44" s="1" t="s">
        <v>281</v>
      </c>
      <c r="D44" s="7">
        <v>3.0</v>
      </c>
      <c r="E44" s="16">
        <v>10.0</v>
      </c>
      <c r="F44" s="1"/>
      <c r="G44" s="7">
        <v>2.0</v>
      </c>
      <c r="H44" s="16" t="s">
        <v>83</v>
      </c>
      <c r="I44" s="1"/>
      <c r="J44" s="7" t="s">
        <v>282</v>
      </c>
      <c r="K44" s="1"/>
      <c r="L44" s="7">
        <v>300.0</v>
      </c>
      <c r="M44" s="17">
        <v>500.0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A45" s="1"/>
      <c r="B45" s="53"/>
      <c r="C45" s="28" t="s">
        <v>284</v>
      </c>
      <c r="D45" s="30">
        <v>1.0</v>
      </c>
      <c r="E45" s="30">
        <v>1.0</v>
      </c>
      <c r="F45" s="28"/>
      <c r="G45" s="30">
        <v>0.0</v>
      </c>
      <c r="H45" s="31" t="s">
        <v>83</v>
      </c>
      <c r="I45" s="28"/>
      <c r="J45" s="30" t="s">
        <v>84</v>
      </c>
      <c r="K45" s="28"/>
      <c r="L45" s="30">
        <v>20.0</v>
      </c>
      <c r="M45" s="32">
        <v>0.2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>
      <c r="A46" s="1"/>
      <c r="B46" s="53"/>
      <c r="C46" s="1" t="s">
        <v>285</v>
      </c>
      <c r="D46" s="7">
        <v>0.0</v>
      </c>
      <c r="E46" s="16">
        <v>20.0</v>
      </c>
      <c r="F46" s="1"/>
      <c r="G46" s="7">
        <v>1.0</v>
      </c>
      <c r="H46" s="16" t="s">
        <v>286</v>
      </c>
      <c r="I46" s="1"/>
      <c r="J46" s="7" t="s">
        <v>84</v>
      </c>
      <c r="K46" s="1"/>
      <c r="L46" s="7">
        <v>10.0</v>
      </c>
      <c r="M46" s="17">
        <v>1.0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>
      <c r="A47" s="1"/>
      <c r="B47" s="101" t="s">
        <v>80</v>
      </c>
      <c r="C47" s="42" t="s">
        <v>289</v>
      </c>
      <c r="D47" s="44">
        <v>0.0</v>
      </c>
      <c r="E47" s="44">
        <v>5.0</v>
      </c>
      <c r="F47" s="42"/>
      <c r="G47" s="44">
        <v>1.0</v>
      </c>
      <c r="H47" s="45" t="s">
        <v>83</v>
      </c>
      <c r="I47" s="42"/>
      <c r="J47" s="44" t="s">
        <v>84</v>
      </c>
      <c r="K47" s="42"/>
      <c r="L47" s="44">
        <v>5.0</v>
      </c>
      <c r="M47" s="46">
        <v>0.1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>
      <c r="A49" s="1"/>
      <c r="B49" s="1"/>
      <c r="C49" s="1"/>
      <c r="D49" s="1"/>
      <c r="E49" s="1"/>
      <c r="F49" s="1"/>
      <c r="G49" s="7" t="s">
        <v>37</v>
      </c>
      <c r="H49" s="1" t="s">
        <v>34</v>
      </c>
      <c r="I49" s="1"/>
      <c r="J49" s="1"/>
      <c r="K49" s="1"/>
      <c r="L49" s="7" t="s">
        <v>93</v>
      </c>
      <c r="M49" s="7" t="s">
        <v>201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>
      <c r="A50" s="1"/>
      <c r="B50" s="9" t="s">
        <v>292</v>
      </c>
      <c r="C50" s="10"/>
      <c r="D50" s="11" t="s">
        <v>208</v>
      </c>
      <c r="E50" s="11" t="s">
        <v>64</v>
      </c>
      <c r="F50" s="10"/>
      <c r="G50" s="11" t="s">
        <v>204</v>
      </c>
      <c r="H50" s="12" t="s">
        <v>71</v>
      </c>
      <c r="I50" s="10"/>
      <c r="J50" s="10"/>
      <c r="K50" s="11" t="s">
        <v>293</v>
      </c>
      <c r="L50" s="11" t="s">
        <v>294</v>
      </c>
      <c r="M50" s="13" t="s">
        <v>207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>
      <c r="A51" s="1"/>
      <c r="B51" s="15" t="s">
        <v>80</v>
      </c>
      <c r="C51" s="1" t="s">
        <v>296</v>
      </c>
      <c r="D51" s="7">
        <v>0.0</v>
      </c>
      <c r="E51" s="7">
        <v>1.0</v>
      </c>
      <c r="F51" s="1"/>
      <c r="G51" s="20">
        <v>0.3</v>
      </c>
      <c r="H51" s="7" t="s">
        <v>298</v>
      </c>
      <c r="I51" s="103"/>
      <c r="J51" s="1"/>
      <c r="K51" s="7" t="s">
        <v>299</v>
      </c>
      <c r="L51" s="7" t="s">
        <v>300</v>
      </c>
      <c r="M51" s="17" t="s">
        <v>301</v>
      </c>
      <c r="N51" s="1"/>
      <c r="O51" s="1" t="s">
        <v>302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>
      <c r="A52" s="1"/>
      <c r="B52" s="15" t="s">
        <v>80</v>
      </c>
      <c r="C52" s="1" t="s">
        <v>304</v>
      </c>
      <c r="D52" s="7">
        <v>-1.0</v>
      </c>
      <c r="E52" s="7">
        <v>1.0</v>
      </c>
      <c r="F52" s="1"/>
      <c r="G52" s="20">
        <v>0.3</v>
      </c>
      <c r="H52" s="7" t="s">
        <v>298</v>
      </c>
      <c r="I52" s="103"/>
      <c r="J52" s="1"/>
      <c r="K52" s="7" t="s">
        <v>299</v>
      </c>
      <c r="L52" s="7" t="s">
        <v>300</v>
      </c>
      <c r="M52" s="17" t="s">
        <v>305</v>
      </c>
      <c r="N52" s="1"/>
      <c r="O52" s="1" t="s">
        <v>306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>
      <c r="A53" s="1"/>
      <c r="B53" s="15" t="s">
        <v>80</v>
      </c>
      <c r="C53" s="1" t="s">
        <v>307</v>
      </c>
      <c r="D53" s="7">
        <v>-2.0</v>
      </c>
      <c r="E53" s="7">
        <v>1.0</v>
      </c>
      <c r="F53" s="1"/>
      <c r="G53" s="20">
        <v>0.3</v>
      </c>
      <c r="H53" s="7" t="s">
        <v>298</v>
      </c>
      <c r="I53" s="1"/>
      <c r="J53" s="1"/>
      <c r="K53" s="7" t="s">
        <v>299</v>
      </c>
      <c r="L53" s="7" t="s">
        <v>308</v>
      </c>
      <c r="M53" s="17" t="s">
        <v>301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>
      <c r="A54" s="1"/>
      <c r="B54" s="15" t="s">
        <v>80</v>
      </c>
      <c r="C54" s="1" t="s">
        <v>309</v>
      </c>
      <c r="D54" s="7">
        <v>-3.0</v>
      </c>
      <c r="E54" s="7">
        <v>1.0</v>
      </c>
      <c r="F54" s="1"/>
      <c r="G54" s="20">
        <v>0.3</v>
      </c>
      <c r="H54" s="7" t="s">
        <v>298</v>
      </c>
      <c r="I54" s="1"/>
      <c r="J54" s="1"/>
      <c r="K54" s="7" t="s">
        <v>299</v>
      </c>
      <c r="L54" s="7" t="s">
        <v>310</v>
      </c>
      <c r="M54" s="17" t="s">
        <v>311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>
      <c r="A55" s="1"/>
      <c r="B55" s="101" t="s">
        <v>80</v>
      </c>
      <c r="C55" s="97" t="s">
        <v>312</v>
      </c>
      <c r="D55" s="93">
        <v>-4.0</v>
      </c>
      <c r="E55" s="93">
        <v>1.0</v>
      </c>
      <c r="F55" s="97"/>
      <c r="G55" s="110"/>
      <c r="H55" s="93" t="s">
        <v>298</v>
      </c>
      <c r="I55" s="97"/>
      <c r="J55" s="97"/>
      <c r="K55" s="93" t="s">
        <v>313</v>
      </c>
      <c r="L55" s="93" t="s">
        <v>314</v>
      </c>
      <c r="M55" s="94">
        <v>20.0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>
      <c r="A57" s="1"/>
      <c r="B57" s="9" t="s">
        <v>316</v>
      </c>
      <c r="C57" s="10"/>
      <c r="D57" s="11" t="s">
        <v>208</v>
      </c>
      <c r="E57" s="11" t="s">
        <v>64</v>
      </c>
      <c r="F57" s="10"/>
      <c r="G57" s="11" t="s">
        <v>204</v>
      </c>
      <c r="H57" s="12" t="s">
        <v>71</v>
      </c>
      <c r="I57" s="10"/>
      <c r="J57" s="10"/>
      <c r="K57" s="11" t="s">
        <v>293</v>
      </c>
      <c r="L57" s="11" t="s">
        <v>294</v>
      </c>
      <c r="M57" s="13" t="s">
        <v>207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>
      <c r="A58" s="1"/>
      <c r="B58" s="53"/>
      <c r="C58" s="1" t="s">
        <v>317</v>
      </c>
      <c r="D58" s="7" t="s">
        <v>318</v>
      </c>
      <c r="E58" s="7">
        <v>2.0</v>
      </c>
      <c r="F58" s="1"/>
      <c r="G58" s="20">
        <v>0.4</v>
      </c>
      <c r="H58" s="7" t="s">
        <v>320</v>
      </c>
      <c r="I58" s="103"/>
      <c r="J58" s="1"/>
      <c r="K58" s="7" t="s">
        <v>313</v>
      </c>
      <c r="L58" s="19">
        <v>10.0</v>
      </c>
      <c r="M58" s="17">
        <v>100.0</v>
      </c>
      <c r="N58" s="1"/>
      <c r="O58" s="1"/>
      <c r="P58" s="1"/>
      <c r="Q58" s="1"/>
      <c r="R58" s="1"/>
      <c r="S58" s="115"/>
      <c r="T58" s="1"/>
      <c r="U58" s="1"/>
      <c r="V58" s="1"/>
      <c r="W58" s="1"/>
      <c r="X58" s="1"/>
      <c r="Y58" s="26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>
      <c r="A59" s="1"/>
      <c r="B59" s="53"/>
      <c r="C59" s="1" t="s">
        <v>322</v>
      </c>
      <c r="D59" s="7" t="s">
        <v>323</v>
      </c>
      <c r="E59" s="7">
        <v>2.0</v>
      </c>
      <c r="F59" s="1"/>
      <c r="G59" s="20">
        <v>0.6</v>
      </c>
      <c r="H59" s="7" t="s">
        <v>298</v>
      </c>
      <c r="I59" s="1"/>
      <c r="J59" s="1"/>
      <c r="K59" s="7" t="s">
        <v>313</v>
      </c>
      <c r="L59" s="19">
        <v>0.5</v>
      </c>
      <c r="M59" s="17">
        <v>100.0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>
      <c r="A60" s="1"/>
      <c r="B60" s="53"/>
      <c r="C60" s="1" t="s">
        <v>325</v>
      </c>
      <c r="D60" s="7">
        <v>-1.0</v>
      </c>
      <c r="E60" s="7">
        <v>2.0</v>
      </c>
      <c r="F60" s="1"/>
      <c r="G60" s="20">
        <v>0.4</v>
      </c>
      <c r="H60" s="7" t="s">
        <v>320</v>
      </c>
      <c r="I60" s="103"/>
      <c r="J60" s="1"/>
      <c r="K60" s="7" t="s">
        <v>313</v>
      </c>
      <c r="L60" s="7">
        <v>30.0</v>
      </c>
      <c r="M60" s="17">
        <v>100.0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>
      <c r="A61" s="1"/>
      <c r="B61" s="53"/>
      <c r="C61" s="1" t="s">
        <v>328</v>
      </c>
      <c r="D61" s="7">
        <v>-2.0</v>
      </c>
      <c r="E61" s="7">
        <v>2.0</v>
      </c>
      <c r="F61" s="1"/>
      <c r="G61" s="20">
        <v>0.4</v>
      </c>
      <c r="H61" s="7" t="s">
        <v>320</v>
      </c>
      <c r="I61" s="1"/>
      <c r="J61" s="1"/>
      <c r="K61" s="7" t="s">
        <v>313</v>
      </c>
      <c r="L61" s="7">
        <v>50.0</v>
      </c>
      <c r="M61" s="17">
        <v>30.0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>
      <c r="A62" s="1"/>
      <c r="B62" s="40"/>
      <c r="C62" s="97" t="s">
        <v>329</v>
      </c>
      <c r="D62" s="93">
        <v>-4.0</v>
      </c>
      <c r="E62" s="93">
        <v>2.0</v>
      </c>
      <c r="F62" s="97"/>
      <c r="G62" s="117">
        <v>0.4</v>
      </c>
      <c r="H62" s="93" t="s">
        <v>320</v>
      </c>
      <c r="I62" s="97"/>
      <c r="J62" s="97"/>
      <c r="K62" s="93" t="s">
        <v>313</v>
      </c>
      <c r="L62" s="93">
        <v>30.0</v>
      </c>
      <c r="M62" s="94">
        <v>20.0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>
      <c r="A64" s="1"/>
      <c r="B64" s="9" t="s">
        <v>331</v>
      </c>
      <c r="C64" s="10"/>
      <c r="D64" s="11" t="s">
        <v>208</v>
      </c>
      <c r="E64" s="11" t="s">
        <v>64</v>
      </c>
      <c r="F64" s="10"/>
      <c r="G64" s="11" t="s">
        <v>204</v>
      </c>
      <c r="H64" s="12" t="s">
        <v>71</v>
      </c>
      <c r="I64" s="11" t="s">
        <v>66</v>
      </c>
      <c r="J64" s="10"/>
      <c r="K64" s="11" t="s">
        <v>293</v>
      </c>
      <c r="L64" s="11" t="s">
        <v>294</v>
      </c>
      <c r="M64" s="13" t="s">
        <v>207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>
      <c r="A65" s="1"/>
      <c r="B65" s="53"/>
      <c r="C65" s="1" t="s">
        <v>180</v>
      </c>
      <c r="D65" s="7">
        <v>0.0</v>
      </c>
      <c r="E65" s="7">
        <v>2.0</v>
      </c>
      <c r="F65" s="1"/>
      <c r="G65" s="20">
        <v>0.3</v>
      </c>
      <c r="H65" s="7" t="s">
        <v>320</v>
      </c>
      <c r="I65" s="16" t="s">
        <v>83</v>
      </c>
      <c r="J65" s="1"/>
      <c r="K65" s="7" t="s">
        <v>313</v>
      </c>
      <c r="L65" s="19">
        <v>0.5</v>
      </c>
      <c r="M65" s="17">
        <v>50.0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>
      <c r="A66" s="1"/>
      <c r="B66" s="53"/>
      <c r="C66" s="1" t="s">
        <v>332</v>
      </c>
      <c r="D66" s="7">
        <v>1.0</v>
      </c>
      <c r="E66" s="7">
        <v>11.0</v>
      </c>
      <c r="F66" s="1"/>
      <c r="G66" s="20">
        <v>0.3</v>
      </c>
      <c r="H66" s="7" t="s">
        <v>333</v>
      </c>
      <c r="I66" s="16" t="s">
        <v>83</v>
      </c>
      <c r="J66" s="1"/>
      <c r="K66" s="7" t="s">
        <v>334</v>
      </c>
      <c r="L66" s="7">
        <v>50.0</v>
      </c>
      <c r="M66" s="17">
        <v>100.0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>
      <c r="A67" s="1"/>
      <c r="B67" s="53"/>
      <c r="C67" s="1" t="s">
        <v>335</v>
      </c>
      <c r="D67" s="7">
        <v>2.0</v>
      </c>
      <c r="E67" s="7">
        <v>12.0</v>
      </c>
      <c r="F67" s="1"/>
      <c r="G67" s="20">
        <v>0.6</v>
      </c>
      <c r="H67" s="7" t="s">
        <v>298</v>
      </c>
      <c r="I67" s="7" t="s">
        <v>193</v>
      </c>
      <c r="J67" s="1"/>
      <c r="K67" s="7" t="s">
        <v>299</v>
      </c>
      <c r="L67" s="7">
        <v>10.0</v>
      </c>
      <c r="M67" s="119">
        <v>1000.0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>
      <c r="A68" s="1"/>
      <c r="B68" s="53"/>
      <c r="C68" s="1" t="s">
        <v>337</v>
      </c>
      <c r="D68" s="7" t="s">
        <v>114</v>
      </c>
      <c r="E68" s="7" t="s">
        <v>338</v>
      </c>
      <c r="F68" s="1"/>
      <c r="G68" s="20">
        <v>0.6</v>
      </c>
      <c r="H68" s="7" t="s">
        <v>339</v>
      </c>
      <c r="I68" s="103"/>
      <c r="J68" s="1"/>
      <c r="K68" s="7" t="s">
        <v>334</v>
      </c>
      <c r="L68" s="7">
        <v>20.0</v>
      </c>
      <c r="M68" s="119">
        <v>1000.0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>
      <c r="A69" s="1"/>
      <c r="B69" s="53"/>
      <c r="C69" s="1" t="s">
        <v>340</v>
      </c>
      <c r="D69" s="7" t="s">
        <v>282</v>
      </c>
      <c r="E69" s="7" t="s">
        <v>341</v>
      </c>
      <c r="F69" s="1"/>
      <c r="G69" s="20">
        <v>0.3</v>
      </c>
      <c r="H69" s="7" t="s">
        <v>298</v>
      </c>
      <c r="I69" s="103"/>
      <c r="J69" s="1"/>
      <c r="K69" s="7" t="s">
        <v>334</v>
      </c>
      <c r="L69" s="7">
        <v>10.0</v>
      </c>
      <c r="M69" s="17" t="s">
        <v>183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>
      <c r="A70" s="1"/>
      <c r="B70" s="40"/>
      <c r="C70" s="97" t="s">
        <v>342</v>
      </c>
      <c r="D70" s="93">
        <v>3.0</v>
      </c>
      <c r="E70" s="97"/>
      <c r="F70" s="97"/>
      <c r="G70" s="117">
        <v>1.3</v>
      </c>
      <c r="H70" s="93" t="s">
        <v>343</v>
      </c>
      <c r="I70" s="97"/>
      <c r="J70" s="97"/>
      <c r="K70" s="93" t="s">
        <v>334</v>
      </c>
      <c r="L70" s="93">
        <v>0.2</v>
      </c>
      <c r="M70" s="120">
        <v>300.0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21"/>
      <c r="AF74" s="1"/>
      <c r="AG74" s="1"/>
      <c r="AH74" s="1"/>
      <c r="A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</sheetData>
  <mergeCells count="2">
    <mergeCell ref="U1:Z1"/>
    <mergeCell ref="AA1:AB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7.38"/>
    <col customWidth="1" min="4" max="4" width="8.5"/>
    <col customWidth="1" min="5" max="5" width="12.38"/>
    <col customWidth="1" min="6" max="6" width="8.0"/>
    <col customWidth="1" min="7" max="7" width="7.13"/>
    <col customWidth="1" min="8" max="8" width="10.75"/>
    <col customWidth="1" min="9" max="10" width="8.38"/>
    <col customWidth="1" min="11" max="11" width="7.13"/>
    <col customWidth="1" min="12" max="12" width="6.0"/>
    <col customWidth="1" min="13" max="13" width="8.25"/>
    <col customWidth="1" min="14" max="14" width="5.5"/>
    <col customWidth="1" min="15" max="15" width="5.0"/>
    <col customWidth="1" min="16" max="16" width="10.88"/>
  </cols>
  <sheetData>
    <row r="1"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  <c r="K1" s="8" t="s">
        <v>90</v>
      </c>
      <c r="L1" s="8" t="s">
        <v>93</v>
      </c>
      <c r="M1" s="25"/>
    </row>
    <row r="2">
      <c r="B2" s="2"/>
      <c r="C2" s="3" t="s">
        <v>71</v>
      </c>
      <c r="D2" s="3" t="s">
        <v>94</v>
      </c>
      <c r="E2" s="3" t="s">
        <v>95</v>
      </c>
      <c r="F2" s="3" t="s">
        <v>96</v>
      </c>
      <c r="G2" s="3" t="s">
        <v>73</v>
      </c>
      <c r="H2" s="3" t="s">
        <v>97</v>
      </c>
      <c r="I2" s="3" t="s">
        <v>98</v>
      </c>
      <c r="K2" s="3" t="s">
        <v>99</v>
      </c>
      <c r="L2" s="27" t="s">
        <v>100</v>
      </c>
      <c r="N2" s="29"/>
      <c r="O2" s="29"/>
      <c r="P2" s="29"/>
    </row>
    <row r="3">
      <c r="B3" s="2" t="s">
        <v>102</v>
      </c>
      <c r="C3" s="8">
        <v>0.03</v>
      </c>
      <c r="D3" s="8">
        <v>1.0</v>
      </c>
      <c r="E3" s="18">
        <v>100.0</v>
      </c>
      <c r="F3" s="8">
        <v>150.0</v>
      </c>
      <c r="G3" s="8">
        <v>1.0</v>
      </c>
      <c r="H3" s="37">
        <f t="shared" ref="H3:H13" si="1">E3/G3/1000</f>
        <v>0.1</v>
      </c>
      <c r="I3" s="38">
        <f t="shared" ref="I3:I13" si="2">C3/G3</f>
        <v>0.03</v>
      </c>
      <c r="K3" s="8">
        <v>3.0</v>
      </c>
      <c r="L3" s="39">
        <f t="shared" ref="L3:L13" si="3">E3/K3/10</f>
        <v>3.333333333</v>
      </c>
      <c r="N3" s="29"/>
      <c r="O3" s="29"/>
      <c r="P3" s="29"/>
    </row>
    <row r="4">
      <c r="B4" s="2" t="s">
        <v>108</v>
      </c>
      <c r="C4" s="18">
        <v>2600.0</v>
      </c>
      <c r="D4" s="8">
        <v>3.0</v>
      </c>
      <c r="E4" s="43">
        <f>2*C4/D4*O4</f>
        <v>936</v>
      </c>
      <c r="F4" s="8">
        <v>274.0</v>
      </c>
      <c r="G4" s="8">
        <v>0.5</v>
      </c>
      <c r="H4" s="39">
        <f t="shared" si="1"/>
        <v>1.872</v>
      </c>
      <c r="I4" s="25">
        <f t="shared" si="2"/>
        <v>5200</v>
      </c>
      <c r="K4" s="29">
        <f t="shared" ref="K4:K11" si="4">G4*10</f>
        <v>5</v>
      </c>
      <c r="L4" s="39">
        <f t="shared" si="3"/>
        <v>18.72</v>
      </c>
      <c r="N4" s="8" t="s">
        <v>116</v>
      </c>
      <c r="O4" s="48">
        <v>0.54</v>
      </c>
      <c r="P4" s="29"/>
    </row>
    <row r="5">
      <c r="B5" s="2" t="s">
        <v>119</v>
      </c>
      <c r="C5" s="18">
        <v>8000.0</v>
      </c>
      <c r="D5" s="8">
        <v>3.5</v>
      </c>
      <c r="E5" s="18">
        <v>2300.0</v>
      </c>
      <c r="F5" s="8">
        <v>705.0</v>
      </c>
      <c r="G5" s="8">
        <v>1.6</v>
      </c>
      <c r="H5" s="39">
        <f t="shared" si="1"/>
        <v>1.4375</v>
      </c>
      <c r="I5" s="25">
        <f t="shared" si="2"/>
        <v>5000</v>
      </c>
      <c r="K5" s="29">
        <f t="shared" si="4"/>
        <v>16</v>
      </c>
      <c r="L5" s="39">
        <f t="shared" si="3"/>
        <v>14.375</v>
      </c>
      <c r="N5" s="29"/>
      <c r="O5" s="29"/>
      <c r="P5" s="29"/>
    </row>
    <row r="6">
      <c r="B6" s="2" t="s">
        <v>128</v>
      </c>
      <c r="C6" s="18">
        <v>20000.0</v>
      </c>
      <c r="D6" s="8">
        <v>2.5</v>
      </c>
      <c r="E6" s="18">
        <v>7740.0</v>
      </c>
      <c r="F6" s="8"/>
      <c r="G6" s="8">
        <v>8.4</v>
      </c>
      <c r="H6" s="39">
        <f t="shared" si="1"/>
        <v>0.9214285714</v>
      </c>
      <c r="I6" s="25">
        <f t="shared" si="2"/>
        <v>2380.952381</v>
      </c>
      <c r="K6" s="29">
        <f t="shared" si="4"/>
        <v>84</v>
      </c>
      <c r="L6" s="39">
        <f t="shared" si="3"/>
        <v>9.214285714</v>
      </c>
      <c r="N6" s="29"/>
      <c r="O6" s="29"/>
      <c r="P6" s="29"/>
    </row>
    <row r="7">
      <c r="B7" s="2" t="s">
        <v>136</v>
      </c>
      <c r="C7" s="18">
        <v>100.0</v>
      </c>
      <c r="D7" s="8">
        <v>400.0</v>
      </c>
      <c r="E7" s="18">
        <v>500.0</v>
      </c>
      <c r="F7" s="8">
        <v>2.2</v>
      </c>
      <c r="G7" s="8">
        <v>1.0</v>
      </c>
      <c r="H7" s="39">
        <f t="shared" si="1"/>
        <v>0.5</v>
      </c>
      <c r="I7" s="25">
        <f t="shared" si="2"/>
        <v>100</v>
      </c>
      <c r="K7" s="29">
        <f t="shared" si="4"/>
        <v>10</v>
      </c>
      <c r="L7" s="39">
        <f t="shared" si="3"/>
        <v>5</v>
      </c>
      <c r="N7" s="29"/>
      <c r="O7" s="29"/>
      <c r="P7" s="29"/>
    </row>
    <row r="8">
      <c r="B8" s="2" t="s">
        <v>141</v>
      </c>
      <c r="C8" s="18">
        <v>100.0</v>
      </c>
      <c r="D8" s="8">
        <v>200.0</v>
      </c>
      <c r="E8" s="18">
        <v>1000.0</v>
      </c>
      <c r="F8" s="8">
        <v>5.0</v>
      </c>
      <c r="G8" s="8">
        <v>1.0</v>
      </c>
      <c r="H8" s="39">
        <f t="shared" si="1"/>
        <v>1</v>
      </c>
      <c r="I8" s="25">
        <f t="shared" si="2"/>
        <v>100</v>
      </c>
      <c r="K8" s="29">
        <f t="shared" si="4"/>
        <v>10</v>
      </c>
      <c r="L8" s="39">
        <f t="shared" si="3"/>
        <v>10</v>
      </c>
    </row>
    <row r="9">
      <c r="B9" s="2" t="s">
        <v>144</v>
      </c>
      <c r="C9" s="18">
        <v>100.0</v>
      </c>
      <c r="D9" s="8">
        <v>100.0</v>
      </c>
      <c r="E9" s="18">
        <v>2000.0</v>
      </c>
      <c r="F9" s="8">
        <v>20.0</v>
      </c>
      <c r="G9" s="8">
        <v>1.0</v>
      </c>
      <c r="H9" s="39">
        <f t="shared" si="1"/>
        <v>2</v>
      </c>
      <c r="I9" s="25">
        <f t="shared" si="2"/>
        <v>100</v>
      </c>
      <c r="K9" s="29">
        <f t="shared" si="4"/>
        <v>10</v>
      </c>
      <c r="L9" s="39">
        <f t="shared" si="3"/>
        <v>20</v>
      </c>
    </row>
    <row r="10">
      <c r="B10" s="2" t="s">
        <v>145</v>
      </c>
      <c r="C10" s="18">
        <v>100.0</v>
      </c>
      <c r="D10" s="18">
        <v>11000.0</v>
      </c>
      <c r="E10" s="56">
        <f t="shared" ref="E10:E11" si="5">2*C10*1000/D10</f>
        <v>18.18181818</v>
      </c>
      <c r="F10" s="57">
        <f t="shared" ref="F10:F12" si="6">E10/D10</f>
        <v>0.001652892562</v>
      </c>
      <c r="G10" s="8">
        <v>1.0</v>
      </c>
      <c r="H10" s="58">
        <f t="shared" si="1"/>
        <v>0.01818181818</v>
      </c>
      <c r="I10" s="25">
        <f t="shared" si="2"/>
        <v>100</v>
      </c>
      <c r="K10" s="29">
        <f t="shared" si="4"/>
        <v>10</v>
      </c>
      <c r="L10" s="37">
        <f t="shared" si="3"/>
        <v>0.1818181818</v>
      </c>
    </row>
    <row r="11">
      <c r="B11" s="2" t="s">
        <v>160</v>
      </c>
      <c r="C11" s="18">
        <v>5500.0</v>
      </c>
      <c r="D11" s="18">
        <v>11000.0</v>
      </c>
      <c r="E11" s="43">
        <f t="shared" si="5"/>
        <v>1000</v>
      </c>
      <c r="F11" s="61">
        <f t="shared" si="6"/>
        <v>0.09090909091</v>
      </c>
      <c r="G11" s="39">
        <f>C11/100</f>
        <v>55</v>
      </c>
      <c r="H11" s="58">
        <f t="shared" si="1"/>
        <v>0.01818181818</v>
      </c>
      <c r="I11" s="25">
        <f t="shared" si="2"/>
        <v>100</v>
      </c>
      <c r="K11" s="29">
        <f t="shared" si="4"/>
        <v>550</v>
      </c>
      <c r="L11" s="37">
        <f t="shared" si="3"/>
        <v>0.1818181818</v>
      </c>
      <c r="M11" s="25"/>
    </row>
    <row r="12">
      <c r="B12" s="2" t="s">
        <v>167</v>
      </c>
      <c r="C12" s="8">
        <f>G12*5000</f>
        <v>125</v>
      </c>
      <c r="D12" s="8">
        <v>5.0</v>
      </c>
      <c r="E12" s="43">
        <f>2*C12/D12*O12</f>
        <v>50</v>
      </c>
      <c r="F12" s="56">
        <f t="shared" si="6"/>
        <v>10</v>
      </c>
      <c r="G12" s="8">
        <v>0.025</v>
      </c>
      <c r="H12" s="39">
        <f t="shared" si="1"/>
        <v>2</v>
      </c>
      <c r="I12" s="25">
        <f t="shared" si="2"/>
        <v>5000</v>
      </c>
      <c r="K12" s="8">
        <v>0.1</v>
      </c>
      <c r="L12" s="39">
        <f t="shared" si="3"/>
        <v>50</v>
      </c>
      <c r="M12" s="67"/>
      <c r="N12" s="8" t="s">
        <v>116</v>
      </c>
      <c r="O12" s="48">
        <v>1.0</v>
      </c>
      <c r="P12" s="2"/>
    </row>
    <row r="13">
      <c r="B13" s="2" t="s">
        <v>180</v>
      </c>
      <c r="C13" s="8">
        <v>8.0E-4</v>
      </c>
      <c r="D13" s="61"/>
      <c r="E13" s="68">
        <v>1.4</v>
      </c>
      <c r="F13" s="71">
        <f>0.832/60*1.5</f>
        <v>0.0208</v>
      </c>
      <c r="G13" s="8">
        <v>0.0025</v>
      </c>
      <c r="H13" s="39">
        <f t="shared" si="1"/>
        <v>0.56</v>
      </c>
      <c r="I13" s="74">
        <f t="shared" si="2"/>
        <v>0.32</v>
      </c>
      <c r="K13" s="8">
        <v>0.1</v>
      </c>
      <c r="L13" s="39">
        <f t="shared" si="3"/>
        <v>1.4</v>
      </c>
      <c r="M13" s="67"/>
      <c r="N13" s="75"/>
      <c r="O13" s="75"/>
      <c r="P13" s="2"/>
    </row>
    <row r="14">
      <c r="B14" s="52"/>
      <c r="C14" s="3"/>
      <c r="D14" s="3"/>
      <c r="E14" s="3"/>
      <c r="F14" s="3"/>
      <c r="G14" s="52"/>
      <c r="H14" s="52"/>
      <c r="I14" s="3"/>
      <c r="J14" s="5"/>
      <c r="K14" s="8"/>
      <c r="M14" s="67"/>
      <c r="N14" s="75"/>
      <c r="O14" s="75"/>
      <c r="P14" s="2"/>
    </row>
    <row r="15">
      <c r="B15" s="52"/>
      <c r="C15" s="3"/>
      <c r="D15" s="3"/>
      <c r="E15" s="3"/>
      <c r="F15" s="3"/>
      <c r="G15" s="52"/>
      <c r="H15" s="52"/>
      <c r="I15" s="3"/>
      <c r="J15" s="5" t="s">
        <v>199</v>
      </c>
      <c r="K15" s="78">
        <v>2.0</v>
      </c>
      <c r="M15" s="67" t="s">
        <v>202</v>
      </c>
      <c r="N15" s="82">
        <v>100.0</v>
      </c>
      <c r="O15" s="83"/>
      <c r="P15" s="2" t="s">
        <v>90</v>
      </c>
    </row>
    <row r="16">
      <c r="B16" s="52"/>
      <c r="C16" s="3"/>
      <c r="D16" s="3"/>
      <c r="E16" s="3"/>
      <c r="F16" s="3"/>
      <c r="G16" s="52"/>
      <c r="H16" s="8" t="s">
        <v>91</v>
      </c>
      <c r="I16" s="3"/>
      <c r="J16" s="3"/>
      <c r="K16" s="3"/>
      <c r="L16" s="3"/>
      <c r="M16" s="27"/>
      <c r="N16" s="3"/>
      <c r="O16" s="3"/>
      <c r="P16" s="3"/>
    </row>
    <row r="17">
      <c r="B17" s="52" t="s">
        <v>217</v>
      </c>
      <c r="C17" s="3" t="s">
        <v>220</v>
      </c>
      <c r="D17" s="3" t="s">
        <v>221</v>
      </c>
      <c r="E17" s="3" t="s">
        <v>222</v>
      </c>
      <c r="F17" s="3" t="s">
        <v>96</v>
      </c>
      <c r="G17" s="52" t="s">
        <v>225</v>
      </c>
      <c r="H17" s="3" t="s">
        <v>97</v>
      </c>
      <c r="I17" s="3"/>
      <c r="J17" s="3" t="s">
        <v>226</v>
      </c>
      <c r="K17" s="3" t="s">
        <v>227</v>
      </c>
      <c r="L17" s="3"/>
      <c r="M17" s="27" t="s">
        <v>228</v>
      </c>
      <c r="N17" s="3"/>
      <c r="O17" s="3"/>
      <c r="P17" s="3" t="s">
        <v>230</v>
      </c>
    </row>
    <row r="18">
      <c r="B18" s="2" t="s">
        <v>231</v>
      </c>
      <c r="C18" s="8">
        <v>500.0</v>
      </c>
      <c r="D18" s="18">
        <v>100000.0</v>
      </c>
      <c r="E18" s="18">
        <v>10000.0</v>
      </c>
      <c r="F18" s="8" t="s">
        <v>232</v>
      </c>
      <c r="G18" s="8">
        <v>10.0</v>
      </c>
      <c r="H18" s="39">
        <f t="shared" ref="H18:H41" si="7">E18/G18</f>
        <v>1000</v>
      </c>
      <c r="I18" s="76"/>
      <c r="J18" s="76">
        <f t="shared" ref="J18:J30" si="8">$D18*LN($K$15)</f>
        <v>69314.71806</v>
      </c>
      <c r="K18" s="90">
        <f t="shared" ref="K18:K30" si="9">$D18*LN($K$15)*1000/299792458</f>
        <v>0.2312090121</v>
      </c>
      <c r="L18" s="25"/>
      <c r="M18" s="39">
        <f t="shared" ref="M18:M30" si="10">E18/$N$15/10</f>
        <v>10</v>
      </c>
      <c r="N18" s="38"/>
      <c r="O18" s="38"/>
      <c r="P18" s="95">
        <f t="shared" ref="P18:P30" si="11">C18*1000000000/735</f>
        <v>680272108.8</v>
      </c>
    </row>
    <row r="19">
      <c r="A19">
        <f>D19*E19/2/1000000</f>
        <v>500</v>
      </c>
      <c r="B19" s="2" t="s">
        <v>261</v>
      </c>
      <c r="C19" s="8">
        <v>500.0</v>
      </c>
      <c r="D19" s="18">
        <v>10000.0</v>
      </c>
      <c r="E19" s="18">
        <v>100000.0</v>
      </c>
      <c r="F19" s="8" t="s">
        <v>120</v>
      </c>
      <c r="G19" s="8">
        <v>1000.0</v>
      </c>
      <c r="H19" s="39">
        <f t="shared" si="7"/>
        <v>100</v>
      </c>
      <c r="I19" s="76"/>
      <c r="J19" s="76">
        <f t="shared" si="8"/>
        <v>6931.471806</v>
      </c>
      <c r="K19" s="90">
        <f t="shared" si="9"/>
        <v>0.02312090121</v>
      </c>
      <c r="L19" s="25"/>
      <c r="M19" s="39">
        <f t="shared" si="10"/>
        <v>100</v>
      </c>
      <c r="N19" s="38"/>
      <c r="O19" s="38"/>
      <c r="P19" s="95">
        <f t="shared" si="11"/>
        <v>680272108.8</v>
      </c>
    </row>
    <row r="20">
      <c r="B20" s="2" t="s">
        <v>266</v>
      </c>
      <c r="C20" s="8"/>
      <c r="D20" s="18">
        <v>20000.0</v>
      </c>
      <c r="E20" s="18">
        <v>50000.0</v>
      </c>
      <c r="F20" s="8" t="s">
        <v>267</v>
      </c>
      <c r="G20" s="29"/>
      <c r="H20" s="39" t="str">
        <f t="shared" si="7"/>
        <v>#DIV/0!</v>
      </c>
      <c r="I20" s="76"/>
      <c r="J20" s="76">
        <f t="shared" si="8"/>
        <v>13862.94361</v>
      </c>
      <c r="K20" s="90">
        <f t="shared" si="9"/>
        <v>0.04624180242</v>
      </c>
      <c r="L20" s="25"/>
      <c r="M20" s="39">
        <f t="shared" si="10"/>
        <v>50</v>
      </c>
      <c r="N20" s="38"/>
      <c r="O20" s="38"/>
      <c r="P20" s="95">
        <f t="shared" si="11"/>
        <v>0</v>
      </c>
    </row>
    <row r="21">
      <c r="B21" s="2" t="s">
        <v>272</v>
      </c>
      <c r="C21" s="8">
        <v>30.0</v>
      </c>
      <c r="D21" s="18">
        <v>4700.0</v>
      </c>
      <c r="E21" s="18">
        <v>13000.0</v>
      </c>
      <c r="F21" s="8" t="s">
        <v>274</v>
      </c>
      <c r="G21" s="29"/>
      <c r="H21" s="39" t="str">
        <f t="shared" si="7"/>
        <v>#DIV/0!</v>
      </c>
      <c r="I21" s="76"/>
      <c r="J21" s="76">
        <f t="shared" si="8"/>
        <v>3257.791749</v>
      </c>
      <c r="K21" s="90">
        <f t="shared" si="9"/>
        <v>0.01086682357</v>
      </c>
      <c r="L21" s="25"/>
      <c r="M21" s="39">
        <f t="shared" si="10"/>
        <v>13</v>
      </c>
      <c r="N21" s="38"/>
      <c r="O21" s="38"/>
      <c r="P21" s="95">
        <f t="shared" si="11"/>
        <v>40816326.53</v>
      </c>
    </row>
    <row r="22">
      <c r="B22" s="2" t="s">
        <v>275</v>
      </c>
      <c r="C22" s="56">
        <v>39.0</v>
      </c>
      <c r="D22" s="18">
        <v>9800.0</v>
      </c>
      <c r="E22" s="18">
        <v>8000.0</v>
      </c>
      <c r="F22" s="8" t="s">
        <v>120</v>
      </c>
      <c r="G22" s="8">
        <v>8.0</v>
      </c>
      <c r="H22" s="39">
        <f t="shared" si="7"/>
        <v>1000</v>
      </c>
      <c r="I22" s="76"/>
      <c r="J22" s="76">
        <f t="shared" si="8"/>
        <v>6792.842369</v>
      </c>
      <c r="K22" s="90">
        <f t="shared" si="9"/>
        <v>0.02265848319</v>
      </c>
      <c r="L22" s="25"/>
      <c r="M22" s="39">
        <f t="shared" si="10"/>
        <v>8</v>
      </c>
      <c r="N22" s="38"/>
      <c r="O22" s="38"/>
      <c r="P22" s="95">
        <f t="shared" si="11"/>
        <v>53061224.49</v>
      </c>
    </row>
    <row r="23">
      <c r="B23" s="2" t="s">
        <v>279</v>
      </c>
      <c r="C23" s="8">
        <v>10.0</v>
      </c>
      <c r="D23" s="18">
        <v>7000.0</v>
      </c>
      <c r="E23" s="43">
        <f>2*C23*1000000/D23</f>
        <v>2857.142857</v>
      </c>
      <c r="F23" s="8" t="s">
        <v>120</v>
      </c>
      <c r="G23" s="100">
        <f>C23/3</f>
        <v>3.333333333</v>
      </c>
      <c r="H23" s="39">
        <f t="shared" si="7"/>
        <v>857.1428571</v>
      </c>
      <c r="I23" s="76"/>
      <c r="J23" s="76">
        <f t="shared" si="8"/>
        <v>4852.030264</v>
      </c>
      <c r="K23" s="90">
        <f t="shared" si="9"/>
        <v>0.01618463085</v>
      </c>
      <c r="L23" s="25"/>
      <c r="M23" s="39">
        <f t="shared" si="10"/>
        <v>2.857142857</v>
      </c>
      <c r="N23" s="38"/>
      <c r="O23" s="38"/>
      <c r="P23" s="95">
        <f t="shared" si="11"/>
        <v>13605442.18</v>
      </c>
    </row>
    <row r="24">
      <c r="B24" s="2" t="s">
        <v>266</v>
      </c>
      <c r="C24" s="8"/>
      <c r="D24" s="18">
        <v>20000.0</v>
      </c>
      <c r="E24" s="18">
        <v>1050.0</v>
      </c>
      <c r="F24" s="8" t="s">
        <v>267</v>
      </c>
      <c r="G24" s="29"/>
      <c r="H24" s="39" t="str">
        <f t="shared" si="7"/>
        <v>#DIV/0!</v>
      </c>
      <c r="I24" s="76"/>
      <c r="J24" s="76">
        <f t="shared" si="8"/>
        <v>13862.94361</v>
      </c>
      <c r="K24" s="90">
        <f t="shared" si="9"/>
        <v>0.04624180242</v>
      </c>
      <c r="L24" s="25"/>
      <c r="M24" s="39">
        <f t="shared" si="10"/>
        <v>1.05</v>
      </c>
      <c r="N24" s="38"/>
      <c r="O24" s="38"/>
      <c r="P24" s="95">
        <f t="shared" si="11"/>
        <v>0</v>
      </c>
      <c r="S24">
        <f>3000/40</f>
        <v>75</v>
      </c>
      <c r="T24">
        <f>3/40</f>
        <v>0.075</v>
      </c>
    </row>
    <row r="25">
      <c r="B25" s="102" t="s">
        <v>297</v>
      </c>
      <c r="C25" s="104">
        <v>42.0</v>
      </c>
      <c r="D25" s="43">
        <v>7000.0</v>
      </c>
      <c r="E25" s="43">
        <f>2*C25*1000000/D25</f>
        <v>12000</v>
      </c>
      <c r="F25" s="104" t="s">
        <v>120</v>
      </c>
      <c r="G25" s="100">
        <f>C25/3</f>
        <v>14</v>
      </c>
      <c r="H25" s="39">
        <f t="shared" si="7"/>
        <v>857.1428571</v>
      </c>
      <c r="I25" s="108"/>
      <c r="J25" s="108">
        <f t="shared" si="8"/>
        <v>4852.030264</v>
      </c>
      <c r="K25" s="109">
        <f t="shared" si="9"/>
        <v>0.01618463085</v>
      </c>
      <c r="L25" s="111"/>
      <c r="M25" s="100">
        <f t="shared" si="10"/>
        <v>12</v>
      </c>
      <c r="N25" s="112" t="s">
        <v>315</v>
      </c>
      <c r="O25" s="113"/>
      <c r="P25" s="114">
        <f t="shared" si="11"/>
        <v>57142857.14</v>
      </c>
    </row>
    <row r="26">
      <c r="B26" s="102" t="s">
        <v>266</v>
      </c>
      <c r="C26" s="104"/>
      <c r="D26" s="43">
        <v>20000.0</v>
      </c>
      <c r="E26" s="43">
        <f>2*C25*1000000/D26</f>
        <v>4200</v>
      </c>
      <c r="F26" s="104" t="s">
        <v>267</v>
      </c>
      <c r="G26" s="116"/>
      <c r="H26" s="39" t="str">
        <f t="shared" si="7"/>
        <v>#DIV/0!</v>
      </c>
      <c r="I26" s="108"/>
      <c r="J26" s="108">
        <f t="shared" si="8"/>
        <v>13862.94361</v>
      </c>
      <c r="K26" s="109">
        <f t="shared" si="9"/>
        <v>0.04624180242</v>
      </c>
      <c r="L26" s="111"/>
      <c r="M26" s="100">
        <f t="shared" si="10"/>
        <v>4.2</v>
      </c>
      <c r="N26" s="113"/>
      <c r="O26" s="113"/>
      <c r="P26" s="114">
        <f t="shared" si="11"/>
        <v>0</v>
      </c>
    </row>
    <row r="27">
      <c r="B27" s="102" t="s">
        <v>327</v>
      </c>
      <c r="C27" s="104">
        <f t="shared" ref="C27:C28" si="12">D27*E27/2/1000000</f>
        <v>75</v>
      </c>
      <c r="D27" s="43">
        <v>50000.0</v>
      </c>
      <c r="E27" s="43">
        <v>3000.0</v>
      </c>
      <c r="F27" s="104" t="s">
        <v>232</v>
      </c>
      <c r="G27" s="104">
        <v>10.0</v>
      </c>
      <c r="H27" s="39">
        <f t="shared" si="7"/>
        <v>300</v>
      </c>
      <c r="I27" s="108"/>
      <c r="J27" s="108">
        <f t="shared" si="8"/>
        <v>34657.35903</v>
      </c>
      <c r="K27" s="109">
        <f t="shared" si="9"/>
        <v>0.1156045061</v>
      </c>
      <c r="L27" s="111"/>
      <c r="M27" s="100">
        <f t="shared" si="10"/>
        <v>3</v>
      </c>
      <c r="N27" s="113"/>
      <c r="O27" s="113"/>
      <c r="P27" s="114">
        <f t="shared" si="11"/>
        <v>102040816.3</v>
      </c>
    </row>
    <row r="28">
      <c r="B28" s="2" t="s">
        <v>330</v>
      </c>
      <c r="C28" s="8">
        <f t="shared" si="12"/>
        <v>350</v>
      </c>
      <c r="D28" s="18">
        <v>7000.0</v>
      </c>
      <c r="E28" s="18">
        <v>100000.0</v>
      </c>
      <c r="F28" s="8" t="s">
        <v>120</v>
      </c>
      <c r="G28" s="100">
        <f>C28/3</f>
        <v>116.6666667</v>
      </c>
      <c r="H28" s="39">
        <f t="shared" si="7"/>
        <v>857.1428571</v>
      </c>
      <c r="I28" s="76"/>
      <c r="J28" s="76">
        <f t="shared" si="8"/>
        <v>4852.030264</v>
      </c>
      <c r="K28" s="90">
        <f t="shared" si="9"/>
        <v>0.01618463085</v>
      </c>
      <c r="L28" s="25"/>
      <c r="M28" s="39">
        <f t="shared" si="10"/>
        <v>100</v>
      </c>
      <c r="N28" s="118" t="s">
        <v>315</v>
      </c>
      <c r="O28" s="38"/>
      <c r="P28" s="95">
        <f t="shared" si="11"/>
        <v>476190476.2</v>
      </c>
    </row>
    <row r="29">
      <c r="B29" s="2" t="s">
        <v>336</v>
      </c>
      <c r="C29" s="8">
        <v>12.0</v>
      </c>
      <c r="D29" s="18">
        <v>12890.0</v>
      </c>
      <c r="E29" s="18">
        <v>1900.0</v>
      </c>
      <c r="F29" s="29"/>
      <c r="G29" s="29"/>
      <c r="H29" s="39" t="str">
        <f t="shared" si="7"/>
        <v>#DIV/0!</v>
      </c>
      <c r="I29" s="76"/>
      <c r="J29" s="76">
        <f t="shared" si="8"/>
        <v>8934.667157</v>
      </c>
      <c r="K29" s="90">
        <f t="shared" si="9"/>
        <v>0.02980284166</v>
      </c>
      <c r="L29" s="25"/>
      <c r="M29" s="39">
        <f t="shared" si="10"/>
        <v>1.9</v>
      </c>
      <c r="N29" s="38"/>
      <c r="O29" s="38"/>
      <c r="P29" s="95">
        <f t="shared" si="11"/>
        <v>16326530.61</v>
      </c>
    </row>
    <row r="30">
      <c r="B30" s="2" t="s">
        <v>160</v>
      </c>
      <c r="C30" s="8">
        <v>5.5</v>
      </c>
      <c r="D30" s="18">
        <v>11000.0</v>
      </c>
      <c r="E30" s="43">
        <f t="shared" ref="E30:E31" si="13">2*C30*1000000/D30</f>
        <v>1000</v>
      </c>
      <c r="F30" s="8" t="s">
        <v>344</v>
      </c>
      <c r="G30" s="39">
        <f t="shared" ref="G30:G31" si="14">C30/3</f>
        <v>1.833333333</v>
      </c>
      <c r="H30" s="39">
        <f t="shared" si="7"/>
        <v>545.4545455</v>
      </c>
      <c r="I30" s="76"/>
      <c r="J30" s="76">
        <f t="shared" si="8"/>
        <v>7624.618986</v>
      </c>
      <c r="K30" s="90">
        <f t="shared" si="9"/>
        <v>0.02543299133</v>
      </c>
      <c r="L30" s="25"/>
      <c r="M30" s="39">
        <f t="shared" si="10"/>
        <v>1</v>
      </c>
      <c r="N30" s="38"/>
      <c r="O30" s="38"/>
      <c r="P30" s="95">
        <f t="shared" si="11"/>
        <v>7482993.197</v>
      </c>
    </row>
    <row r="31">
      <c r="B31" s="2" t="s">
        <v>346</v>
      </c>
      <c r="C31" s="8">
        <v>100.0</v>
      </c>
      <c r="D31" s="18">
        <v>19000.0</v>
      </c>
      <c r="E31" s="43">
        <f t="shared" si="13"/>
        <v>10526.31579</v>
      </c>
      <c r="F31" s="8"/>
      <c r="G31" s="39">
        <f t="shared" si="14"/>
        <v>33.33333333</v>
      </c>
      <c r="H31" s="39">
        <f t="shared" si="7"/>
        <v>315.7894737</v>
      </c>
      <c r="I31" s="76"/>
      <c r="J31" s="76"/>
      <c r="K31" s="90"/>
      <c r="L31" s="25"/>
      <c r="M31" s="39"/>
      <c r="N31" s="38"/>
      <c r="O31" s="38"/>
      <c r="P31" s="95"/>
    </row>
    <row r="32">
      <c r="B32" s="2" t="s">
        <v>347</v>
      </c>
      <c r="C32" s="8"/>
      <c r="D32" s="18">
        <v>1000.0</v>
      </c>
      <c r="E32" s="18"/>
      <c r="F32" s="8" t="s">
        <v>348</v>
      </c>
      <c r="G32" s="29"/>
      <c r="H32" s="39" t="str">
        <f t="shared" si="7"/>
        <v>#DIV/0!</v>
      </c>
      <c r="I32" s="76"/>
      <c r="J32" s="76">
        <f t="shared" ref="J32:J41" si="15">$D32*LN($K$15)</f>
        <v>693.1471806</v>
      </c>
      <c r="K32" s="90">
        <f t="shared" ref="K32:K41" si="16">$D32*LN($K$15)*1000/299792458</f>
        <v>0.002312090121</v>
      </c>
      <c r="L32" s="25"/>
      <c r="M32" s="39">
        <f t="shared" ref="M32:M42" si="17">E32/$N$15/10</f>
        <v>0</v>
      </c>
      <c r="N32" s="38"/>
      <c r="O32" s="38"/>
      <c r="P32" s="95">
        <f t="shared" ref="P32:P42" si="18">C32*1000000000/735</f>
        <v>0</v>
      </c>
    </row>
    <row r="33">
      <c r="B33" s="2" t="s">
        <v>350</v>
      </c>
      <c r="C33" s="8">
        <v>0.1</v>
      </c>
      <c r="D33" s="18"/>
      <c r="E33" s="18">
        <v>245.0</v>
      </c>
      <c r="F33" s="8"/>
      <c r="G33" s="29"/>
      <c r="H33" s="39" t="str">
        <f t="shared" si="7"/>
        <v>#DIV/0!</v>
      </c>
      <c r="I33" s="76"/>
      <c r="J33" s="76">
        <f t="shared" si="15"/>
        <v>0</v>
      </c>
      <c r="K33" s="90">
        <f t="shared" si="16"/>
        <v>0</v>
      </c>
      <c r="L33" s="25"/>
      <c r="M33" s="39">
        <f t="shared" si="17"/>
        <v>0.245</v>
      </c>
      <c r="N33" s="38"/>
      <c r="O33" s="38"/>
      <c r="P33" s="95">
        <f t="shared" si="18"/>
        <v>136054.4218</v>
      </c>
    </row>
    <row r="34">
      <c r="B34" s="2" t="s">
        <v>351</v>
      </c>
      <c r="C34" s="8">
        <v>2.5</v>
      </c>
      <c r="D34" s="18"/>
      <c r="E34" s="18">
        <v>50000.0</v>
      </c>
      <c r="F34" s="29"/>
      <c r="G34" s="8"/>
      <c r="H34" s="39" t="str">
        <f t="shared" si="7"/>
        <v>#DIV/0!</v>
      </c>
      <c r="I34" s="76"/>
      <c r="J34" s="76">
        <f t="shared" si="15"/>
        <v>0</v>
      </c>
      <c r="K34" s="90">
        <f t="shared" si="16"/>
        <v>0</v>
      </c>
      <c r="L34" s="25"/>
      <c r="M34" s="39">
        <f t="shared" si="17"/>
        <v>50</v>
      </c>
      <c r="N34" s="38"/>
      <c r="O34" s="38"/>
      <c r="P34" s="95">
        <f t="shared" si="18"/>
        <v>3401360.544</v>
      </c>
    </row>
    <row r="35">
      <c r="B35" s="2" t="s">
        <v>353</v>
      </c>
      <c r="C35" s="56">
        <v>8.0</v>
      </c>
      <c r="D35" s="18">
        <v>8922.0</v>
      </c>
      <c r="E35" s="18">
        <f>1.78*1000</f>
        <v>1780</v>
      </c>
      <c r="F35" s="8" t="s">
        <v>319</v>
      </c>
      <c r="G35" s="8"/>
      <c r="H35" s="39" t="str">
        <f t="shared" si="7"/>
        <v>#DIV/0!</v>
      </c>
      <c r="I35" s="76"/>
      <c r="J35" s="76">
        <f t="shared" si="15"/>
        <v>6184.259145</v>
      </c>
      <c r="K35" s="90">
        <f t="shared" si="16"/>
        <v>0.02062846806</v>
      </c>
      <c r="L35" s="25"/>
      <c r="M35" s="39">
        <f t="shared" si="17"/>
        <v>1.78</v>
      </c>
      <c r="N35" s="38"/>
      <c r="O35" s="38"/>
      <c r="P35" s="95">
        <f t="shared" si="18"/>
        <v>10884353.74</v>
      </c>
    </row>
    <row r="36">
      <c r="B36" s="2" t="s">
        <v>275</v>
      </c>
      <c r="C36" s="56">
        <v>39.0</v>
      </c>
      <c r="D36" s="18">
        <v>9800.0</v>
      </c>
      <c r="E36" s="18">
        <v>8000.0</v>
      </c>
      <c r="F36" s="8" t="s">
        <v>120</v>
      </c>
      <c r="G36" s="8">
        <v>10.0</v>
      </c>
      <c r="H36" s="39">
        <f t="shared" si="7"/>
        <v>800</v>
      </c>
      <c r="I36" s="76"/>
      <c r="J36" s="76">
        <f t="shared" si="15"/>
        <v>6792.842369</v>
      </c>
      <c r="K36" s="90">
        <f t="shared" si="16"/>
        <v>0.02265848319</v>
      </c>
      <c r="L36" s="25"/>
      <c r="M36" s="39">
        <f t="shared" si="17"/>
        <v>8</v>
      </c>
      <c r="N36" s="38"/>
      <c r="O36" s="38"/>
      <c r="P36" s="95">
        <f t="shared" si="18"/>
        <v>53061224.49</v>
      </c>
    </row>
    <row r="37">
      <c r="B37" s="2" t="s">
        <v>354</v>
      </c>
      <c r="C37" s="8">
        <v>24.0</v>
      </c>
      <c r="D37" s="18">
        <v>120.0</v>
      </c>
      <c r="E37" s="18">
        <v>400000.0</v>
      </c>
      <c r="F37" s="8" t="s">
        <v>319</v>
      </c>
      <c r="G37" s="8">
        <v>3250.0</v>
      </c>
      <c r="H37" s="39">
        <f t="shared" si="7"/>
        <v>123.0769231</v>
      </c>
      <c r="I37" s="76"/>
      <c r="J37" s="76">
        <f t="shared" si="15"/>
        <v>83.17766167</v>
      </c>
      <c r="K37" s="90">
        <f t="shared" si="16"/>
        <v>0.0002774508145</v>
      </c>
      <c r="L37" s="25"/>
      <c r="M37" s="39">
        <f t="shared" si="17"/>
        <v>400</v>
      </c>
      <c r="N37" s="38"/>
      <c r="O37" s="38"/>
      <c r="P37" s="95">
        <f t="shared" si="18"/>
        <v>32653061.22</v>
      </c>
    </row>
    <row r="38">
      <c r="B38" s="2" t="s">
        <v>356</v>
      </c>
      <c r="C38" s="61">
        <v>1.6</v>
      </c>
      <c r="D38" s="18">
        <v>39.0</v>
      </c>
      <c r="E38" s="18">
        <v>80000.0</v>
      </c>
      <c r="F38" s="8" t="s">
        <v>319</v>
      </c>
      <c r="G38" s="8">
        <v>1700.0</v>
      </c>
      <c r="H38" s="39">
        <f t="shared" si="7"/>
        <v>47.05882353</v>
      </c>
      <c r="I38" s="76"/>
      <c r="J38" s="76">
        <f t="shared" si="15"/>
        <v>27.03274004</v>
      </c>
      <c r="K38" s="90">
        <f t="shared" si="16"/>
        <v>0.00009017151473</v>
      </c>
      <c r="L38" s="25"/>
      <c r="M38" s="39">
        <f t="shared" si="17"/>
        <v>80</v>
      </c>
      <c r="P38" s="95">
        <f t="shared" si="18"/>
        <v>2176870.748</v>
      </c>
    </row>
    <row r="39">
      <c r="B39" s="2" t="s">
        <v>357</v>
      </c>
      <c r="C39" s="56">
        <v>33.0</v>
      </c>
      <c r="D39" s="18">
        <v>33.0</v>
      </c>
      <c r="E39" s="18">
        <v>2000.0</v>
      </c>
      <c r="F39" s="8" t="s">
        <v>319</v>
      </c>
      <c r="G39" s="8">
        <v>3250.0</v>
      </c>
      <c r="H39" s="39">
        <f t="shared" si="7"/>
        <v>0.6153846154</v>
      </c>
      <c r="I39" s="76"/>
      <c r="J39" s="76">
        <f t="shared" si="15"/>
        <v>22.87385696</v>
      </c>
      <c r="K39" s="90">
        <f t="shared" si="16"/>
        <v>0.000076298974</v>
      </c>
      <c r="L39" s="25"/>
      <c r="M39" s="39">
        <f t="shared" si="17"/>
        <v>2</v>
      </c>
      <c r="P39" s="95">
        <f t="shared" si="18"/>
        <v>44897959.18</v>
      </c>
    </row>
    <row r="40">
      <c r="B40" s="2" t="s">
        <v>358</v>
      </c>
      <c r="C40" s="8">
        <v>10.7</v>
      </c>
      <c r="D40" s="8">
        <v>73.0</v>
      </c>
      <c r="E40" s="8">
        <v>292.0</v>
      </c>
      <c r="F40" s="8" t="s">
        <v>319</v>
      </c>
      <c r="G40" s="8">
        <v>200.0</v>
      </c>
      <c r="H40" s="39">
        <f t="shared" si="7"/>
        <v>1.46</v>
      </c>
      <c r="J40" s="76">
        <f t="shared" si="15"/>
        <v>50.59974418</v>
      </c>
      <c r="K40" s="90">
        <f t="shared" si="16"/>
        <v>0.0001687825788</v>
      </c>
      <c r="L40" s="25"/>
      <c r="M40" s="39">
        <f t="shared" si="17"/>
        <v>0.292</v>
      </c>
      <c r="P40" s="95">
        <f t="shared" si="18"/>
        <v>14557823.13</v>
      </c>
    </row>
    <row r="41">
      <c r="B41" s="2" t="s">
        <v>359</v>
      </c>
      <c r="C41" s="8">
        <v>5.7</v>
      </c>
      <c r="D41" s="8">
        <v>43.0</v>
      </c>
      <c r="E41" s="8">
        <v>263.0</v>
      </c>
      <c r="F41" s="8" t="s">
        <v>274</v>
      </c>
      <c r="H41" s="39" t="str">
        <f t="shared" si="7"/>
        <v>#DIV/0!</v>
      </c>
      <c r="J41" s="76">
        <f t="shared" si="15"/>
        <v>29.80532876</v>
      </c>
      <c r="K41" s="90">
        <f t="shared" si="16"/>
        <v>0.00009941987521</v>
      </c>
      <c r="L41" s="25"/>
      <c r="M41" s="39">
        <f t="shared" si="17"/>
        <v>0.263</v>
      </c>
      <c r="P41" s="95">
        <f t="shared" si="18"/>
        <v>7755102.041</v>
      </c>
    </row>
    <row r="42">
      <c r="E42" s="122"/>
      <c r="M42" s="39">
        <f t="shared" si="17"/>
        <v>0</v>
      </c>
      <c r="P42" s="95">
        <f t="shared" si="18"/>
        <v>0</v>
      </c>
    </row>
    <row r="43">
      <c r="B43" s="52" t="s">
        <v>360</v>
      </c>
      <c r="C43" s="3" t="s">
        <v>361</v>
      </c>
      <c r="D43" s="18"/>
      <c r="E43" s="18"/>
      <c r="F43" s="29"/>
      <c r="G43" s="123"/>
      <c r="H43" s="123"/>
      <c r="I43" s="76"/>
      <c r="J43" s="76"/>
      <c r="K43" s="90"/>
      <c r="L43" s="25"/>
      <c r="M43" s="39"/>
      <c r="P43" s="95"/>
    </row>
    <row r="44">
      <c r="B44" s="2" t="s">
        <v>362</v>
      </c>
      <c r="C44" s="8"/>
      <c r="D44" s="18">
        <v>50.0</v>
      </c>
      <c r="E44" s="18"/>
      <c r="F44" s="8" t="s">
        <v>319</v>
      </c>
      <c r="G44" s="6"/>
      <c r="H44" s="6" t="s">
        <v>363</v>
      </c>
      <c r="I44" s="76"/>
      <c r="J44" s="76">
        <f t="shared" ref="J44:J52" si="19">$D44*LN($K$15)</f>
        <v>34.65735903</v>
      </c>
      <c r="K44" s="90">
        <f t="shared" ref="K44:K52" si="20">$D44*LN($K$15)*1000/299792458</f>
        <v>0.0001156045061</v>
      </c>
      <c r="L44" s="25"/>
      <c r="M44" s="39">
        <f t="shared" ref="M44:M52" si="21">E44/$N$15/10</f>
        <v>0</v>
      </c>
      <c r="P44" s="95">
        <f t="shared" ref="P44:P52" si="22">C44*1000000000/735</f>
        <v>0</v>
      </c>
    </row>
    <row r="45">
      <c r="B45" s="2" t="s">
        <v>350</v>
      </c>
      <c r="C45" s="57">
        <f>2.6/1000</f>
        <v>0.0026</v>
      </c>
      <c r="D45" s="18"/>
      <c r="E45" s="33">
        <v>0.1</v>
      </c>
      <c r="F45" s="8"/>
      <c r="G45" s="123"/>
      <c r="H45" s="123"/>
      <c r="I45" s="76"/>
      <c r="J45" s="76">
        <f t="shared" si="19"/>
        <v>0</v>
      </c>
      <c r="K45" s="90">
        <f t="shared" si="20"/>
        <v>0</v>
      </c>
      <c r="L45" s="25"/>
      <c r="M45" s="39">
        <f t="shared" si="21"/>
        <v>0.0001</v>
      </c>
      <c r="P45" s="95">
        <f t="shared" si="22"/>
        <v>3537.414966</v>
      </c>
    </row>
    <row r="46">
      <c r="B46" s="2" t="s">
        <v>351</v>
      </c>
      <c r="C46" s="61">
        <v>0.3</v>
      </c>
      <c r="D46" s="18"/>
      <c r="E46" s="18">
        <v>14.0</v>
      </c>
      <c r="F46" s="8"/>
      <c r="G46" s="123"/>
      <c r="H46" s="123"/>
      <c r="I46" s="76"/>
      <c r="J46" s="76">
        <f t="shared" si="19"/>
        <v>0</v>
      </c>
      <c r="K46" s="90">
        <f t="shared" si="20"/>
        <v>0</v>
      </c>
      <c r="L46" s="25"/>
      <c r="M46" s="39">
        <f t="shared" si="21"/>
        <v>0.014</v>
      </c>
      <c r="P46" s="95">
        <f t="shared" si="22"/>
        <v>408163.2653</v>
      </c>
    </row>
    <row r="47">
      <c r="B47" s="2" t="s">
        <v>367</v>
      </c>
      <c r="C47" s="8"/>
      <c r="D47" s="18">
        <v>760.0</v>
      </c>
      <c r="E47" s="18"/>
      <c r="F47" s="8" t="s">
        <v>319</v>
      </c>
      <c r="G47" s="123"/>
      <c r="H47" s="123"/>
      <c r="I47" s="76"/>
      <c r="J47" s="76">
        <f t="shared" si="19"/>
        <v>526.7918572</v>
      </c>
      <c r="K47" s="90">
        <f t="shared" si="20"/>
        <v>0.001757188492</v>
      </c>
      <c r="L47" s="25"/>
      <c r="M47" s="39">
        <f t="shared" si="21"/>
        <v>0</v>
      </c>
      <c r="P47" s="95">
        <f t="shared" si="22"/>
        <v>0</v>
      </c>
    </row>
    <row r="48">
      <c r="B48" s="2" t="s">
        <v>368</v>
      </c>
      <c r="C48" s="39">
        <f>25</f>
        <v>25</v>
      </c>
      <c r="D48" s="18"/>
      <c r="E48" s="18">
        <v>66.0</v>
      </c>
      <c r="F48" s="8"/>
      <c r="G48" s="123"/>
      <c r="H48" s="123"/>
      <c r="I48" s="76"/>
      <c r="J48" s="76">
        <f t="shared" si="19"/>
        <v>0</v>
      </c>
      <c r="K48" s="90">
        <f t="shared" si="20"/>
        <v>0</v>
      </c>
      <c r="L48" s="25"/>
      <c r="M48" s="39">
        <f t="shared" si="21"/>
        <v>0.066</v>
      </c>
      <c r="P48" s="95">
        <f t="shared" si="22"/>
        <v>34013605.44</v>
      </c>
    </row>
    <row r="49">
      <c r="B49" s="2" t="s">
        <v>369</v>
      </c>
      <c r="C49" s="56">
        <v>128.0</v>
      </c>
      <c r="D49" s="18"/>
      <c r="E49" s="18">
        <v>340.0</v>
      </c>
      <c r="F49" s="8"/>
      <c r="G49" s="123"/>
      <c r="H49" s="123"/>
      <c r="I49" s="76"/>
      <c r="J49" s="76">
        <f t="shared" si="19"/>
        <v>0</v>
      </c>
      <c r="K49" s="90">
        <f t="shared" si="20"/>
        <v>0</v>
      </c>
      <c r="L49" s="25"/>
      <c r="M49" s="39">
        <f t="shared" si="21"/>
        <v>0.34</v>
      </c>
      <c r="P49" s="95">
        <f t="shared" si="22"/>
        <v>174149659.9</v>
      </c>
    </row>
    <row r="50">
      <c r="C50" s="29"/>
      <c r="D50" s="18"/>
      <c r="E50" s="18"/>
      <c r="F50" s="29"/>
      <c r="G50" s="123"/>
      <c r="H50" s="123"/>
      <c r="I50" s="76"/>
      <c r="J50" s="76">
        <f t="shared" si="19"/>
        <v>0</v>
      </c>
      <c r="K50" s="90">
        <f t="shared" si="20"/>
        <v>0</v>
      </c>
      <c r="L50" s="25"/>
      <c r="M50" s="39">
        <f t="shared" si="21"/>
        <v>0</v>
      </c>
      <c r="P50" s="95">
        <f t="shared" si="22"/>
        <v>0</v>
      </c>
    </row>
    <row r="51">
      <c r="B51" s="2" t="s">
        <v>370</v>
      </c>
      <c r="C51" s="8">
        <f>20</f>
        <v>20</v>
      </c>
      <c r="D51" s="18">
        <v>170.0</v>
      </c>
      <c r="E51" s="18">
        <v>240.0</v>
      </c>
      <c r="F51" s="8" t="s">
        <v>344</v>
      </c>
      <c r="G51" s="123"/>
      <c r="H51" s="123"/>
      <c r="I51" s="76"/>
      <c r="J51" s="76">
        <f t="shared" si="19"/>
        <v>117.8350207</v>
      </c>
      <c r="K51" s="90">
        <f t="shared" si="20"/>
        <v>0.0003930553206</v>
      </c>
      <c r="L51" s="25"/>
      <c r="M51" s="39">
        <f t="shared" si="21"/>
        <v>0.24</v>
      </c>
      <c r="P51" s="95">
        <f t="shared" si="22"/>
        <v>27210884.35</v>
      </c>
    </row>
    <row r="52">
      <c r="B52" s="2" t="s">
        <v>373</v>
      </c>
      <c r="C52" s="8">
        <v>0.1</v>
      </c>
      <c r="D52" s="18">
        <v>78.0</v>
      </c>
      <c r="E52" s="18">
        <v>3.0</v>
      </c>
      <c r="F52" s="8" t="s">
        <v>319</v>
      </c>
      <c r="G52" s="123"/>
      <c r="H52" s="123"/>
      <c r="I52" s="76"/>
      <c r="J52" s="76">
        <f t="shared" si="19"/>
        <v>54.06548008</v>
      </c>
      <c r="K52" s="90">
        <f t="shared" si="20"/>
        <v>0.0001803430295</v>
      </c>
      <c r="L52" s="25"/>
      <c r="M52" s="39">
        <f t="shared" si="21"/>
        <v>0.003</v>
      </c>
      <c r="P52" s="95">
        <f t="shared" si="22"/>
        <v>136054.4218</v>
      </c>
    </row>
    <row r="53">
      <c r="M53" s="25"/>
    </row>
    <row r="54">
      <c r="M54" s="25"/>
    </row>
    <row r="55">
      <c r="M55" s="25"/>
    </row>
    <row r="56">
      <c r="M56" s="25"/>
    </row>
    <row r="57">
      <c r="M57" s="25"/>
    </row>
    <row r="58">
      <c r="M58" s="25"/>
    </row>
    <row r="59">
      <c r="M59" s="25"/>
    </row>
    <row r="60">
      <c r="M60" s="25"/>
    </row>
    <row r="61">
      <c r="M61" s="25"/>
    </row>
    <row r="62">
      <c r="M62" s="25"/>
    </row>
    <row r="63">
      <c r="M63" s="25"/>
    </row>
    <row r="64">
      <c r="M64" s="25"/>
    </row>
    <row r="65">
      <c r="M65" s="25"/>
    </row>
    <row r="66">
      <c r="M66" s="25"/>
    </row>
    <row r="67">
      <c r="M67" s="25"/>
    </row>
    <row r="68">
      <c r="M68" s="25"/>
    </row>
    <row r="69">
      <c r="M69" s="25"/>
    </row>
    <row r="70">
      <c r="M70" s="25"/>
    </row>
    <row r="71">
      <c r="M71" s="25"/>
    </row>
    <row r="72">
      <c r="M72" s="25"/>
    </row>
    <row r="73">
      <c r="M73" s="25"/>
    </row>
    <row r="74">
      <c r="M74" s="25"/>
    </row>
    <row r="75">
      <c r="M75" s="25"/>
    </row>
    <row r="76">
      <c r="M76" s="25"/>
    </row>
    <row r="77">
      <c r="M77" s="25"/>
    </row>
    <row r="78">
      <c r="M78" s="25"/>
    </row>
    <row r="79">
      <c r="M79" s="25"/>
    </row>
    <row r="80">
      <c r="M80" s="25"/>
    </row>
    <row r="81">
      <c r="M81" s="25"/>
    </row>
    <row r="82">
      <c r="M82" s="25"/>
    </row>
    <row r="83">
      <c r="M83" s="25"/>
    </row>
    <row r="84">
      <c r="M84" s="25"/>
    </row>
    <row r="85">
      <c r="M85" s="25"/>
    </row>
    <row r="86">
      <c r="M86" s="25"/>
    </row>
    <row r="87">
      <c r="M87" s="25"/>
    </row>
    <row r="88">
      <c r="M88" s="25"/>
    </row>
    <row r="89">
      <c r="M89" s="25"/>
    </row>
    <row r="90">
      <c r="M90" s="25"/>
    </row>
    <row r="91">
      <c r="M91" s="25"/>
    </row>
    <row r="92">
      <c r="M92" s="25"/>
    </row>
    <row r="93">
      <c r="M93" s="25"/>
    </row>
    <row r="94">
      <c r="M94" s="25"/>
    </row>
    <row r="95">
      <c r="M95" s="25"/>
    </row>
    <row r="96">
      <c r="M96" s="25"/>
    </row>
    <row r="97">
      <c r="M97" s="25"/>
    </row>
    <row r="98">
      <c r="M98" s="25"/>
    </row>
    <row r="99">
      <c r="M99" s="25"/>
    </row>
    <row r="100">
      <c r="M100" s="25"/>
    </row>
    <row r="101">
      <c r="M101" s="25"/>
    </row>
    <row r="102">
      <c r="M102" s="25"/>
    </row>
    <row r="103">
      <c r="M103" s="25"/>
    </row>
    <row r="104">
      <c r="M104" s="25"/>
    </row>
    <row r="105">
      <c r="M105" s="25"/>
    </row>
    <row r="106">
      <c r="M106" s="25"/>
    </row>
    <row r="107">
      <c r="M107" s="25"/>
    </row>
    <row r="108">
      <c r="M108" s="25"/>
    </row>
    <row r="109">
      <c r="M109" s="25"/>
    </row>
    <row r="110">
      <c r="M110" s="25"/>
    </row>
    <row r="111">
      <c r="M111" s="25"/>
    </row>
    <row r="112">
      <c r="M112" s="25"/>
    </row>
    <row r="113">
      <c r="M113" s="25"/>
    </row>
    <row r="114">
      <c r="M114" s="25"/>
    </row>
    <row r="115">
      <c r="M115" s="25"/>
    </row>
    <row r="116">
      <c r="M116" s="25"/>
    </row>
    <row r="117">
      <c r="M117" s="25"/>
    </row>
    <row r="118">
      <c r="M118" s="25"/>
    </row>
    <row r="119">
      <c r="M119" s="25"/>
    </row>
    <row r="120">
      <c r="M120" s="25"/>
    </row>
    <row r="121">
      <c r="M121" s="25"/>
    </row>
    <row r="122">
      <c r="M122" s="25"/>
    </row>
    <row r="123">
      <c r="M123" s="25"/>
    </row>
    <row r="124">
      <c r="M124" s="25"/>
    </row>
    <row r="125">
      <c r="M125" s="25"/>
    </row>
    <row r="126">
      <c r="M126" s="25"/>
    </row>
    <row r="127">
      <c r="M127" s="25"/>
    </row>
    <row r="128">
      <c r="M128" s="25"/>
    </row>
    <row r="129">
      <c r="M129" s="25"/>
    </row>
    <row r="130">
      <c r="M130" s="25"/>
    </row>
    <row r="131">
      <c r="M131" s="25"/>
    </row>
    <row r="132">
      <c r="M132" s="25"/>
    </row>
    <row r="133">
      <c r="M133" s="25"/>
    </row>
    <row r="134">
      <c r="M134" s="25"/>
    </row>
    <row r="135">
      <c r="M135" s="25"/>
    </row>
    <row r="136">
      <c r="M136" s="25"/>
    </row>
    <row r="137">
      <c r="M137" s="25"/>
    </row>
    <row r="138">
      <c r="M138" s="25"/>
    </row>
    <row r="139">
      <c r="M139" s="25"/>
    </row>
    <row r="140">
      <c r="M140" s="25"/>
    </row>
    <row r="141">
      <c r="M141" s="25"/>
    </row>
    <row r="142">
      <c r="M142" s="25"/>
    </row>
    <row r="143">
      <c r="M143" s="25"/>
    </row>
    <row r="144">
      <c r="M144" s="25"/>
    </row>
    <row r="145">
      <c r="M145" s="25"/>
    </row>
    <row r="146">
      <c r="M146" s="25"/>
    </row>
    <row r="147">
      <c r="M147" s="25"/>
    </row>
    <row r="148">
      <c r="M148" s="25"/>
    </row>
    <row r="149">
      <c r="M149" s="25"/>
    </row>
    <row r="150">
      <c r="M150" s="25"/>
    </row>
    <row r="151">
      <c r="M151" s="25"/>
    </row>
    <row r="152">
      <c r="M152" s="25"/>
    </row>
    <row r="153">
      <c r="M153" s="25"/>
    </row>
    <row r="154">
      <c r="M154" s="25"/>
    </row>
    <row r="155">
      <c r="M155" s="25"/>
    </row>
    <row r="156">
      <c r="M156" s="25"/>
    </row>
    <row r="157">
      <c r="M157" s="25"/>
    </row>
    <row r="158">
      <c r="M158" s="25"/>
    </row>
    <row r="159">
      <c r="M159" s="25"/>
    </row>
    <row r="160">
      <c r="M160" s="25"/>
    </row>
    <row r="161">
      <c r="M161" s="25"/>
    </row>
    <row r="162">
      <c r="M162" s="25"/>
    </row>
    <row r="163">
      <c r="M163" s="25"/>
    </row>
    <row r="164">
      <c r="M164" s="25"/>
    </row>
    <row r="165">
      <c r="M165" s="25"/>
    </row>
    <row r="166">
      <c r="M166" s="25"/>
    </row>
    <row r="167">
      <c r="M167" s="25"/>
    </row>
    <row r="168">
      <c r="M168" s="25"/>
    </row>
    <row r="169">
      <c r="M169" s="25"/>
    </row>
    <row r="170">
      <c r="M170" s="25"/>
    </row>
    <row r="171">
      <c r="M171" s="25"/>
    </row>
    <row r="172">
      <c r="M172" s="25"/>
    </row>
    <row r="173">
      <c r="M173" s="25"/>
    </row>
    <row r="174">
      <c r="M174" s="25"/>
    </row>
    <row r="175">
      <c r="M175" s="25"/>
    </row>
    <row r="176">
      <c r="M176" s="25"/>
    </row>
    <row r="177">
      <c r="M177" s="25"/>
    </row>
    <row r="178">
      <c r="M178" s="25"/>
    </row>
    <row r="179">
      <c r="M179" s="25"/>
    </row>
    <row r="180">
      <c r="M180" s="25"/>
    </row>
    <row r="181">
      <c r="M181" s="25"/>
    </row>
    <row r="182">
      <c r="M182" s="25"/>
    </row>
    <row r="183">
      <c r="M183" s="25"/>
    </row>
    <row r="184">
      <c r="M184" s="25"/>
    </row>
    <row r="185">
      <c r="M185" s="25"/>
    </row>
    <row r="186">
      <c r="M186" s="25"/>
    </row>
    <row r="187">
      <c r="M187" s="25"/>
    </row>
    <row r="188">
      <c r="M188" s="25"/>
    </row>
    <row r="189">
      <c r="M189" s="25"/>
    </row>
    <row r="190">
      <c r="M190" s="25"/>
    </row>
    <row r="191">
      <c r="M191" s="25"/>
    </row>
    <row r="192">
      <c r="M192" s="25"/>
    </row>
    <row r="193">
      <c r="M193" s="25"/>
    </row>
    <row r="194">
      <c r="M194" s="25"/>
    </row>
    <row r="195">
      <c r="M195" s="25"/>
    </row>
    <row r="196">
      <c r="M196" s="25"/>
    </row>
    <row r="197">
      <c r="M197" s="25"/>
    </row>
    <row r="198">
      <c r="M198" s="25"/>
    </row>
    <row r="199">
      <c r="M199" s="25"/>
    </row>
    <row r="200">
      <c r="M200" s="25"/>
    </row>
    <row r="201">
      <c r="M201" s="25"/>
    </row>
    <row r="202">
      <c r="M202" s="25"/>
    </row>
    <row r="203">
      <c r="M203" s="25"/>
    </row>
    <row r="204">
      <c r="M204" s="25"/>
    </row>
    <row r="205">
      <c r="M205" s="25"/>
    </row>
    <row r="206">
      <c r="M206" s="25"/>
    </row>
    <row r="207">
      <c r="M207" s="25"/>
    </row>
    <row r="208">
      <c r="M208" s="25"/>
    </row>
    <row r="209">
      <c r="M209" s="25"/>
    </row>
    <row r="210">
      <c r="M210" s="25"/>
    </row>
    <row r="211">
      <c r="M211" s="25"/>
    </row>
    <row r="212">
      <c r="M212" s="25"/>
    </row>
    <row r="213">
      <c r="M213" s="25"/>
    </row>
    <row r="214">
      <c r="M214" s="25"/>
    </row>
    <row r="215">
      <c r="M215" s="25"/>
    </row>
    <row r="216">
      <c r="M216" s="25"/>
    </row>
    <row r="217">
      <c r="M217" s="25"/>
    </row>
    <row r="218">
      <c r="M218" s="25"/>
    </row>
    <row r="219">
      <c r="M219" s="25"/>
    </row>
    <row r="220">
      <c r="M220" s="25"/>
    </row>
    <row r="221">
      <c r="M221" s="25"/>
    </row>
    <row r="222">
      <c r="M222" s="25"/>
    </row>
    <row r="223">
      <c r="M223" s="25"/>
    </row>
    <row r="224">
      <c r="M224" s="25"/>
    </row>
    <row r="225">
      <c r="M225" s="25"/>
    </row>
    <row r="226">
      <c r="M226" s="25"/>
    </row>
    <row r="227">
      <c r="M227" s="25"/>
    </row>
    <row r="228">
      <c r="M228" s="25"/>
    </row>
    <row r="229">
      <c r="M229" s="25"/>
    </row>
    <row r="230">
      <c r="M230" s="25"/>
    </row>
    <row r="231">
      <c r="M231" s="25"/>
    </row>
    <row r="232">
      <c r="M232" s="25"/>
    </row>
    <row r="233">
      <c r="M233" s="25"/>
    </row>
    <row r="234">
      <c r="M234" s="25"/>
    </row>
    <row r="235">
      <c r="M235" s="25"/>
    </row>
    <row r="236">
      <c r="M236" s="25"/>
    </row>
    <row r="237">
      <c r="M237" s="25"/>
    </row>
    <row r="238">
      <c r="M238" s="25"/>
    </row>
    <row r="239">
      <c r="M239" s="25"/>
    </row>
    <row r="240">
      <c r="M240" s="25"/>
    </row>
    <row r="241">
      <c r="M241" s="25"/>
    </row>
    <row r="242">
      <c r="M242" s="25"/>
    </row>
    <row r="243">
      <c r="M243" s="25"/>
    </row>
    <row r="244">
      <c r="M244" s="25"/>
    </row>
    <row r="245">
      <c r="M245" s="25"/>
    </row>
    <row r="246">
      <c r="M246" s="25"/>
    </row>
    <row r="247">
      <c r="M247" s="25"/>
    </row>
    <row r="248">
      <c r="M248" s="25"/>
    </row>
    <row r="249">
      <c r="M249" s="25"/>
    </row>
    <row r="250">
      <c r="M250" s="25"/>
    </row>
    <row r="251">
      <c r="M251" s="25"/>
    </row>
    <row r="252">
      <c r="M252" s="25"/>
    </row>
    <row r="253">
      <c r="M253" s="25"/>
    </row>
    <row r="254">
      <c r="M254" s="25"/>
    </row>
    <row r="255">
      <c r="M255" s="25"/>
    </row>
    <row r="256">
      <c r="M256" s="25"/>
    </row>
    <row r="257">
      <c r="M257" s="25"/>
    </row>
    <row r="258">
      <c r="M258" s="25"/>
    </row>
    <row r="259">
      <c r="M259" s="25"/>
    </row>
    <row r="260">
      <c r="M260" s="25"/>
    </row>
    <row r="261">
      <c r="M261" s="25"/>
    </row>
    <row r="262">
      <c r="M262" s="25"/>
    </row>
    <row r="263">
      <c r="M263" s="25"/>
    </row>
    <row r="264">
      <c r="M264" s="25"/>
    </row>
    <row r="265">
      <c r="M265" s="25"/>
    </row>
    <row r="266">
      <c r="M266" s="25"/>
    </row>
    <row r="267">
      <c r="M267" s="25"/>
    </row>
    <row r="268">
      <c r="M268" s="25"/>
    </row>
    <row r="269">
      <c r="M269" s="25"/>
    </row>
    <row r="270">
      <c r="M270" s="25"/>
    </row>
    <row r="271">
      <c r="M271" s="25"/>
    </row>
    <row r="272">
      <c r="M272" s="25"/>
    </row>
    <row r="273">
      <c r="M273" s="25"/>
    </row>
    <row r="274">
      <c r="M274" s="25"/>
    </row>
    <row r="275">
      <c r="M275" s="25"/>
    </row>
    <row r="276">
      <c r="M276" s="25"/>
    </row>
    <row r="277">
      <c r="M277" s="25"/>
    </row>
    <row r="278">
      <c r="M278" s="25"/>
    </row>
    <row r="279">
      <c r="M279" s="25"/>
    </row>
    <row r="280">
      <c r="M280" s="25"/>
    </row>
    <row r="281">
      <c r="M281" s="25"/>
    </row>
    <row r="282">
      <c r="M282" s="25"/>
    </row>
    <row r="283">
      <c r="M283" s="25"/>
    </row>
    <row r="284">
      <c r="M284" s="25"/>
    </row>
    <row r="285">
      <c r="M285" s="25"/>
    </row>
    <row r="286">
      <c r="M286" s="25"/>
    </row>
    <row r="287">
      <c r="M287" s="25"/>
    </row>
    <row r="288">
      <c r="M288" s="25"/>
    </row>
    <row r="289">
      <c r="M289" s="25"/>
    </row>
    <row r="290">
      <c r="M290" s="25"/>
    </row>
    <row r="291">
      <c r="M291" s="25"/>
    </row>
    <row r="292">
      <c r="M292" s="25"/>
    </row>
    <row r="293">
      <c r="M293" s="25"/>
    </row>
    <row r="294">
      <c r="M294" s="25"/>
    </row>
    <row r="295">
      <c r="M295" s="25"/>
    </row>
    <row r="296">
      <c r="M296" s="25"/>
    </row>
    <row r="297">
      <c r="M297" s="25"/>
    </row>
    <row r="298">
      <c r="M298" s="25"/>
    </row>
    <row r="299">
      <c r="M299" s="25"/>
    </row>
    <row r="300">
      <c r="M300" s="25"/>
    </row>
    <row r="301">
      <c r="M301" s="25"/>
    </row>
    <row r="302">
      <c r="M302" s="25"/>
    </row>
    <row r="303">
      <c r="M303" s="25"/>
    </row>
    <row r="304">
      <c r="M304" s="25"/>
    </row>
    <row r="305">
      <c r="M305" s="25"/>
    </row>
    <row r="306">
      <c r="M306" s="25"/>
    </row>
    <row r="307">
      <c r="M307" s="25"/>
    </row>
    <row r="308">
      <c r="M308" s="25"/>
    </row>
    <row r="309">
      <c r="M309" s="25"/>
    </row>
    <row r="310">
      <c r="M310" s="25"/>
    </row>
    <row r="311">
      <c r="M311" s="25"/>
    </row>
    <row r="312">
      <c r="M312" s="25"/>
    </row>
    <row r="313">
      <c r="M313" s="25"/>
    </row>
    <row r="314">
      <c r="M314" s="25"/>
    </row>
    <row r="315">
      <c r="M315" s="25"/>
    </row>
    <row r="316">
      <c r="M316" s="25"/>
    </row>
    <row r="317">
      <c r="M317" s="25"/>
    </row>
    <row r="318">
      <c r="M318" s="25"/>
    </row>
    <row r="319">
      <c r="M319" s="25"/>
    </row>
    <row r="320">
      <c r="M320" s="25"/>
    </row>
    <row r="321">
      <c r="M321" s="25"/>
    </row>
    <row r="322">
      <c r="M322" s="25"/>
    </row>
    <row r="323">
      <c r="M323" s="25"/>
    </row>
    <row r="324">
      <c r="M324" s="25"/>
    </row>
    <row r="325">
      <c r="M325" s="25"/>
    </row>
    <row r="326">
      <c r="M326" s="25"/>
    </row>
    <row r="327">
      <c r="M327" s="25"/>
    </row>
    <row r="328">
      <c r="M328" s="25"/>
    </row>
    <row r="329">
      <c r="M329" s="25"/>
    </row>
    <row r="330">
      <c r="M330" s="25"/>
    </row>
    <row r="331">
      <c r="M331" s="25"/>
    </row>
    <row r="332">
      <c r="M332" s="25"/>
    </row>
    <row r="333">
      <c r="M333" s="25"/>
    </row>
    <row r="334">
      <c r="M334" s="25"/>
    </row>
    <row r="335">
      <c r="M335" s="25"/>
    </row>
    <row r="336">
      <c r="M336" s="25"/>
    </row>
    <row r="337">
      <c r="M337" s="25"/>
    </row>
    <row r="338">
      <c r="M338" s="25"/>
    </row>
    <row r="339">
      <c r="M339" s="25"/>
    </row>
    <row r="340">
      <c r="M340" s="25"/>
    </row>
    <row r="341">
      <c r="M341" s="25"/>
    </row>
    <row r="342">
      <c r="M342" s="25"/>
    </row>
    <row r="343">
      <c r="M343" s="25"/>
    </row>
    <row r="344">
      <c r="M344" s="25"/>
    </row>
    <row r="345">
      <c r="M345" s="25"/>
    </row>
    <row r="346">
      <c r="M346" s="25"/>
    </row>
    <row r="347">
      <c r="M347" s="25"/>
    </row>
    <row r="348">
      <c r="M348" s="25"/>
    </row>
    <row r="349">
      <c r="M349" s="25"/>
    </row>
    <row r="350">
      <c r="M350" s="25"/>
    </row>
    <row r="351">
      <c r="M351" s="25"/>
    </row>
    <row r="352">
      <c r="M352" s="25"/>
    </row>
    <row r="353">
      <c r="M353" s="25"/>
    </row>
    <row r="354">
      <c r="M354" s="25"/>
    </row>
    <row r="355">
      <c r="M355" s="25"/>
    </row>
    <row r="356">
      <c r="M356" s="25"/>
    </row>
    <row r="357">
      <c r="M357" s="25"/>
    </row>
    <row r="358">
      <c r="M358" s="25"/>
    </row>
    <row r="359">
      <c r="M359" s="25"/>
    </row>
    <row r="360">
      <c r="M360" s="25"/>
    </row>
    <row r="361">
      <c r="M361" s="25"/>
    </row>
    <row r="362">
      <c r="M362" s="25"/>
    </row>
    <row r="363">
      <c r="M363" s="25"/>
    </row>
    <row r="364">
      <c r="M364" s="25"/>
    </row>
    <row r="365">
      <c r="M365" s="25"/>
    </row>
    <row r="366">
      <c r="M366" s="25"/>
    </row>
    <row r="367">
      <c r="M367" s="25"/>
    </row>
    <row r="368">
      <c r="M368" s="25"/>
    </row>
    <row r="369">
      <c r="M369" s="25"/>
    </row>
    <row r="370">
      <c r="M370" s="25"/>
    </row>
    <row r="371">
      <c r="M371" s="25"/>
    </row>
    <row r="372">
      <c r="M372" s="25"/>
    </row>
    <row r="373">
      <c r="M373" s="25"/>
    </row>
    <row r="374">
      <c r="M374" s="25"/>
    </row>
    <row r="375">
      <c r="M375" s="25"/>
    </row>
    <row r="376">
      <c r="M376" s="25"/>
    </row>
    <row r="377">
      <c r="M377" s="25"/>
    </row>
    <row r="378">
      <c r="M378" s="25"/>
    </row>
    <row r="379">
      <c r="M379" s="25"/>
    </row>
    <row r="380">
      <c r="M380" s="25"/>
    </row>
    <row r="381">
      <c r="M381" s="25"/>
    </row>
    <row r="382">
      <c r="M382" s="25"/>
    </row>
    <row r="383">
      <c r="M383" s="25"/>
    </row>
    <row r="384">
      <c r="M384" s="25"/>
    </row>
    <row r="385">
      <c r="M385" s="25"/>
    </row>
    <row r="386">
      <c r="M386" s="25"/>
    </row>
    <row r="387">
      <c r="M387" s="25"/>
    </row>
    <row r="388">
      <c r="M388" s="25"/>
    </row>
    <row r="389">
      <c r="M389" s="25"/>
    </row>
    <row r="390">
      <c r="M390" s="25"/>
    </row>
    <row r="391">
      <c r="M391" s="25"/>
    </row>
    <row r="392">
      <c r="M392" s="25"/>
    </row>
    <row r="393">
      <c r="M393" s="25"/>
    </row>
    <row r="394">
      <c r="M394" s="25"/>
    </row>
    <row r="395">
      <c r="M395" s="25"/>
    </row>
    <row r="396">
      <c r="M396" s="25"/>
    </row>
    <row r="397">
      <c r="M397" s="25"/>
    </row>
    <row r="398">
      <c r="M398" s="25"/>
    </row>
    <row r="399">
      <c r="M399" s="25"/>
    </row>
    <row r="400">
      <c r="M400" s="25"/>
    </row>
    <row r="401">
      <c r="M401" s="25"/>
    </row>
    <row r="402">
      <c r="M402" s="25"/>
    </row>
    <row r="403">
      <c r="M403" s="25"/>
    </row>
    <row r="404">
      <c r="M404" s="25"/>
    </row>
    <row r="405">
      <c r="M405" s="25"/>
    </row>
    <row r="406">
      <c r="M406" s="25"/>
    </row>
    <row r="407">
      <c r="M407" s="25"/>
    </row>
    <row r="408">
      <c r="M408" s="25"/>
    </row>
    <row r="409">
      <c r="M409" s="25"/>
    </row>
    <row r="410">
      <c r="M410" s="25"/>
    </row>
    <row r="411">
      <c r="M411" s="25"/>
    </row>
    <row r="412">
      <c r="M412" s="25"/>
    </row>
    <row r="413">
      <c r="M413" s="25"/>
    </row>
    <row r="414">
      <c r="M414" s="25"/>
    </row>
    <row r="415">
      <c r="M415" s="25"/>
    </row>
    <row r="416">
      <c r="M416" s="25"/>
    </row>
    <row r="417">
      <c r="M417" s="25"/>
    </row>
    <row r="418">
      <c r="M418" s="25"/>
    </row>
    <row r="419">
      <c r="M419" s="25"/>
    </row>
    <row r="420">
      <c r="M420" s="25"/>
    </row>
    <row r="421">
      <c r="M421" s="25"/>
    </row>
    <row r="422">
      <c r="M422" s="25"/>
    </row>
    <row r="423">
      <c r="M423" s="25"/>
    </row>
    <row r="424">
      <c r="M424" s="25"/>
    </row>
    <row r="425">
      <c r="M425" s="25"/>
    </row>
    <row r="426">
      <c r="M426" s="25"/>
    </row>
    <row r="427">
      <c r="M427" s="25"/>
    </row>
    <row r="428">
      <c r="M428" s="25"/>
    </row>
    <row r="429">
      <c r="M429" s="25"/>
    </row>
    <row r="430">
      <c r="M430" s="25"/>
    </row>
    <row r="431">
      <c r="M431" s="25"/>
    </row>
    <row r="432">
      <c r="M432" s="25"/>
    </row>
    <row r="433">
      <c r="M433" s="25"/>
    </row>
    <row r="434">
      <c r="M434" s="25"/>
    </row>
    <row r="435">
      <c r="M435" s="25"/>
    </row>
    <row r="436">
      <c r="M436" s="25"/>
    </row>
    <row r="437">
      <c r="M437" s="25"/>
    </row>
    <row r="438">
      <c r="M438" s="25"/>
    </row>
    <row r="439">
      <c r="M439" s="25"/>
    </row>
    <row r="440">
      <c r="M440" s="25"/>
    </row>
    <row r="441">
      <c r="M441" s="25"/>
    </row>
    <row r="442">
      <c r="M442" s="25"/>
    </row>
    <row r="443">
      <c r="M443" s="25"/>
    </row>
    <row r="444">
      <c r="M444" s="25"/>
    </row>
    <row r="445">
      <c r="M445" s="25"/>
    </row>
    <row r="446">
      <c r="M446" s="25"/>
    </row>
    <row r="447">
      <c r="M447" s="25"/>
    </row>
    <row r="448">
      <c r="M448" s="25"/>
    </row>
    <row r="449">
      <c r="M449" s="25"/>
    </row>
    <row r="450">
      <c r="M450" s="25"/>
    </row>
    <row r="451">
      <c r="M451" s="25"/>
    </row>
    <row r="452">
      <c r="M452" s="25"/>
    </row>
    <row r="453">
      <c r="M453" s="25"/>
    </row>
    <row r="454">
      <c r="M454" s="25"/>
    </row>
    <row r="455">
      <c r="M455" s="25"/>
    </row>
    <row r="456">
      <c r="M456" s="25"/>
    </row>
    <row r="457">
      <c r="M457" s="25"/>
    </row>
    <row r="458">
      <c r="M458" s="25"/>
    </row>
    <row r="459">
      <c r="M459" s="25"/>
    </row>
    <row r="460">
      <c r="M460" s="25"/>
    </row>
    <row r="461">
      <c r="M461" s="25"/>
    </row>
    <row r="462">
      <c r="M462" s="25"/>
    </row>
    <row r="463">
      <c r="M463" s="25"/>
    </row>
    <row r="464">
      <c r="M464" s="25"/>
    </row>
    <row r="465">
      <c r="M465" s="25"/>
    </row>
    <row r="466">
      <c r="M466" s="25"/>
    </row>
    <row r="467">
      <c r="M467" s="25"/>
    </row>
    <row r="468">
      <c r="M468" s="25"/>
    </row>
    <row r="469">
      <c r="M469" s="25"/>
    </row>
    <row r="470">
      <c r="M470" s="25"/>
    </row>
    <row r="471">
      <c r="M471" s="25"/>
    </row>
    <row r="472">
      <c r="M472" s="25"/>
    </row>
    <row r="473">
      <c r="M473" s="25"/>
    </row>
    <row r="474">
      <c r="M474" s="25"/>
    </row>
    <row r="475">
      <c r="M475" s="25"/>
    </row>
    <row r="476">
      <c r="M476" s="25"/>
    </row>
    <row r="477">
      <c r="M477" s="25"/>
    </row>
    <row r="478">
      <c r="M478" s="25"/>
    </row>
    <row r="479">
      <c r="M479" s="25"/>
    </row>
    <row r="480">
      <c r="M480" s="25"/>
    </row>
    <row r="481">
      <c r="M481" s="25"/>
    </row>
    <row r="482">
      <c r="M482" s="25"/>
    </row>
    <row r="483">
      <c r="M483" s="25"/>
    </row>
    <row r="484">
      <c r="M484" s="25"/>
    </row>
    <row r="485">
      <c r="M485" s="25"/>
    </row>
    <row r="486">
      <c r="M486" s="25"/>
    </row>
    <row r="487">
      <c r="M487" s="25"/>
    </row>
    <row r="488">
      <c r="M488" s="25"/>
    </row>
    <row r="489">
      <c r="M489" s="25"/>
    </row>
    <row r="490">
      <c r="M490" s="25"/>
    </row>
    <row r="491">
      <c r="M491" s="25"/>
    </row>
    <row r="492">
      <c r="M492" s="25"/>
    </row>
    <row r="493">
      <c r="M493" s="25"/>
    </row>
    <row r="494">
      <c r="M494" s="25"/>
    </row>
    <row r="495">
      <c r="M495" s="25"/>
    </row>
    <row r="496">
      <c r="M496" s="25"/>
    </row>
    <row r="497">
      <c r="M497" s="25"/>
    </row>
    <row r="498">
      <c r="M498" s="25"/>
    </row>
    <row r="499">
      <c r="M499" s="25"/>
    </row>
    <row r="500">
      <c r="M500" s="25"/>
    </row>
    <row r="501">
      <c r="M501" s="25"/>
    </row>
    <row r="502">
      <c r="M502" s="25"/>
    </row>
    <row r="503">
      <c r="M503" s="25"/>
    </row>
    <row r="504">
      <c r="M504" s="25"/>
    </row>
    <row r="505">
      <c r="M505" s="25"/>
    </row>
    <row r="506">
      <c r="M506" s="25"/>
    </row>
    <row r="507">
      <c r="M507" s="25"/>
    </row>
    <row r="508">
      <c r="M508" s="25"/>
    </row>
    <row r="509">
      <c r="M509" s="25"/>
    </row>
    <row r="510">
      <c r="M510" s="25"/>
    </row>
    <row r="511">
      <c r="M511" s="25"/>
    </row>
    <row r="512">
      <c r="M512" s="25"/>
    </row>
    <row r="513">
      <c r="M513" s="25"/>
    </row>
    <row r="514">
      <c r="M514" s="25"/>
    </row>
    <row r="515">
      <c r="M515" s="25"/>
    </row>
    <row r="516">
      <c r="M516" s="25"/>
    </row>
    <row r="517">
      <c r="M517" s="25"/>
    </row>
    <row r="518">
      <c r="M518" s="25"/>
    </row>
    <row r="519">
      <c r="M519" s="25"/>
    </row>
    <row r="520">
      <c r="M520" s="25"/>
    </row>
    <row r="521">
      <c r="M521" s="25"/>
    </row>
    <row r="522">
      <c r="M522" s="25"/>
    </row>
    <row r="523">
      <c r="M523" s="25"/>
    </row>
    <row r="524">
      <c r="M524" s="25"/>
    </row>
    <row r="525">
      <c r="M525" s="25"/>
    </row>
    <row r="526">
      <c r="M526" s="25"/>
    </row>
    <row r="527">
      <c r="M527" s="25"/>
    </row>
    <row r="528">
      <c r="M528" s="25"/>
    </row>
    <row r="529">
      <c r="M529" s="25"/>
    </row>
    <row r="530">
      <c r="M530" s="25"/>
    </row>
    <row r="531">
      <c r="M531" s="25"/>
    </row>
    <row r="532">
      <c r="M532" s="25"/>
    </row>
    <row r="533">
      <c r="M533" s="25"/>
    </row>
    <row r="534">
      <c r="M534" s="25"/>
    </row>
    <row r="535">
      <c r="M535" s="25"/>
    </row>
    <row r="536">
      <c r="M536" s="25"/>
    </row>
    <row r="537">
      <c r="M537" s="25"/>
    </row>
    <row r="538">
      <c r="M538" s="25"/>
    </row>
    <row r="539">
      <c r="M539" s="25"/>
    </row>
    <row r="540">
      <c r="M540" s="25"/>
    </row>
    <row r="541">
      <c r="M541" s="25"/>
    </row>
    <row r="542">
      <c r="M542" s="25"/>
    </row>
    <row r="543">
      <c r="M543" s="25"/>
    </row>
    <row r="544">
      <c r="M544" s="25"/>
    </row>
    <row r="545">
      <c r="M545" s="25"/>
    </row>
    <row r="546">
      <c r="M546" s="25"/>
    </row>
    <row r="547">
      <c r="M547" s="25"/>
    </row>
    <row r="548">
      <c r="M548" s="25"/>
    </row>
    <row r="549">
      <c r="M549" s="25"/>
    </row>
    <row r="550">
      <c r="M550" s="25"/>
    </row>
    <row r="551">
      <c r="M551" s="25"/>
    </row>
    <row r="552">
      <c r="M552" s="25"/>
    </row>
    <row r="553">
      <c r="M553" s="25"/>
    </row>
    <row r="554">
      <c r="M554" s="25"/>
    </row>
    <row r="555">
      <c r="M555" s="25"/>
    </row>
    <row r="556">
      <c r="M556" s="25"/>
    </row>
    <row r="557">
      <c r="M557" s="25"/>
    </row>
    <row r="558">
      <c r="M558" s="25"/>
    </row>
    <row r="559">
      <c r="M559" s="25"/>
    </row>
    <row r="560">
      <c r="M560" s="25"/>
    </row>
    <row r="561">
      <c r="M561" s="25"/>
    </row>
    <row r="562">
      <c r="M562" s="25"/>
    </row>
    <row r="563">
      <c r="M563" s="25"/>
    </row>
    <row r="564">
      <c r="M564" s="25"/>
    </row>
    <row r="565">
      <c r="M565" s="25"/>
    </row>
    <row r="566">
      <c r="M566" s="25"/>
    </row>
    <row r="567">
      <c r="M567" s="25"/>
    </row>
    <row r="568">
      <c r="M568" s="25"/>
    </row>
    <row r="569">
      <c r="M569" s="25"/>
    </row>
    <row r="570">
      <c r="M570" s="25"/>
    </row>
    <row r="571">
      <c r="M571" s="25"/>
    </row>
    <row r="572">
      <c r="M572" s="25"/>
    </row>
    <row r="573">
      <c r="M573" s="25"/>
    </row>
    <row r="574">
      <c r="M574" s="25"/>
    </row>
    <row r="575">
      <c r="M575" s="25"/>
    </row>
    <row r="576">
      <c r="M576" s="25"/>
    </row>
    <row r="577">
      <c r="M577" s="25"/>
    </row>
    <row r="578">
      <c r="M578" s="25"/>
    </row>
    <row r="579">
      <c r="M579" s="25"/>
    </row>
    <row r="580">
      <c r="M580" s="25"/>
    </row>
    <row r="581">
      <c r="M581" s="25"/>
    </row>
    <row r="582">
      <c r="M582" s="25"/>
    </row>
    <row r="583">
      <c r="M583" s="25"/>
    </row>
    <row r="584">
      <c r="M584" s="25"/>
    </row>
    <row r="585">
      <c r="M585" s="25"/>
    </row>
    <row r="586">
      <c r="M586" s="25"/>
    </row>
    <row r="587">
      <c r="M587" s="25"/>
    </row>
    <row r="588">
      <c r="M588" s="25"/>
    </row>
    <row r="589">
      <c r="M589" s="25"/>
    </row>
    <row r="590">
      <c r="M590" s="25"/>
    </row>
    <row r="591">
      <c r="M591" s="25"/>
    </row>
    <row r="592">
      <c r="M592" s="25"/>
    </row>
    <row r="593">
      <c r="M593" s="25"/>
    </row>
    <row r="594">
      <c r="M594" s="25"/>
    </row>
    <row r="595">
      <c r="M595" s="25"/>
    </row>
    <row r="596">
      <c r="M596" s="25"/>
    </row>
    <row r="597">
      <c r="M597" s="25"/>
    </row>
    <row r="598">
      <c r="M598" s="25"/>
    </row>
    <row r="599">
      <c r="M599" s="25"/>
    </row>
    <row r="600">
      <c r="M600" s="25"/>
    </row>
    <row r="601">
      <c r="M601" s="25"/>
    </row>
    <row r="602">
      <c r="M602" s="25"/>
    </row>
    <row r="603">
      <c r="M603" s="25"/>
    </row>
    <row r="604">
      <c r="M604" s="25"/>
    </row>
    <row r="605">
      <c r="M605" s="25"/>
    </row>
    <row r="606">
      <c r="M606" s="25"/>
    </row>
    <row r="607">
      <c r="M607" s="25"/>
    </row>
    <row r="608">
      <c r="M608" s="25"/>
    </row>
    <row r="609">
      <c r="M609" s="25"/>
    </row>
    <row r="610">
      <c r="M610" s="25"/>
    </row>
    <row r="611">
      <c r="M611" s="25"/>
    </row>
    <row r="612">
      <c r="M612" s="25"/>
    </row>
    <row r="613">
      <c r="M613" s="25"/>
    </row>
    <row r="614">
      <c r="M614" s="25"/>
    </row>
    <row r="615">
      <c r="M615" s="25"/>
    </row>
    <row r="616">
      <c r="M616" s="25"/>
    </row>
    <row r="617">
      <c r="M617" s="25"/>
    </row>
    <row r="618">
      <c r="M618" s="25"/>
    </row>
    <row r="619">
      <c r="M619" s="25"/>
    </row>
    <row r="620">
      <c r="M620" s="25"/>
    </row>
    <row r="621">
      <c r="M621" s="25"/>
    </row>
    <row r="622">
      <c r="M622" s="25"/>
    </row>
    <row r="623">
      <c r="M623" s="25"/>
    </row>
    <row r="624">
      <c r="M624" s="25"/>
    </row>
    <row r="625">
      <c r="M625" s="25"/>
    </row>
    <row r="626">
      <c r="M626" s="25"/>
    </row>
    <row r="627">
      <c r="M627" s="25"/>
    </row>
    <row r="628">
      <c r="M628" s="25"/>
    </row>
    <row r="629">
      <c r="M629" s="25"/>
    </row>
    <row r="630">
      <c r="M630" s="25"/>
    </row>
    <row r="631">
      <c r="M631" s="25"/>
    </row>
    <row r="632">
      <c r="M632" s="25"/>
    </row>
    <row r="633">
      <c r="M633" s="25"/>
    </row>
    <row r="634">
      <c r="M634" s="25"/>
    </row>
    <row r="635">
      <c r="M635" s="25"/>
    </row>
    <row r="636">
      <c r="M636" s="25"/>
    </row>
    <row r="637">
      <c r="M637" s="25"/>
    </row>
    <row r="638">
      <c r="M638" s="25"/>
    </row>
    <row r="639">
      <c r="M639" s="25"/>
    </row>
    <row r="640">
      <c r="M640" s="25"/>
    </row>
    <row r="641">
      <c r="M641" s="25"/>
    </row>
    <row r="642">
      <c r="M642" s="25"/>
    </row>
    <row r="643">
      <c r="M643" s="25"/>
    </row>
    <row r="644">
      <c r="M644" s="25"/>
    </row>
    <row r="645">
      <c r="M645" s="25"/>
    </row>
    <row r="646">
      <c r="M646" s="25"/>
    </row>
    <row r="647">
      <c r="M647" s="25"/>
    </row>
    <row r="648">
      <c r="M648" s="25"/>
    </row>
    <row r="649">
      <c r="M649" s="25"/>
    </row>
    <row r="650">
      <c r="M650" s="25"/>
    </row>
    <row r="651">
      <c r="M651" s="25"/>
    </row>
    <row r="652">
      <c r="M652" s="25"/>
    </row>
    <row r="653">
      <c r="M653" s="25"/>
    </row>
    <row r="654">
      <c r="M654" s="25"/>
    </row>
    <row r="655">
      <c r="M655" s="25"/>
    </row>
    <row r="656">
      <c r="M656" s="25"/>
    </row>
    <row r="657">
      <c r="M657" s="25"/>
    </row>
    <row r="658">
      <c r="M658" s="25"/>
    </row>
    <row r="659">
      <c r="M659" s="25"/>
    </row>
    <row r="660">
      <c r="M660" s="25"/>
    </row>
    <row r="661">
      <c r="M661" s="25"/>
    </row>
    <row r="662">
      <c r="M662" s="25"/>
    </row>
    <row r="663">
      <c r="M663" s="25"/>
    </row>
    <row r="664">
      <c r="M664" s="25"/>
    </row>
    <row r="665">
      <c r="M665" s="25"/>
    </row>
    <row r="666">
      <c r="M666" s="25"/>
    </row>
    <row r="667">
      <c r="M667" s="25"/>
    </row>
    <row r="668">
      <c r="M668" s="25"/>
    </row>
    <row r="669">
      <c r="M669" s="25"/>
    </row>
    <row r="670">
      <c r="M670" s="25"/>
    </row>
    <row r="671">
      <c r="M671" s="25"/>
    </row>
    <row r="672">
      <c r="M672" s="25"/>
    </row>
    <row r="673">
      <c r="M673" s="25"/>
    </row>
    <row r="674">
      <c r="M674" s="25"/>
    </row>
    <row r="675">
      <c r="M675" s="25"/>
    </row>
    <row r="676">
      <c r="M676" s="25"/>
    </row>
    <row r="677">
      <c r="M677" s="25"/>
    </row>
    <row r="678">
      <c r="M678" s="25"/>
    </row>
    <row r="679">
      <c r="M679" s="25"/>
    </row>
    <row r="680">
      <c r="M680" s="25"/>
    </row>
    <row r="681">
      <c r="M681" s="25"/>
    </row>
    <row r="682">
      <c r="M682" s="25"/>
    </row>
    <row r="683">
      <c r="M683" s="25"/>
    </row>
    <row r="684">
      <c r="M684" s="25"/>
    </row>
    <row r="685">
      <c r="M685" s="25"/>
    </row>
    <row r="686">
      <c r="M686" s="25"/>
    </row>
    <row r="687">
      <c r="M687" s="25"/>
    </row>
    <row r="688">
      <c r="M688" s="25"/>
    </row>
    <row r="689">
      <c r="M689" s="25"/>
    </row>
    <row r="690">
      <c r="M690" s="25"/>
    </row>
    <row r="691">
      <c r="M691" s="25"/>
    </row>
    <row r="692">
      <c r="M692" s="25"/>
    </row>
    <row r="693">
      <c r="M693" s="25"/>
    </row>
    <row r="694">
      <c r="M694" s="25"/>
    </row>
    <row r="695">
      <c r="M695" s="25"/>
    </row>
    <row r="696">
      <c r="M696" s="25"/>
    </row>
    <row r="697">
      <c r="M697" s="25"/>
    </row>
    <row r="698">
      <c r="M698" s="25"/>
    </row>
    <row r="699">
      <c r="M699" s="25"/>
    </row>
    <row r="700">
      <c r="M700" s="25"/>
    </row>
    <row r="701">
      <c r="M701" s="25"/>
    </row>
    <row r="702">
      <c r="M702" s="25"/>
    </row>
    <row r="703">
      <c r="M703" s="25"/>
    </row>
    <row r="704">
      <c r="M704" s="25"/>
    </row>
    <row r="705">
      <c r="M705" s="25"/>
    </row>
    <row r="706">
      <c r="M706" s="25"/>
    </row>
    <row r="707">
      <c r="M707" s="25"/>
    </row>
    <row r="708">
      <c r="M708" s="25"/>
    </row>
    <row r="709">
      <c r="M709" s="25"/>
    </row>
    <row r="710">
      <c r="M710" s="25"/>
    </row>
    <row r="711">
      <c r="M711" s="25"/>
    </row>
    <row r="712">
      <c r="M712" s="25"/>
    </row>
    <row r="713">
      <c r="M713" s="25"/>
    </row>
    <row r="714">
      <c r="M714" s="25"/>
    </row>
    <row r="715">
      <c r="M715" s="25"/>
    </row>
    <row r="716">
      <c r="M716" s="25"/>
    </row>
    <row r="717">
      <c r="M717" s="25"/>
    </row>
    <row r="718">
      <c r="M718" s="25"/>
    </row>
    <row r="719">
      <c r="M719" s="25"/>
    </row>
    <row r="720">
      <c r="M720" s="25"/>
    </row>
    <row r="721">
      <c r="M721" s="25"/>
    </row>
    <row r="722">
      <c r="M722" s="25"/>
    </row>
    <row r="723">
      <c r="M723" s="25"/>
    </row>
    <row r="724">
      <c r="M724" s="25"/>
    </row>
    <row r="725">
      <c r="M725" s="25"/>
    </row>
    <row r="726">
      <c r="M726" s="25"/>
    </row>
    <row r="727">
      <c r="M727" s="25"/>
    </row>
    <row r="728">
      <c r="M728" s="25"/>
    </row>
    <row r="729">
      <c r="M729" s="25"/>
    </row>
    <row r="730">
      <c r="M730" s="25"/>
    </row>
    <row r="731">
      <c r="M731" s="25"/>
    </row>
    <row r="732">
      <c r="M732" s="25"/>
    </row>
    <row r="733">
      <c r="M733" s="25"/>
    </row>
    <row r="734">
      <c r="M734" s="25"/>
    </row>
    <row r="735">
      <c r="M735" s="25"/>
    </row>
    <row r="736">
      <c r="M736" s="25"/>
    </row>
    <row r="737">
      <c r="M737" s="25"/>
    </row>
    <row r="738">
      <c r="M738" s="25"/>
    </row>
    <row r="739">
      <c r="M739" s="25"/>
    </row>
    <row r="740">
      <c r="M740" s="25"/>
    </row>
    <row r="741">
      <c r="M741" s="25"/>
    </row>
    <row r="742">
      <c r="M742" s="25"/>
    </row>
    <row r="743">
      <c r="M743" s="25"/>
    </row>
    <row r="744">
      <c r="M744" s="25"/>
    </row>
    <row r="745">
      <c r="M745" s="25"/>
    </row>
    <row r="746">
      <c r="M746" s="25"/>
    </row>
    <row r="747">
      <c r="M747" s="25"/>
    </row>
    <row r="748">
      <c r="M748" s="25"/>
    </row>
    <row r="749">
      <c r="M749" s="25"/>
    </row>
    <row r="750">
      <c r="M750" s="25"/>
    </row>
    <row r="751">
      <c r="M751" s="25"/>
    </row>
    <row r="752">
      <c r="M752" s="25"/>
    </row>
    <row r="753">
      <c r="M753" s="25"/>
    </row>
    <row r="754">
      <c r="M754" s="25"/>
    </row>
    <row r="755">
      <c r="M755" s="25"/>
    </row>
    <row r="756">
      <c r="M756" s="25"/>
    </row>
    <row r="757">
      <c r="M757" s="25"/>
    </row>
    <row r="758">
      <c r="M758" s="25"/>
    </row>
    <row r="759">
      <c r="M759" s="25"/>
    </row>
    <row r="760">
      <c r="M760" s="25"/>
    </row>
    <row r="761">
      <c r="M761" s="25"/>
    </row>
    <row r="762">
      <c r="M762" s="25"/>
    </row>
    <row r="763">
      <c r="M763" s="25"/>
    </row>
    <row r="764">
      <c r="M764" s="25"/>
    </row>
    <row r="765">
      <c r="M765" s="25"/>
    </row>
    <row r="766">
      <c r="M766" s="25"/>
    </row>
    <row r="767">
      <c r="M767" s="25"/>
    </row>
    <row r="768">
      <c r="M768" s="25"/>
    </row>
    <row r="769">
      <c r="M769" s="25"/>
    </row>
    <row r="770">
      <c r="M770" s="25"/>
    </row>
    <row r="771">
      <c r="M771" s="25"/>
    </row>
    <row r="772">
      <c r="M772" s="25"/>
    </row>
    <row r="773">
      <c r="M773" s="25"/>
    </row>
    <row r="774">
      <c r="M774" s="25"/>
    </row>
    <row r="775">
      <c r="M775" s="25"/>
    </row>
    <row r="776">
      <c r="M776" s="25"/>
    </row>
    <row r="777">
      <c r="M777" s="25"/>
    </row>
    <row r="778">
      <c r="M778" s="25"/>
    </row>
    <row r="779">
      <c r="M779" s="25"/>
    </row>
    <row r="780">
      <c r="M780" s="25"/>
    </row>
    <row r="781">
      <c r="M781" s="25"/>
    </row>
    <row r="782">
      <c r="M782" s="25"/>
    </row>
    <row r="783">
      <c r="M783" s="25"/>
    </row>
    <row r="784">
      <c r="M784" s="25"/>
    </row>
    <row r="785">
      <c r="M785" s="25"/>
    </row>
    <row r="786">
      <c r="M786" s="25"/>
    </row>
    <row r="787">
      <c r="M787" s="25"/>
    </row>
    <row r="788">
      <c r="M788" s="25"/>
    </row>
    <row r="789">
      <c r="M789" s="25"/>
    </row>
    <row r="790">
      <c r="M790" s="25"/>
    </row>
    <row r="791">
      <c r="M791" s="25"/>
    </row>
    <row r="792">
      <c r="M792" s="25"/>
    </row>
    <row r="793">
      <c r="M793" s="25"/>
    </row>
    <row r="794">
      <c r="M794" s="25"/>
    </row>
    <row r="795">
      <c r="M795" s="25"/>
    </row>
    <row r="796">
      <c r="M796" s="25"/>
    </row>
    <row r="797">
      <c r="M797" s="25"/>
    </row>
    <row r="798">
      <c r="M798" s="25"/>
    </row>
    <row r="799">
      <c r="M799" s="25"/>
    </row>
    <row r="800">
      <c r="M800" s="25"/>
    </row>
    <row r="801">
      <c r="M801" s="25"/>
    </row>
    <row r="802">
      <c r="M802" s="25"/>
    </row>
    <row r="803">
      <c r="M803" s="25"/>
    </row>
    <row r="804">
      <c r="M804" s="25"/>
    </row>
    <row r="805">
      <c r="M805" s="25"/>
    </row>
    <row r="806">
      <c r="M806" s="25"/>
    </row>
    <row r="807">
      <c r="M807" s="25"/>
    </row>
    <row r="808">
      <c r="M808" s="25"/>
    </row>
    <row r="809">
      <c r="M809" s="25"/>
    </row>
    <row r="810">
      <c r="M810" s="25"/>
    </row>
    <row r="811">
      <c r="M811" s="25"/>
    </row>
    <row r="812">
      <c r="M812" s="25"/>
    </row>
    <row r="813">
      <c r="M813" s="25"/>
    </row>
    <row r="814">
      <c r="M814" s="25"/>
    </row>
    <row r="815">
      <c r="M815" s="25"/>
    </row>
    <row r="816">
      <c r="M816" s="25"/>
    </row>
    <row r="817">
      <c r="M817" s="25"/>
    </row>
    <row r="818">
      <c r="M818" s="25"/>
    </row>
    <row r="819">
      <c r="M819" s="25"/>
    </row>
    <row r="820">
      <c r="M820" s="25"/>
    </row>
    <row r="821">
      <c r="M821" s="25"/>
    </row>
    <row r="822">
      <c r="M822" s="25"/>
    </row>
    <row r="823">
      <c r="M823" s="25"/>
    </row>
    <row r="824">
      <c r="M824" s="25"/>
    </row>
    <row r="825">
      <c r="M825" s="25"/>
    </row>
    <row r="826">
      <c r="M826" s="25"/>
    </row>
    <row r="827">
      <c r="M827" s="25"/>
    </row>
    <row r="828">
      <c r="M828" s="25"/>
    </row>
    <row r="829">
      <c r="M829" s="25"/>
    </row>
    <row r="830">
      <c r="M830" s="25"/>
    </row>
    <row r="831">
      <c r="M831" s="25"/>
    </row>
    <row r="832">
      <c r="M832" s="25"/>
    </row>
    <row r="833">
      <c r="M833" s="25"/>
    </row>
    <row r="834">
      <c r="M834" s="25"/>
    </row>
    <row r="835">
      <c r="M835" s="25"/>
    </row>
    <row r="836">
      <c r="M836" s="25"/>
    </row>
    <row r="837">
      <c r="M837" s="25"/>
    </row>
    <row r="838">
      <c r="M838" s="25"/>
    </row>
    <row r="839">
      <c r="M839" s="25"/>
    </row>
    <row r="840">
      <c r="M840" s="25"/>
    </row>
    <row r="841">
      <c r="M841" s="25"/>
    </row>
    <row r="842">
      <c r="M842" s="25"/>
    </row>
    <row r="843">
      <c r="M843" s="25"/>
    </row>
    <row r="844">
      <c r="M844" s="25"/>
    </row>
    <row r="845">
      <c r="M845" s="25"/>
    </row>
    <row r="846">
      <c r="M846" s="25"/>
    </row>
    <row r="847">
      <c r="M847" s="25"/>
    </row>
    <row r="848">
      <c r="M848" s="25"/>
    </row>
    <row r="849">
      <c r="M849" s="25"/>
    </row>
    <row r="850">
      <c r="M850" s="25"/>
    </row>
    <row r="851">
      <c r="M851" s="25"/>
    </row>
    <row r="852">
      <c r="M852" s="25"/>
    </row>
    <row r="853">
      <c r="M853" s="25"/>
    </row>
    <row r="854">
      <c r="M854" s="25"/>
    </row>
    <row r="855">
      <c r="M855" s="25"/>
    </row>
    <row r="856">
      <c r="M856" s="25"/>
    </row>
    <row r="857">
      <c r="M857" s="25"/>
    </row>
    <row r="858">
      <c r="M858" s="25"/>
    </row>
    <row r="859">
      <c r="M859" s="25"/>
    </row>
    <row r="860">
      <c r="M860" s="25"/>
    </row>
    <row r="861">
      <c r="M861" s="25"/>
    </row>
    <row r="862">
      <c r="M862" s="25"/>
    </row>
    <row r="863">
      <c r="M863" s="25"/>
    </row>
    <row r="864">
      <c r="M864" s="25"/>
    </row>
    <row r="865">
      <c r="M865" s="25"/>
    </row>
    <row r="866">
      <c r="M866" s="25"/>
    </row>
    <row r="867">
      <c r="M867" s="25"/>
    </row>
    <row r="868">
      <c r="M868" s="25"/>
    </row>
    <row r="869">
      <c r="M869" s="25"/>
    </row>
    <row r="870">
      <c r="M870" s="25"/>
    </row>
    <row r="871">
      <c r="M871" s="25"/>
    </row>
    <row r="872">
      <c r="M872" s="25"/>
    </row>
    <row r="873">
      <c r="M873" s="25"/>
    </row>
    <row r="874">
      <c r="M874" s="25"/>
    </row>
    <row r="875">
      <c r="M875" s="25"/>
    </row>
    <row r="876">
      <c r="M876" s="25"/>
    </row>
    <row r="877">
      <c r="M877" s="25"/>
    </row>
    <row r="878">
      <c r="M878" s="25"/>
    </row>
    <row r="879">
      <c r="M879" s="25"/>
    </row>
    <row r="880">
      <c r="M880" s="25"/>
    </row>
    <row r="881">
      <c r="M881" s="25"/>
    </row>
    <row r="882">
      <c r="M882" s="25"/>
    </row>
    <row r="883">
      <c r="M883" s="25"/>
    </row>
    <row r="884">
      <c r="M884" s="25"/>
    </row>
    <row r="885">
      <c r="M885" s="25"/>
    </row>
    <row r="886">
      <c r="M886" s="25"/>
    </row>
    <row r="887">
      <c r="M887" s="25"/>
    </row>
    <row r="888">
      <c r="M888" s="25"/>
    </row>
    <row r="889">
      <c r="M889" s="25"/>
    </row>
    <row r="890">
      <c r="M890" s="25"/>
    </row>
    <row r="891">
      <c r="M891" s="25"/>
    </row>
    <row r="892">
      <c r="M892" s="25"/>
    </row>
    <row r="893">
      <c r="M893" s="25"/>
    </row>
    <row r="894">
      <c r="M894" s="25"/>
    </row>
    <row r="895">
      <c r="M895" s="25"/>
    </row>
    <row r="896">
      <c r="M896" s="25"/>
    </row>
    <row r="897">
      <c r="M897" s="25"/>
    </row>
    <row r="898">
      <c r="M898" s="25"/>
    </row>
    <row r="899">
      <c r="M899" s="25"/>
    </row>
    <row r="900">
      <c r="M900" s="25"/>
    </row>
    <row r="901">
      <c r="M901" s="25"/>
    </row>
    <row r="902">
      <c r="M902" s="25"/>
    </row>
    <row r="903">
      <c r="M903" s="25"/>
    </row>
    <row r="904">
      <c r="M904" s="25"/>
    </row>
    <row r="905">
      <c r="M905" s="25"/>
    </row>
    <row r="906">
      <c r="M906" s="25"/>
    </row>
    <row r="907">
      <c r="M907" s="25"/>
    </row>
    <row r="908">
      <c r="M908" s="25"/>
    </row>
    <row r="909">
      <c r="M909" s="25"/>
    </row>
    <row r="910">
      <c r="M910" s="25"/>
    </row>
    <row r="911">
      <c r="M911" s="25"/>
    </row>
    <row r="912">
      <c r="M912" s="25"/>
    </row>
    <row r="913">
      <c r="M913" s="25"/>
    </row>
    <row r="914">
      <c r="M914" s="25"/>
    </row>
    <row r="915">
      <c r="M915" s="25"/>
    </row>
    <row r="916">
      <c r="M916" s="25"/>
    </row>
    <row r="917">
      <c r="M917" s="25"/>
    </row>
    <row r="918">
      <c r="M918" s="25"/>
    </row>
    <row r="919">
      <c r="M919" s="25"/>
    </row>
    <row r="920">
      <c r="M920" s="25"/>
    </row>
    <row r="921">
      <c r="M921" s="25"/>
    </row>
    <row r="922">
      <c r="M922" s="25"/>
    </row>
    <row r="923">
      <c r="M923" s="25"/>
    </row>
    <row r="924">
      <c r="M924" s="25"/>
    </row>
    <row r="925">
      <c r="M925" s="25"/>
    </row>
    <row r="926">
      <c r="M926" s="25"/>
    </row>
    <row r="927">
      <c r="M927" s="25"/>
    </row>
    <row r="928">
      <c r="M928" s="25"/>
    </row>
    <row r="929">
      <c r="M929" s="25"/>
    </row>
    <row r="930">
      <c r="M930" s="25"/>
    </row>
    <row r="931">
      <c r="M931" s="25"/>
    </row>
    <row r="932">
      <c r="M932" s="25"/>
    </row>
    <row r="933">
      <c r="M933" s="25"/>
    </row>
    <row r="934">
      <c r="M934" s="25"/>
    </row>
    <row r="935">
      <c r="M935" s="25"/>
    </row>
    <row r="936">
      <c r="M936" s="25"/>
    </row>
    <row r="937">
      <c r="M937" s="25"/>
    </row>
    <row r="938">
      <c r="M938" s="25"/>
    </row>
    <row r="939">
      <c r="M939" s="25"/>
    </row>
    <row r="940">
      <c r="M940" s="25"/>
    </row>
    <row r="941">
      <c r="M941" s="25"/>
    </row>
    <row r="942">
      <c r="M942" s="25"/>
    </row>
    <row r="943">
      <c r="M943" s="25"/>
    </row>
    <row r="944">
      <c r="M944" s="25"/>
    </row>
    <row r="945">
      <c r="M945" s="25"/>
    </row>
    <row r="946">
      <c r="M946" s="25"/>
    </row>
    <row r="947">
      <c r="M947" s="25"/>
    </row>
    <row r="948">
      <c r="M948" s="25"/>
    </row>
    <row r="949">
      <c r="M949" s="25"/>
    </row>
    <row r="950">
      <c r="M950" s="25"/>
    </row>
    <row r="951">
      <c r="M951" s="25"/>
    </row>
    <row r="952">
      <c r="M952" s="25"/>
    </row>
    <row r="953">
      <c r="M953" s="25"/>
    </row>
    <row r="954">
      <c r="M954" s="25"/>
    </row>
    <row r="955">
      <c r="M955" s="25"/>
    </row>
    <row r="956">
      <c r="M956" s="25"/>
    </row>
    <row r="957">
      <c r="M957" s="25"/>
    </row>
    <row r="958">
      <c r="M958" s="25"/>
    </row>
    <row r="959">
      <c r="M959" s="25"/>
    </row>
    <row r="960">
      <c r="M960" s="25"/>
    </row>
    <row r="961">
      <c r="M961" s="25"/>
    </row>
    <row r="962">
      <c r="M962" s="25"/>
    </row>
    <row r="963">
      <c r="M963" s="25"/>
    </row>
    <row r="964">
      <c r="M964" s="25"/>
    </row>
    <row r="965">
      <c r="M965" s="25"/>
    </row>
    <row r="966">
      <c r="M966" s="25"/>
    </row>
    <row r="967">
      <c r="M967" s="25"/>
    </row>
    <row r="968">
      <c r="M968" s="25"/>
    </row>
    <row r="969">
      <c r="M969" s="25"/>
    </row>
    <row r="970">
      <c r="M970" s="25"/>
    </row>
    <row r="971">
      <c r="M971" s="25"/>
    </row>
    <row r="972">
      <c r="M972" s="25"/>
    </row>
    <row r="973">
      <c r="M973" s="25"/>
    </row>
    <row r="974">
      <c r="M974" s="25"/>
    </row>
    <row r="975">
      <c r="M975" s="25"/>
    </row>
    <row r="976">
      <c r="M976" s="25"/>
    </row>
    <row r="977">
      <c r="M977" s="25"/>
    </row>
    <row r="978">
      <c r="M978" s="25"/>
    </row>
    <row r="979">
      <c r="M979" s="25"/>
    </row>
    <row r="980">
      <c r="M980" s="25"/>
    </row>
    <row r="981">
      <c r="M981" s="25"/>
    </row>
    <row r="982">
      <c r="M982" s="25"/>
    </row>
    <row r="983">
      <c r="M983" s="25"/>
    </row>
    <row r="984">
      <c r="M984" s="25"/>
    </row>
    <row r="985">
      <c r="M985" s="25"/>
    </row>
    <row r="986">
      <c r="M986" s="25"/>
    </row>
    <row r="987">
      <c r="M987" s="25"/>
    </row>
    <row r="988">
      <c r="M988" s="25"/>
    </row>
    <row r="989">
      <c r="M989" s="25"/>
    </row>
    <row r="990">
      <c r="M990" s="25"/>
    </row>
    <row r="991">
      <c r="M991" s="25"/>
    </row>
    <row r="992">
      <c r="M992" s="25"/>
    </row>
    <row r="993">
      <c r="M993" s="25"/>
    </row>
    <row r="994">
      <c r="M994" s="25"/>
    </row>
    <row r="995">
      <c r="M995" s="25"/>
    </row>
    <row r="996">
      <c r="M996" s="25"/>
    </row>
    <row r="997">
      <c r="M997" s="25"/>
    </row>
    <row r="998">
      <c r="M998" s="25"/>
    </row>
    <row r="999">
      <c r="M999" s="25"/>
    </row>
    <row r="1000">
      <c r="M1000" s="25"/>
    </row>
    <row r="1001">
      <c r="M1001" s="25"/>
    </row>
    <row r="1002">
      <c r="M1002" s="25"/>
    </row>
    <row r="1003">
      <c r="M1003" s="25"/>
    </row>
    <row r="1004">
      <c r="M1004" s="25"/>
    </row>
    <row r="1005">
      <c r="M1005" s="25"/>
    </row>
    <row r="1006">
      <c r="M1006" s="25"/>
    </row>
    <row r="1007">
      <c r="M1007" s="25"/>
    </row>
    <row r="1008">
      <c r="M1008" s="25"/>
    </row>
    <row r="1009">
      <c r="M1009" s="25"/>
    </row>
    <row r="1010">
      <c r="M1010" s="25"/>
    </row>
    <row r="1011">
      <c r="M1011" s="25"/>
    </row>
    <row r="1012">
      <c r="M1012" s="25"/>
    </row>
    <row r="1013">
      <c r="M1013" s="25"/>
    </row>
  </sheetData>
  <mergeCells count="1">
    <mergeCell ref="N15:O15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6.75"/>
    <col customWidth="1" min="4" max="4" width="4.88"/>
    <col customWidth="1" min="6" max="6" width="7.25"/>
    <col customWidth="1" min="9" max="9" width="4.75"/>
    <col customWidth="1" min="12" max="12" width="7.63"/>
    <col customWidth="1" min="13" max="13" width="4.5"/>
    <col customWidth="1" min="14" max="14" width="4.63"/>
    <col customWidth="1" min="15" max="15" width="3.75"/>
    <col customWidth="1" min="16" max="16" width="5.5"/>
    <col customWidth="1" min="17" max="18" width="4.13"/>
    <col customWidth="1" min="19" max="21" width="4.0"/>
    <col customWidth="1" min="22" max="22" width="4.63"/>
    <col customWidth="1" min="23" max="23" width="4.38"/>
    <col customWidth="1" min="24" max="26" width="3.88"/>
  </cols>
  <sheetData>
    <row r="2">
      <c r="B2">
        <f>1/500</f>
        <v>0.002</v>
      </c>
      <c r="C2" s="41"/>
    </row>
    <row r="4">
      <c r="C4" s="2" t="s">
        <v>111</v>
      </c>
    </row>
    <row r="5">
      <c r="C5" s="2" t="s">
        <v>113</v>
      </c>
    </row>
    <row r="8">
      <c r="A8" s="2" t="s">
        <v>117</v>
      </c>
      <c r="L8" s="2" t="s">
        <v>118</v>
      </c>
    </row>
    <row r="9">
      <c r="B9" s="2" t="s">
        <v>71</v>
      </c>
      <c r="C9" s="2" t="s">
        <v>120</v>
      </c>
      <c r="D9" s="49">
        <v>5.0</v>
      </c>
      <c r="E9" s="2" t="s">
        <v>121</v>
      </c>
      <c r="F9">
        <f>D9*10^12</f>
        <v>5000000000000</v>
      </c>
      <c r="H9" s="2" t="s">
        <v>129</v>
      </c>
      <c r="I9" s="2">
        <v>100.0</v>
      </c>
      <c r="J9" s="2" t="s">
        <v>132</v>
      </c>
      <c r="K9" s="51" t="s">
        <v>133</v>
      </c>
      <c r="M9" s="52" t="s">
        <v>95</v>
      </c>
      <c r="O9" s="52" t="s">
        <v>135</v>
      </c>
      <c r="Q9" s="52" t="s">
        <v>137</v>
      </c>
      <c r="S9" s="52" t="s">
        <v>96</v>
      </c>
      <c r="T9" s="52"/>
      <c r="U9" s="52" t="s">
        <v>135</v>
      </c>
      <c r="V9" s="54"/>
      <c r="W9" s="52" t="s">
        <v>72</v>
      </c>
      <c r="Y9" s="52" t="s">
        <v>96</v>
      </c>
      <c r="Z9" s="52"/>
    </row>
    <row r="10">
      <c r="B10" s="2" t="s">
        <v>142</v>
      </c>
      <c r="C10" s="2" t="s">
        <v>94</v>
      </c>
      <c r="D10" s="49">
        <v>400.0</v>
      </c>
      <c r="E10" s="2" t="s">
        <v>143</v>
      </c>
      <c r="F10">
        <f>D10*10^3</f>
        <v>400000</v>
      </c>
      <c r="I10" s="2">
        <f>I9/1000</f>
        <v>0.1</v>
      </c>
      <c r="J10" s="2" t="s">
        <v>146</v>
      </c>
      <c r="K10" s="55"/>
      <c r="M10" s="2">
        <v>10.0</v>
      </c>
      <c r="N10" s="2" t="s">
        <v>93</v>
      </c>
      <c r="O10" s="2">
        <v>10.0</v>
      </c>
      <c r="P10" s="2" t="s">
        <v>148</v>
      </c>
      <c r="Q10" s="2">
        <v>15.0</v>
      </c>
      <c r="R10" s="2" t="s">
        <v>150</v>
      </c>
      <c r="S10" s="2">
        <v>15.0</v>
      </c>
      <c r="T10" s="2" t="s">
        <v>150</v>
      </c>
      <c r="U10" s="2">
        <v>1.0</v>
      </c>
      <c r="V10" s="2" t="s">
        <v>87</v>
      </c>
      <c r="W10" s="2">
        <v>1.0</v>
      </c>
      <c r="X10" s="2" t="s">
        <v>153</v>
      </c>
      <c r="Y10" s="2">
        <v>2.0</v>
      </c>
      <c r="Z10" s="2"/>
      <c r="AA10" s="2" t="s">
        <v>90</v>
      </c>
    </row>
    <row r="11">
      <c r="B11" s="2" t="s">
        <v>154</v>
      </c>
      <c r="C11" s="2" t="s">
        <v>116</v>
      </c>
      <c r="D11" s="49">
        <v>0.99</v>
      </c>
      <c r="E11" s="2" t="s">
        <v>155</v>
      </c>
      <c r="I11" s="59">
        <f>D9*10</f>
        <v>50</v>
      </c>
      <c r="J11" s="2" t="s">
        <v>90</v>
      </c>
      <c r="K11" s="55"/>
      <c r="M11" s="2">
        <v>5.0</v>
      </c>
      <c r="N11" s="2" t="s">
        <v>93</v>
      </c>
      <c r="O11">
        <f t="shared" ref="O11:O13" si="1">$M11/$M$10*O$10</f>
        <v>5</v>
      </c>
      <c r="P11" s="2" t="s">
        <v>148</v>
      </c>
      <c r="Q11">
        <f t="shared" ref="Q11:Q13" si="2">$M11/$M$10*Q$10</f>
        <v>7.5</v>
      </c>
      <c r="R11" s="2" t="s">
        <v>150</v>
      </c>
      <c r="S11">
        <f t="shared" ref="S11:S13" si="3">$M11/$M$10*S$10</f>
        <v>7.5</v>
      </c>
      <c r="T11" s="2" t="s">
        <v>150</v>
      </c>
      <c r="U11">
        <f t="shared" ref="U11:U13" si="4">$M11/$M$10*U$10</f>
        <v>0.5</v>
      </c>
      <c r="W11">
        <f t="shared" ref="W11:W13" si="5">$M11/$M$10*W$10</f>
        <v>0.5</v>
      </c>
      <c r="Y11">
        <f t="shared" ref="Y11:Y13" si="6">$M11/$M$10*Y$10</f>
        <v>1</v>
      </c>
    </row>
    <row r="12">
      <c r="A12" s="2" t="s">
        <v>172</v>
      </c>
      <c r="B12" s="2" t="s">
        <v>95</v>
      </c>
      <c r="C12" s="2" t="s">
        <v>174</v>
      </c>
      <c r="D12" s="25">
        <f>2*F9*D11/F10*10^-6</f>
        <v>24.75</v>
      </c>
      <c r="E12" s="2" t="s">
        <v>181</v>
      </c>
      <c r="K12" s="55"/>
      <c r="M12" s="2">
        <v>2.0</v>
      </c>
      <c r="N12" s="2" t="s">
        <v>93</v>
      </c>
      <c r="O12">
        <f t="shared" si="1"/>
        <v>2</v>
      </c>
      <c r="P12" s="2" t="s">
        <v>148</v>
      </c>
      <c r="Q12">
        <f t="shared" si="2"/>
        <v>3</v>
      </c>
      <c r="R12" s="2" t="s">
        <v>150</v>
      </c>
      <c r="S12" s="25">
        <f t="shared" si="3"/>
        <v>3</v>
      </c>
      <c r="T12" s="2" t="s">
        <v>150</v>
      </c>
      <c r="U12">
        <f t="shared" si="4"/>
        <v>0.2</v>
      </c>
      <c r="W12">
        <f t="shared" si="5"/>
        <v>0.2</v>
      </c>
      <c r="Y12">
        <f t="shared" si="6"/>
        <v>0.4</v>
      </c>
    </row>
    <row r="13">
      <c r="B13" s="2" t="s">
        <v>188</v>
      </c>
      <c r="C13" s="2" t="s">
        <v>189</v>
      </c>
      <c r="D13" s="49">
        <v>500.0</v>
      </c>
      <c r="E13" s="2" t="s">
        <v>90</v>
      </c>
      <c r="H13" s="2" t="s">
        <v>192</v>
      </c>
      <c r="I13" s="49">
        <v>15.0</v>
      </c>
      <c r="J13" s="2" t="s">
        <v>90</v>
      </c>
      <c r="K13" s="55"/>
      <c r="M13" s="2">
        <v>1.0</v>
      </c>
      <c r="N13" s="2" t="s">
        <v>93</v>
      </c>
      <c r="O13">
        <f t="shared" si="1"/>
        <v>1</v>
      </c>
      <c r="P13" s="2" t="s">
        <v>148</v>
      </c>
      <c r="Q13">
        <f t="shared" si="2"/>
        <v>1.5</v>
      </c>
      <c r="R13" s="2" t="s">
        <v>150</v>
      </c>
      <c r="S13" s="74">
        <f t="shared" si="3"/>
        <v>1.5</v>
      </c>
      <c r="T13" s="2" t="s">
        <v>150</v>
      </c>
      <c r="U13">
        <f t="shared" si="4"/>
        <v>0.1</v>
      </c>
      <c r="W13">
        <f t="shared" si="5"/>
        <v>0.1</v>
      </c>
      <c r="Y13">
        <f t="shared" si="6"/>
        <v>0.2</v>
      </c>
    </row>
    <row r="14">
      <c r="B14" s="2" t="s">
        <v>198</v>
      </c>
      <c r="C14" s="2" t="s">
        <v>200</v>
      </c>
      <c r="D14" s="79">
        <f>F14/9.81</f>
        <v>5.04587156</v>
      </c>
      <c r="E14" s="2" t="s">
        <v>93</v>
      </c>
      <c r="F14" s="25">
        <f>D12*10^6/(D13*10^3)</f>
        <v>49.5</v>
      </c>
      <c r="G14" s="2" t="s">
        <v>211</v>
      </c>
      <c r="H14" s="2" t="s">
        <v>212</v>
      </c>
      <c r="I14" s="49">
        <v>10.0</v>
      </c>
      <c r="J14" s="2" t="s">
        <v>90</v>
      </c>
      <c r="K14" s="51" t="s">
        <v>213</v>
      </c>
    </row>
    <row r="15">
      <c r="F15">
        <f>5*550/D13*D9/4</f>
        <v>6.875</v>
      </c>
      <c r="I15" s="2">
        <v>20.0</v>
      </c>
      <c r="J15" s="2" t="s">
        <v>51</v>
      </c>
      <c r="K15" s="55"/>
    </row>
    <row r="16">
      <c r="A16" s="2" t="s">
        <v>223</v>
      </c>
      <c r="B16" s="2" t="s">
        <v>224</v>
      </c>
      <c r="C16" s="2" t="s">
        <v>189</v>
      </c>
      <c r="D16" s="25">
        <f>(D12*10^6)/(D10*10^3)</f>
        <v>61.875</v>
      </c>
      <c r="E16" s="2" t="s">
        <v>236</v>
      </c>
      <c r="I16" s="87">
        <f>(I14*10^3)*I15*10^-6</f>
        <v>0.2</v>
      </c>
      <c r="J16" s="2" t="s">
        <v>153</v>
      </c>
      <c r="K16" s="55"/>
    </row>
    <row r="17">
      <c r="B17" s="2" t="s">
        <v>240</v>
      </c>
      <c r="C17" s="2"/>
      <c r="D17" s="49">
        <v>35.0</v>
      </c>
      <c r="E17" s="2" t="s">
        <v>150</v>
      </c>
      <c r="K17" s="55"/>
    </row>
    <row r="18">
      <c r="B18" s="2" t="s">
        <v>244</v>
      </c>
      <c r="C18" s="2" t="s">
        <v>115</v>
      </c>
      <c r="D18" s="79">
        <f>D9*(1-D11)* (100-D17)/100 * 10^3</f>
        <v>32.5</v>
      </c>
      <c r="E18" s="2" t="s">
        <v>250</v>
      </c>
      <c r="F18" s="96">
        <f>D21/D9</f>
        <v>0.12375</v>
      </c>
      <c r="K18" s="55"/>
    </row>
    <row r="19">
      <c r="H19" s="2" t="s">
        <v>256</v>
      </c>
      <c r="I19" s="49">
        <v>1.0</v>
      </c>
      <c r="J19" s="2" t="s">
        <v>90</v>
      </c>
      <c r="K19" s="51" t="s">
        <v>257</v>
      </c>
    </row>
    <row r="20">
      <c r="B20" s="2" t="s">
        <v>259</v>
      </c>
      <c r="C20" s="2" t="s">
        <v>90</v>
      </c>
      <c r="D20" s="49">
        <v>10.0</v>
      </c>
      <c r="E20" s="2" t="s">
        <v>260</v>
      </c>
      <c r="F20" s="74">
        <f>F14*D20/1000</f>
        <v>0.495</v>
      </c>
      <c r="G20" s="2" t="s">
        <v>87</v>
      </c>
      <c r="I20" s="2">
        <v>200.0</v>
      </c>
      <c r="J20" s="2" t="s">
        <v>262</v>
      </c>
      <c r="K20" s="55"/>
      <c r="N20" s="25"/>
    </row>
    <row r="21">
      <c r="B21" s="2" t="s">
        <v>264</v>
      </c>
      <c r="C21" s="2" t="s">
        <v>189</v>
      </c>
      <c r="D21" s="74">
        <f>D16*D20*10^-3</f>
        <v>0.61875</v>
      </c>
      <c r="E21" s="2" t="s">
        <v>90</v>
      </c>
      <c r="F21" s="25">
        <f>D21/I13*100</f>
        <v>4.125</v>
      </c>
      <c r="G21" s="2" t="s">
        <v>273</v>
      </c>
      <c r="I21">
        <f>I19*I20</f>
        <v>200</v>
      </c>
      <c r="J21" s="2" t="s">
        <v>38</v>
      </c>
      <c r="K21" s="55"/>
    </row>
    <row r="22">
      <c r="B22" s="2" t="s">
        <v>277</v>
      </c>
      <c r="C22" s="2" t="s">
        <v>115</v>
      </c>
      <c r="D22" s="74">
        <f>D18*D20*10^-3</f>
        <v>0.325</v>
      </c>
      <c r="E22" s="2" t="s">
        <v>153</v>
      </c>
      <c r="F22" s="25">
        <f>D22/I16*100</f>
        <v>162.5</v>
      </c>
      <c r="G22" s="2" t="s">
        <v>283</v>
      </c>
      <c r="I22">
        <f t="shared" ref="I22:I23" si="7">I21*10^-3</f>
        <v>0.2</v>
      </c>
      <c r="J22" s="2" t="s">
        <v>86</v>
      </c>
      <c r="K22" s="55"/>
    </row>
    <row r="23">
      <c r="B23" s="2" t="s">
        <v>287</v>
      </c>
      <c r="C23" s="2" t="s">
        <v>288</v>
      </c>
      <c r="D23" s="74">
        <f>F14*10^-3*D20</f>
        <v>0.495</v>
      </c>
      <c r="E23" s="2" t="s">
        <v>87</v>
      </c>
      <c r="I23" s="74">
        <f t="shared" si="7"/>
        <v>0.0002</v>
      </c>
      <c r="J23" s="2" t="s">
        <v>121</v>
      </c>
      <c r="K23" s="55"/>
    </row>
    <row r="24">
      <c r="B24" s="2" t="s">
        <v>290</v>
      </c>
      <c r="C24" s="2" t="s">
        <v>291</v>
      </c>
      <c r="D24" s="25">
        <f>1/2 * F14* D20^2 * 10^-3</f>
        <v>2.475</v>
      </c>
      <c r="E24" s="2" t="s">
        <v>295</v>
      </c>
      <c r="K24" s="55"/>
    </row>
    <row r="25">
      <c r="I25">
        <f>I22*540</f>
        <v>108</v>
      </c>
      <c r="K25" s="55"/>
    </row>
    <row r="26">
      <c r="K26" s="55"/>
    </row>
    <row r="27">
      <c r="A27" s="105" t="s">
        <v>303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7"/>
      <c r="L27" s="106"/>
      <c r="M27" s="106"/>
      <c r="N27" s="106"/>
      <c r="O27" s="106"/>
    </row>
    <row r="28">
      <c r="B28" s="2" t="s">
        <v>71</v>
      </c>
      <c r="C28" s="2" t="s">
        <v>120</v>
      </c>
      <c r="D28" s="49">
        <v>5.0</v>
      </c>
      <c r="E28" s="2" t="s">
        <v>121</v>
      </c>
      <c r="F28">
        <f>D28*10^12</f>
        <v>5000000000000</v>
      </c>
      <c r="H28">
        <f>60*60*24</f>
        <v>86400</v>
      </c>
      <c r="J28">
        <f>D28/D32*30</f>
        <v>0.3</v>
      </c>
      <c r="K28" s="55"/>
      <c r="N28" s="74"/>
    </row>
    <row r="29">
      <c r="B29" s="2" t="s">
        <v>142</v>
      </c>
      <c r="C29" s="2" t="s">
        <v>94</v>
      </c>
      <c r="D29" s="49">
        <v>10000.0</v>
      </c>
      <c r="E29" s="2" t="s">
        <v>143</v>
      </c>
      <c r="F29">
        <f>D29*10^3</f>
        <v>10000000</v>
      </c>
      <c r="H29" s="2" t="s">
        <v>319</v>
      </c>
      <c r="I29" s="49">
        <v>25.0</v>
      </c>
      <c r="J29" s="2" t="s">
        <v>90</v>
      </c>
      <c r="K29" s="55"/>
      <c r="Q29" s="52" t="s">
        <v>321</v>
      </c>
      <c r="R29" s="52">
        <v>0.1</v>
      </c>
      <c r="S29" s="52">
        <v>1.0</v>
      </c>
      <c r="T29" s="52">
        <v>2.0</v>
      </c>
      <c r="U29" s="52">
        <v>3.0</v>
      </c>
      <c r="V29" s="52">
        <v>4.0</v>
      </c>
      <c r="W29" s="52">
        <v>5.0</v>
      </c>
      <c r="X29" s="52">
        <v>10.0</v>
      </c>
      <c r="Y29" s="52">
        <v>15.0</v>
      </c>
      <c r="Z29" s="52">
        <v>20.0</v>
      </c>
    </row>
    <row r="30">
      <c r="B30" s="2" t="s">
        <v>154</v>
      </c>
      <c r="C30" s="2" t="s">
        <v>116</v>
      </c>
      <c r="D30" s="49">
        <v>0.99</v>
      </c>
      <c r="E30" s="2" t="s">
        <v>155</v>
      </c>
      <c r="K30" s="55"/>
      <c r="L30" s="2" t="s">
        <v>324</v>
      </c>
      <c r="N30" s="49">
        <v>10.0</v>
      </c>
      <c r="O30" s="2" t="s">
        <v>326</v>
      </c>
      <c r="R30" s="74">
        <f t="shared" ref="R30:Z30" si="8">2* sqrt(R29*1.496*10^11 / ($F$33)) / 86400</f>
        <v>2.012099508</v>
      </c>
      <c r="S30" s="25">
        <f t="shared" si="8"/>
        <v>6.362817323</v>
      </c>
      <c r="T30" s="25">
        <f t="shared" si="8"/>
        <v>8.998382554</v>
      </c>
      <c r="U30" s="25">
        <f t="shared" si="8"/>
        <v>11.02072288</v>
      </c>
      <c r="V30" s="25">
        <f t="shared" si="8"/>
        <v>12.72563465</v>
      </c>
      <c r="W30" s="25">
        <f t="shared" si="8"/>
        <v>14.22769206</v>
      </c>
      <c r="X30" s="25">
        <f t="shared" si="8"/>
        <v>20.12099508</v>
      </c>
      <c r="Y30" s="25">
        <f t="shared" si="8"/>
        <v>24.64308553</v>
      </c>
      <c r="Z30" s="25">
        <f t="shared" si="8"/>
        <v>28.45538413</v>
      </c>
      <c r="AA30" s="2" t="s">
        <v>291</v>
      </c>
    </row>
    <row r="31">
      <c r="A31" s="2" t="s">
        <v>172</v>
      </c>
      <c r="B31" s="2" t="s">
        <v>95</v>
      </c>
      <c r="C31" s="2" t="s">
        <v>174</v>
      </c>
      <c r="D31" s="38">
        <f>2*F28*D30/F29*10^-6</f>
        <v>0.99</v>
      </c>
      <c r="E31" s="2" t="s">
        <v>181</v>
      </c>
      <c r="I31" s="49">
        <v>0.5</v>
      </c>
      <c r="J31" s="2" t="s">
        <v>93</v>
      </c>
      <c r="K31" s="55"/>
      <c r="L31" s="2" t="s">
        <v>288</v>
      </c>
      <c r="N31" s="25">
        <f>F34*N30</f>
        <v>1710.72</v>
      </c>
      <c r="O31" s="2" t="s">
        <v>87</v>
      </c>
      <c r="R31" s="25">
        <f t="shared" ref="R31:Z31" si="9">$G$35*R30</f>
        <v>17.21069435</v>
      </c>
      <c r="S31" s="25">
        <f t="shared" si="9"/>
        <v>54.42499426</v>
      </c>
      <c r="T31" s="25">
        <f t="shared" si="9"/>
        <v>76.96856501</v>
      </c>
      <c r="U31" s="25">
        <f t="shared" si="9"/>
        <v>94.26685526</v>
      </c>
      <c r="V31" s="25">
        <f t="shared" si="9"/>
        <v>108.8499885</v>
      </c>
      <c r="W31" s="25">
        <f t="shared" si="9"/>
        <v>121.6979868</v>
      </c>
      <c r="X31" s="25">
        <f t="shared" si="9"/>
        <v>172.1069435</v>
      </c>
      <c r="Y31" s="25">
        <f t="shared" si="9"/>
        <v>210.7870964</v>
      </c>
      <c r="Z31" s="25">
        <f t="shared" si="9"/>
        <v>243.3959737</v>
      </c>
      <c r="AA31" s="2" t="s">
        <v>345</v>
      </c>
    </row>
    <row r="32">
      <c r="B32" s="2" t="s">
        <v>188</v>
      </c>
      <c r="C32" s="2" t="s">
        <v>189</v>
      </c>
      <c r="D32" s="49">
        <v>500.0</v>
      </c>
      <c r="E32" s="2" t="s">
        <v>90</v>
      </c>
      <c r="I32">
        <f>I31*10</f>
        <v>5</v>
      </c>
      <c r="J32" s="2" t="s">
        <v>201</v>
      </c>
      <c r="K32" s="55"/>
      <c r="N32" s="38">
        <f>N31*3600*24/(150*10^6)</f>
        <v>0.98537472</v>
      </c>
      <c r="O32" s="2" t="s">
        <v>349</v>
      </c>
      <c r="Q32" s="52" t="s">
        <v>321</v>
      </c>
      <c r="R32" s="52">
        <v>0.1</v>
      </c>
      <c r="S32" s="52">
        <v>1.0</v>
      </c>
      <c r="T32" s="52">
        <v>2.0</v>
      </c>
      <c r="U32" s="52">
        <v>3.0</v>
      </c>
      <c r="V32" s="52">
        <v>4.0</v>
      </c>
      <c r="W32" s="52">
        <v>5.0</v>
      </c>
      <c r="X32" s="52">
        <v>10.0</v>
      </c>
      <c r="Y32" s="52">
        <v>15.0</v>
      </c>
      <c r="Z32" s="52">
        <v>20.0</v>
      </c>
    </row>
    <row r="33">
      <c r="B33" s="2" t="s">
        <v>198</v>
      </c>
      <c r="C33" s="2" t="s">
        <v>200</v>
      </c>
      <c r="D33" s="38">
        <f>F33/9.81</f>
        <v>0.2018348624</v>
      </c>
      <c r="E33" s="2" t="s">
        <v>93</v>
      </c>
      <c r="F33" s="38">
        <f>D31*10^6/(D32*10^3)</f>
        <v>1.98</v>
      </c>
      <c r="G33" s="2" t="s">
        <v>211</v>
      </c>
      <c r="I33" s="74">
        <f>I32*D32*10^-3</f>
        <v>2.5</v>
      </c>
      <c r="J33" s="2" t="s">
        <v>181</v>
      </c>
      <c r="K33" s="55"/>
      <c r="L33" s="2" t="s">
        <v>352</v>
      </c>
      <c r="N33" s="38">
        <f>1/2*N31*N30*3600*24/(150*10^6)</f>
        <v>4.9268736</v>
      </c>
      <c r="O33" s="2" t="s">
        <v>321</v>
      </c>
      <c r="R33" s="74">
        <f t="shared" ref="R33:Z33" si="10">(R29-$N$33*2)/$N$32 + $N$30 * 2</f>
        <v>10.10148424</v>
      </c>
      <c r="S33" s="25">
        <f t="shared" si="10"/>
        <v>11.01484235</v>
      </c>
      <c r="T33" s="25">
        <f t="shared" si="10"/>
        <v>12.02968471</v>
      </c>
      <c r="U33" s="25">
        <f t="shared" si="10"/>
        <v>13.04452706</v>
      </c>
      <c r="V33" s="25">
        <f t="shared" si="10"/>
        <v>14.05936941</v>
      </c>
      <c r="W33" s="25">
        <f t="shared" si="10"/>
        <v>15.07421177</v>
      </c>
      <c r="X33" s="25">
        <f t="shared" si="10"/>
        <v>20.14842354</v>
      </c>
      <c r="Y33" s="25">
        <f t="shared" si="10"/>
        <v>25.2226353</v>
      </c>
      <c r="Z33" s="25">
        <f t="shared" si="10"/>
        <v>30.29684707</v>
      </c>
      <c r="AA33" s="2" t="s">
        <v>291</v>
      </c>
    </row>
    <row r="34">
      <c r="F34" s="25">
        <f>F33*86400*10^-3</f>
        <v>171.072</v>
      </c>
      <c r="G34" s="2" t="s">
        <v>355</v>
      </c>
      <c r="I34" s="74">
        <f>I33*F29 / (2*D30*10^-6) * 10^-12</f>
        <v>12.62626263</v>
      </c>
      <c r="J34" s="2" t="s">
        <v>121</v>
      </c>
      <c r="K34" s="55"/>
      <c r="L34" s="2" t="s">
        <v>264</v>
      </c>
      <c r="N34" s="25">
        <f>G35*N30</f>
        <v>85.536</v>
      </c>
      <c r="O34" s="2" t="s">
        <v>150</v>
      </c>
      <c r="R34" s="25">
        <f t="shared" ref="R34:Z34" si="11">min($N$34*2,R31)</f>
        <v>17.21069435</v>
      </c>
      <c r="S34" s="25">
        <f t="shared" si="11"/>
        <v>54.42499426</v>
      </c>
      <c r="T34" s="25">
        <f t="shared" si="11"/>
        <v>76.96856501</v>
      </c>
      <c r="U34" s="25">
        <f t="shared" si="11"/>
        <v>94.26685526</v>
      </c>
      <c r="V34" s="25">
        <f t="shared" si="11"/>
        <v>108.8499885</v>
      </c>
      <c r="W34" s="25">
        <f t="shared" si="11"/>
        <v>121.6979868</v>
      </c>
      <c r="X34" s="25">
        <f t="shared" si="11"/>
        <v>171.072</v>
      </c>
      <c r="Y34" s="25">
        <f t="shared" si="11"/>
        <v>171.072</v>
      </c>
      <c r="Z34" s="25">
        <f t="shared" si="11"/>
        <v>171.072</v>
      </c>
      <c r="AA34" s="2" t="s">
        <v>345</v>
      </c>
    </row>
    <row r="35">
      <c r="A35" s="2" t="s">
        <v>223</v>
      </c>
      <c r="B35" s="2" t="s">
        <v>224</v>
      </c>
      <c r="C35" s="2" t="s">
        <v>189</v>
      </c>
      <c r="D35" s="96">
        <f>(D31*10^6)/(D29*10^3)</f>
        <v>0.099</v>
      </c>
      <c r="E35" s="2" t="s">
        <v>236</v>
      </c>
      <c r="G35" s="38">
        <f>D35*86400*10^-3</f>
        <v>8.5536</v>
      </c>
      <c r="H35" s="2" t="s">
        <v>364</v>
      </c>
      <c r="K35" s="55"/>
    </row>
    <row r="36">
      <c r="B36" s="2" t="s">
        <v>240</v>
      </c>
      <c r="C36" s="2"/>
      <c r="D36" s="49">
        <v>35.0</v>
      </c>
      <c r="E36" s="2" t="s">
        <v>150</v>
      </c>
      <c r="F36" s="25"/>
      <c r="G36" s="2"/>
      <c r="K36" s="55"/>
    </row>
    <row r="37">
      <c r="B37" s="2" t="s">
        <v>244</v>
      </c>
      <c r="C37" s="2" t="s">
        <v>115</v>
      </c>
      <c r="D37" s="25">
        <f>D28*(1-D30)* (100-D36)/100 * 10^3</f>
        <v>32.5</v>
      </c>
      <c r="E37" s="2" t="s">
        <v>250</v>
      </c>
      <c r="F37" s="25">
        <f>D37*10^3</f>
        <v>32500</v>
      </c>
      <c r="G37" s="2" t="s">
        <v>86</v>
      </c>
      <c r="K37" s="55"/>
    </row>
    <row r="38">
      <c r="K38" s="55"/>
      <c r="L38" s="2" t="s">
        <v>365</v>
      </c>
      <c r="N38" s="2">
        <v>1.5</v>
      </c>
    </row>
    <row r="39">
      <c r="B39" s="2" t="s">
        <v>259</v>
      </c>
      <c r="C39" s="2" t="s">
        <v>90</v>
      </c>
      <c r="D39" s="49">
        <v>0.1</v>
      </c>
      <c r="E39" s="2" t="s">
        <v>260</v>
      </c>
      <c r="G39">
        <f>G35/D28</f>
        <v>1.71072</v>
      </c>
      <c r="K39" s="55"/>
      <c r="L39" s="2" t="s">
        <v>366</v>
      </c>
      <c r="N39" s="25">
        <f>D29*ln(N38)</f>
        <v>4054.651081</v>
      </c>
      <c r="O39" s="2" t="s">
        <v>87</v>
      </c>
    </row>
    <row r="40">
      <c r="B40" s="2" t="s">
        <v>264</v>
      </c>
      <c r="C40" s="2" t="s">
        <v>189</v>
      </c>
      <c r="D40" s="38">
        <f>D35*D39*10^-3</f>
        <v>0.0000099</v>
      </c>
      <c r="E40" s="2" t="s">
        <v>90</v>
      </c>
      <c r="I40" s="25">
        <f>I29/G35</f>
        <v>2.922745978</v>
      </c>
      <c r="J40" s="2" t="s">
        <v>326</v>
      </c>
      <c r="K40" s="55"/>
      <c r="N40" s="74">
        <f>N39*3600*24/(150*10^6)</f>
        <v>2.335479023</v>
      </c>
      <c r="O40" s="2" t="s">
        <v>349</v>
      </c>
    </row>
    <row r="41">
      <c r="B41" s="2" t="s">
        <v>277</v>
      </c>
      <c r="C41" s="2" t="s">
        <v>115</v>
      </c>
      <c r="D41" s="74">
        <f>D37*D39-I23*D39</f>
        <v>3.24998</v>
      </c>
      <c r="E41" s="2" t="s">
        <v>153</v>
      </c>
      <c r="K41" s="55"/>
    </row>
    <row r="42">
      <c r="B42" s="2" t="s">
        <v>287</v>
      </c>
      <c r="C42" s="2" t="s">
        <v>288</v>
      </c>
      <c r="D42" s="74">
        <f>F33*10^-3*D39</f>
        <v>0.000198</v>
      </c>
      <c r="E42" s="2" t="s">
        <v>87</v>
      </c>
      <c r="G42" s="74">
        <f>D42*24/D43</f>
        <v>0.001052757248</v>
      </c>
      <c r="H42" s="2" t="s">
        <v>355</v>
      </c>
      <c r="K42" s="55"/>
    </row>
    <row r="43">
      <c r="B43" s="2" t="s">
        <v>371</v>
      </c>
      <c r="C43" s="2" t="s">
        <v>372</v>
      </c>
      <c r="D43" s="74">
        <f>D41/$I$23/60/60</f>
        <v>4.513861111</v>
      </c>
      <c r="E43" s="2" t="s">
        <v>115</v>
      </c>
      <c r="K43" s="55"/>
    </row>
    <row r="44">
      <c r="K44" s="55"/>
    </row>
    <row r="45">
      <c r="K45" s="55"/>
    </row>
    <row r="46">
      <c r="A46" s="105" t="s">
        <v>374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7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</row>
    <row r="47">
      <c r="B47" s="2" t="s">
        <v>71</v>
      </c>
      <c r="C47" s="2" t="s">
        <v>120</v>
      </c>
      <c r="D47" s="49">
        <v>5.0</v>
      </c>
      <c r="E47" s="2" t="s">
        <v>121</v>
      </c>
      <c r="F47">
        <f>D47*10^12</f>
        <v>5000000000000</v>
      </c>
      <c r="K47" s="55"/>
    </row>
    <row r="48">
      <c r="B48" s="2" t="s">
        <v>142</v>
      </c>
      <c r="C48" s="2" t="s">
        <v>94</v>
      </c>
      <c r="D48" s="49">
        <v>50000.0</v>
      </c>
      <c r="E48" s="2" t="s">
        <v>143</v>
      </c>
      <c r="F48">
        <f>D48*10^3</f>
        <v>50000000</v>
      </c>
      <c r="K48" s="55"/>
    </row>
    <row r="49">
      <c r="B49" s="2" t="s">
        <v>154</v>
      </c>
      <c r="C49" s="2" t="s">
        <v>116</v>
      </c>
      <c r="D49" s="49">
        <v>0.99</v>
      </c>
      <c r="E49" s="2" t="s">
        <v>155</v>
      </c>
      <c r="K49" s="55"/>
      <c r="L49" s="2" t="s">
        <v>324</v>
      </c>
      <c r="N49" s="49">
        <v>300.0</v>
      </c>
      <c r="O49" s="2" t="s">
        <v>326</v>
      </c>
      <c r="R49">
        <f>N49/360</f>
        <v>0.8333333333</v>
      </c>
    </row>
    <row r="50">
      <c r="A50" s="2" t="s">
        <v>172</v>
      </c>
      <c r="B50" s="2" t="s">
        <v>95</v>
      </c>
      <c r="C50" s="2" t="s">
        <v>174</v>
      </c>
      <c r="D50" s="38">
        <f>2*F47*D49/F48*10^-6</f>
        <v>0.198</v>
      </c>
      <c r="E50" s="2" t="s">
        <v>181</v>
      </c>
      <c r="K50" s="55"/>
      <c r="L50" s="2" t="s">
        <v>288</v>
      </c>
      <c r="N50" s="25">
        <f>F52*N49</f>
        <v>118.8</v>
      </c>
      <c r="O50" s="2" t="s">
        <v>87</v>
      </c>
    </row>
    <row r="51">
      <c r="B51" s="2" t="s">
        <v>188</v>
      </c>
      <c r="C51" s="2" t="s">
        <v>189</v>
      </c>
      <c r="D51" s="49">
        <v>500.0</v>
      </c>
      <c r="E51" s="2" t="s">
        <v>90</v>
      </c>
      <c r="K51" s="55"/>
      <c r="N51" s="38">
        <f>N50*3600*24/(150*10^6)</f>
        <v>0.0684288</v>
      </c>
      <c r="O51" s="2" t="s">
        <v>349</v>
      </c>
    </row>
    <row r="52">
      <c r="B52" s="2" t="s">
        <v>198</v>
      </c>
      <c r="C52" s="2" t="s">
        <v>200</v>
      </c>
      <c r="D52" s="96">
        <f>F52/9.81</f>
        <v>0.04036697248</v>
      </c>
      <c r="E52" s="2" t="s">
        <v>93</v>
      </c>
      <c r="F52" s="96">
        <f>D50*10^6/(D51*10^3)</f>
        <v>0.396</v>
      </c>
      <c r="G52" s="2" t="s">
        <v>211</v>
      </c>
      <c r="K52" s="55"/>
      <c r="L52" s="2" t="s">
        <v>352</v>
      </c>
      <c r="N52" s="38">
        <f>1/2*N50*N49*3600*24/(150*10^6)</f>
        <v>10.26432</v>
      </c>
      <c r="O52" s="2" t="s">
        <v>321</v>
      </c>
    </row>
    <row r="53">
      <c r="K53" s="55"/>
      <c r="L53" s="2" t="s">
        <v>264</v>
      </c>
      <c r="N53" s="25">
        <f>G54*N49</f>
        <v>102.6432</v>
      </c>
      <c r="O53" s="2" t="s">
        <v>150</v>
      </c>
    </row>
    <row r="54">
      <c r="A54" s="2" t="s">
        <v>223</v>
      </c>
      <c r="B54" s="2" t="s">
        <v>224</v>
      </c>
      <c r="C54" s="2" t="s">
        <v>189</v>
      </c>
      <c r="D54" s="38">
        <f>(D50*10^6)/(D48*10^3)</f>
        <v>0.00396</v>
      </c>
      <c r="E54" s="2" t="s">
        <v>236</v>
      </c>
      <c r="G54" s="38">
        <f>D54*86400*10^-3</f>
        <v>0.342144</v>
      </c>
      <c r="H54" s="2" t="s">
        <v>364</v>
      </c>
      <c r="K54" s="55"/>
    </row>
    <row r="55">
      <c r="B55" s="2" t="s">
        <v>240</v>
      </c>
      <c r="C55" s="2"/>
      <c r="D55" s="49">
        <v>35.0</v>
      </c>
      <c r="E55" s="2" t="s">
        <v>150</v>
      </c>
      <c r="K55" s="55"/>
    </row>
    <row r="56">
      <c r="B56" s="2" t="s">
        <v>244</v>
      </c>
      <c r="C56" s="2" t="s">
        <v>115</v>
      </c>
      <c r="D56" s="25">
        <f>D47*(1-D49)* (100-D55)/100 * 10^3</f>
        <v>32.5</v>
      </c>
      <c r="E56" s="2" t="s">
        <v>250</v>
      </c>
      <c r="K56" s="55"/>
    </row>
    <row r="57">
      <c r="B57" s="2"/>
      <c r="C57" s="2"/>
      <c r="D57" s="2"/>
      <c r="E57" s="2"/>
      <c r="K57" s="55"/>
      <c r="L57" s="2"/>
      <c r="N57" s="2"/>
    </row>
    <row r="58">
      <c r="B58" s="2" t="s">
        <v>259</v>
      </c>
      <c r="C58" s="2" t="s">
        <v>90</v>
      </c>
      <c r="D58" s="49">
        <v>1000.0</v>
      </c>
      <c r="E58" s="2" t="s">
        <v>260</v>
      </c>
      <c r="K58" s="55"/>
      <c r="L58" s="2" t="s">
        <v>365</v>
      </c>
      <c r="N58" s="2">
        <v>3.0</v>
      </c>
    </row>
    <row r="59">
      <c r="B59" s="2" t="s">
        <v>264</v>
      </c>
      <c r="C59" s="2" t="s">
        <v>189</v>
      </c>
      <c r="D59" s="38">
        <f>D54*D58*10^-3</f>
        <v>0.00396</v>
      </c>
      <c r="E59" s="2" t="s">
        <v>90</v>
      </c>
      <c r="K59" s="55"/>
      <c r="L59" s="2" t="s">
        <v>366</v>
      </c>
      <c r="N59" s="25">
        <f>D48*ln(N58)</f>
        <v>54930.61443</v>
      </c>
      <c r="O59" s="2" t="s">
        <v>87</v>
      </c>
    </row>
    <row r="60">
      <c r="B60" s="2" t="s">
        <v>277</v>
      </c>
      <c r="C60" s="2" t="s">
        <v>115</v>
      </c>
      <c r="D60" s="25">
        <f>D55*D58-I43*D58</f>
        <v>35000</v>
      </c>
      <c r="E60" s="2" t="s">
        <v>153</v>
      </c>
      <c r="K60" s="55"/>
      <c r="N60" s="74">
        <f>N59*3600*24/(150*10^6)</f>
        <v>31.64003391</v>
      </c>
      <c r="O60" s="2" t="s">
        <v>349</v>
      </c>
    </row>
    <row r="61">
      <c r="B61" s="2" t="s">
        <v>287</v>
      </c>
      <c r="C61" s="2" t="s">
        <v>288</v>
      </c>
      <c r="D61" s="74">
        <f>F52*10^-3*D58</f>
        <v>0.396</v>
      </c>
      <c r="E61" s="2" t="s">
        <v>87</v>
      </c>
      <c r="F61">
        <f>D61*3600*24/(150*10^6)</f>
        <v>0.000228096</v>
      </c>
      <c r="G61" s="2" t="s">
        <v>349</v>
      </c>
      <c r="H61">
        <f>D61/300000</f>
        <v>0.00000132</v>
      </c>
      <c r="I61" s="2" t="s">
        <v>375</v>
      </c>
      <c r="K61" s="55"/>
      <c r="N61" s="96">
        <f>N59/300000</f>
        <v>0.1831020481</v>
      </c>
      <c r="O61" s="2" t="s">
        <v>375</v>
      </c>
    </row>
    <row r="62">
      <c r="B62" s="2" t="s">
        <v>371</v>
      </c>
      <c r="C62" s="2" t="s">
        <v>372</v>
      </c>
      <c r="D62" s="25">
        <f>D60/$I$23/60/60</f>
        <v>48611.11111</v>
      </c>
      <c r="E62" s="2" t="s">
        <v>115</v>
      </c>
      <c r="K62" s="55"/>
    </row>
    <row r="63">
      <c r="K63" s="55"/>
    </row>
    <row r="64">
      <c r="A64" s="2" t="s">
        <v>376</v>
      </c>
      <c r="B64" s="2" t="s">
        <v>377</v>
      </c>
      <c r="C64" s="2" t="s">
        <v>378</v>
      </c>
      <c r="D64">
        <f>D47*D58</f>
        <v>5000</v>
      </c>
      <c r="E64" s="2" t="s">
        <v>153</v>
      </c>
      <c r="F64">
        <f>1.8*10^2</f>
        <v>180</v>
      </c>
      <c r="G64" s="2" t="s">
        <v>379</v>
      </c>
      <c r="K64" s="55"/>
    </row>
    <row r="65">
      <c r="B65" s="2" t="s">
        <v>380</v>
      </c>
      <c r="C65" s="2" t="s">
        <v>189</v>
      </c>
      <c r="D65">
        <f>D64/F64</f>
        <v>27.77777778</v>
      </c>
      <c r="E65" s="2" t="s">
        <v>93</v>
      </c>
      <c r="K65" s="55"/>
    </row>
    <row r="66">
      <c r="K66" s="55"/>
    </row>
    <row r="67">
      <c r="K67" s="55"/>
    </row>
    <row r="68">
      <c r="K68" s="55"/>
    </row>
    <row r="69">
      <c r="K69" s="55"/>
    </row>
    <row r="70">
      <c r="K70" s="55"/>
    </row>
    <row r="71">
      <c r="K71" s="55"/>
    </row>
    <row r="72">
      <c r="K72" s="55"/>
    </row>
    <row r="73">
      <c r="K73" s="55"/>
    </row>
    <row r="74">
      <c r="K74" s="55"/>
    </row>
    <row r="75">
      <c r="K75" s="55"/>
    </row>
    <row r="76">
      <c r="K76" s="55"/>
    </row>
    <row r="77">
      <c r="K77" s="55"/>
    </row>
    <row r="78">
      <c r="K78" s="55"/>
    </row>
    <row r="79">
      <c r="K79" s="55"/>
    </row>
    <row r="80">
      <c r="K80" s="55"/>
    </row>
    <row r="81">
      <c r="K81" s="55"/>
    </row>
    <row r="82">
      <c r="K82" s="55"/>
    </row>
    <row r="83">
      <c r="K83" s="55"/>
    </row>
    <row r="84">
      <c r="K84" s="55"/>
    </row>
    <row r="85">
      <c r="K85" s="55"/>
    </row>
    <row r="86">
      <c r="K86" s="55"/>
    </row>
    <row r="87">
      <c r="K87" s="55"/>
    </row>
    <row r="88">
      <c r="K88" s="55"/>
    </row>
    <row r="89">
      <c r="K89" s="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0"/>
    <col customWidth="1" min="3" max="3" width="5.5"/>
    <col customWidth="1" min="5" max="5" width="6.25"/>
    <col customWidth="1" min="6" max="6" width="4.0"/>
    <col customWidth="1" min="7" max="7" width="9.63"/>
    <col customWidth="1" min="8" max="8" width="5.38"/>
    <col customWidth="1" min="14" max="14" width="5.25"/>
    <col customWidth="1" min="15" max="15" width="6.63"/>
    <col customWidth="1" min="16" max="16" width="5.63"/>
    <col customWidth="1" min="17" max="17" width="5.5"/>
    <col customWidth="1" min="19" max="19" width="5.38"/>
    <col customWidth="1" min="20" max="20" width="8.63"/>
    <col customWidth="1" min="21" max="21" width="4.38"/>
    <col customWidth="1" min="22" max="22" width="5.0"/>
    <col customWidth="1" min="23" max="23" width="6.5"/>
  </cols>
  <sheetData>
    <row r="2">
      <c r="M2" s="2" t="s">
        <v>381</v>
      </c>
      <c r="N2" s="49">
        <v>100.0</v>
      </c>
      <c r="O2" s="2" t="s">
        <v>36</v>
      </c>
      <c r="S2" s="2" t="s">
        <v>382</v>
      </c>
      <c r="U2" s="2" t="s">
        <v>200</v>
      </c>
      <c r="V2" s="2"/>
      <c r="W2" s="2" t="s">
        <v>383</v>
      </c>
    </row>
    <row r="3">
      <c r="C3" s="2" t="s">
        <v>384</v>
      </c>
      <c r="L3" s="2">
        <v>5.0</v>
      </c>
      <c r="M3" s="2" t="s">
        <v>385</v>
      </c>
      <c r="N3" s="49">
        <v>50.0</v>
      </c>
      <c r="O3" s="2" t="s">
        <v>150</v>
      </c>
      <c r="Q3">
        <f t="shared" ref="Q3:Q7" si="1">N3/100*$C$18</f>
        <v>50</v>
      </c>
      <c r="R3" s="2" t="s">
        <v>36</v>
      </c>
      <c r="S3">
        <f>Q3*0.02</f>
        <v>1</v>
      </c>
      <c r="T3" s="2" t="s">
        <v>38</v>
      </c>
      <c r="U3">
        <f>$C$38/3*Q3/Q9 /10</f>
        <v>50</v>
      </c>
      <c r="V3" s="2" t="s">
        <v>93</v>
      </c>
      <c r="W3">
        <f>Q3*4-Q9</f>
        <v>100</v>
      </c>
      <c r="X3" s="2" t="s">
        <v>36</v>
      </c>
    </row>
    <row r="4">
      <c r="L4" s="2">
        <v>4.0</v>
      </c>
      <c r="M4" s="2" t="s">
        <v>387</v>
      </c>
      <c r="N4" s="49">
        <v>10.0</v>
      </c>
      <c r="O4" s="2" t="s">
        <v>150</v>
      </c>
      <c r="Q4">
        <f t="shared" si="1"/>
        <v>10</v>
      </c>
      <c r="R4" s="2" t="s">
        <v>36</v>
      </c>
      <c r="S4" s="25">
        <f>Q4/50</f>
        <v>0.2</v>
      </c>
      <c r="T4" s="2" t="s">
        <v>38</v>
      </c>
    </row>
    <row r="5">
      <c r="A5" s="2"/>
      <c r="B5" s="2" t="s">
        <v>388</v>
      </c>
      <c r="C5" s="2">
        <v>0.5</v>
      </c>
      <c r="D5" s="2" t="s">
        <v>390</v>
      </c>
      <c r="G5" s="2" t="s">
        <v>391</v>
      </c>
      <c r="H5" s="2">
        <f>C5*C12*C8</f>
        <v>20</v>
      </c>
      <c r="I5" s="2" t="s">
        <v>65</v>
      </c>
      <c r="J5" s="2" t="s">
        <v>393</v>
      </c>
      <c r="M5" s="2" t="s">
        <v>394</v>
      </c>
      <c r="N5" s="2">
        <v>15.0</v>
      </c>
      <c r="O5" s="2" t="s">
        <v>150</v>
      </c>
      <c r="Q5">
        <f t="shared" si="1"/>
        <v>15</v>
      </c>
      <c r="R5" s="2" t="s">
        <v>36</v>
      </c>
    </row>
    <row r="6">
      <c r="A6" s="2"/>
      <c r="B6" s="2" t="s">
        <v>397</v>
      </c>
      <c r="C6" s="2">
        <v>1.0</v>
      </c>
      <c r="D6" s="2" t="s">
        <v>390</v>
      </c>
      <c r="G6" s="2" t="s">
        <v>391</v>
      </c>
      <c r="H6" s="2">
        <f>C6*C12*C8</f>
        <v>40</v>
      </c>
      <c r="I6" s="2" t="s">
        <v>65</v>
      </c>
      <c r="M6" s="2" t="s">
        <v>402</v>
      </c>
      <c r="N6" s="2">
        <v>15.0</v>
      </c>
      <c r="O6" s="2" t="s">
        <v>150</v>
      </c>
      <c r="Q6">
        <f t="shared" si="1"/>
        <v>15</v>
      </c>
      <c r="R6" s="2" t="s">
        <v>36</v>
      </c>
    </row>
    <row r="7">
      <c r="G7" s="2" t="s">
        <v>403</v>
      </c>
      <c r="H7">
        <f>0.002*C12*1000</f>
        <v>4</v>
      </c>
      <c r="I7" s="2" t="s">
        <v>36</v>
      </c>
      <c r="J7" s="2" t="s">
        <v>408</v>
      </c>
      <c r="M7" s="2" t="s">
        <v>6</v>
      </c>
      <c r="N7" s="49">
        <v>10.0</v>
      </c>
      <c r="O7" s="2" t="s">
        <v>150</v>
      </c>
      <c r="Q7">
        <f t="shared" si="1"/>
        <v>10</v>
      </c>
      <c r="R7" s="2" t="s">
        <v>36</v>
      </c>
      <c r="S7" s="67">
        <f>0.25*Q7</f>
        <v>2.5</v>
      </c>
      <c r="T7" s="2" t="s">
        <v>43</v>
      </c>
    </row>
    <row r="8">
      <c r="B8" s="2" t="s">
        <v>411</v>
      </c>
      <c r="C8" s="2">
        <v>20.0</v>
      </c>
      <c r="D8" s="2" t="s">
        <v>412</v>
      </c>
      <c r="G8" s="2" t="s">
        <v>413</v>
      </c>
      <c r="H8">
        <f>C12*4</f>
        <v>8</v>
      </c>
      <c r="I8" s="2" t="s">
        <v>36</v>
      </c>
    </row>
    <row r="9">
      <c r="M9" s="2" t="s">
        <v>414</v>
      </c>
      <c r="Q9">
        <f>sum(Q3:Q7)</f>
        <v>100</v>
      </c>
      <c r="R9" s="2" t="s">
        <v>36</v>
      </c>
    </row>
    <row r="11">
      <c r="J11" s="2">
        <v>100.0</v>
      </c>
      <c r="K11" s="2" t="s">
        <v>125</v>
      </c>
      <c r="M11" s="2" t="s">
        <v>381</v>
      </c>
      <c r="N11" s="49">
        <v>200.0</v>
      </c>
      <c r="O11" s="2" t="s">
        <v>36</v>
      </c>
      <c r="S11" s="2" t="s">
        <v>382</v>
      </c>
      <c r="U11" s="2" t="s">
        <v>200</v>
      </c>
      <c r="V11" s="2"/>
      <c r="W11" s="2" t="s">
        <v>417</v>
      </c>
    </row>
    <row r="12">
      <c r="B12" s="2" t="s">
        <v>418</v>
      </c>
      <c r="C12" s="49">
        <v>2.0</v>
      </c>
      <c r="H12">
        <f>C13+C14+C15+C16</f>
        <v>25</v>
      </c>
      <c r="I12" s="2" t="s">
        <v>36</v>
      </c>
      <c r="J12">
        <f>100*60/1000</f>
        <v>6</v>
      </c>
      <c r="K12" s="2" t="s">
        <v>424</v>
      </c>
      <c r="L12" s="2">
        <v>6.0</v>
      </c>
      <c r="M12" s="2" t="s">
        <v>385</v>
      </c>
      <c r="N12" s="49">
        <v>50.0</v>
      </c>
      <c r="O12" s="2" t="s">
        <v>150</v>
      </c>
      <c r="Q12">
        <f t="shared" ref="Q12:Q15" si="2">N12/100*$N$11</f>
        <v>100</v>
      </c>
      <c r="R12" s="2" t="s">
        <v>36</v>
      </c>
      <c r="S12" s="25">
        <f>Q12*0.02</f>
        <v>2</v>
      </c>
      <c r="T12" s="2" t="s">
        <v>38</v>
      </c>
      <c r="U12">
        <f>$C$38/3*Q12/Q19 /10</f>
        <v>50</v>
      </c>
      <c r="V12" s="2" t="s">
        <v>93</v>
      </c>
      <c r="W12">
        <f>Q12*4-Q19</f>
        <v>200</v>
      </c>
      <c r="X12" s="2" t="s">
        <v>36</v>
      </c>
    </row>
    <row r="13">
      <c r="B13" s="2" t="s">
        <v>430</v>
      </c>
      <c r="C13">
        <f>C12/2</f>
        <v>1</v>
      </c>
      <c r="D13" s="2" t="s">
        <v>36</v>
      </c>
      <c r="F13" s="2" t="s">
        <v>382</v>
      </c>
      <c r="J13">
        <f>J12*60/1000</f>
        <v>0.36</v>
      </c>
      <c r="K13" s="2" t="s">
        <v>432</v>
      </c>
      <c r="L13" s="2">
        <v>4.0</v>
      </c>
      <c r="M13" s="2" t="s">
        <v>387</v>
      </c>
      <c r="N13" s="49">
        <v>10.0</v>
      </c>
      <c r="O13" s="2" t="s">
        <v>150</v>
      </c>
      <c r="Q13">
        <f t="shared" si="2"/>
        <v>20</v>
      </c>
      <c r="R13" s="2" t="s">
        <v>36</v>
      </c>
      <c r="S13" s="25">
        <f>Q13/50</f>
        <v>0.4</v>
      </c>
      <c r="T13" s="2" t="s">
        <v>38</v>
      </c>
    </row>
    <row r="14">
      <c r="B14" s="2" t="s">
        <v>79</v>
      </c>
      <c r="C14" s="2">
        <f>C12*3</f>
        <v>6</v>
      </c>
      <c r="D14" s="2" t="s">
        <v>36</v>
      </c>
      <c r="E14" s="2">
        <v>2500.0</v>
      </c>
      <c r="F14" s="2" t="s">
        <v>434</v>
      </c>
      <c r="H14" s="74">
        <f t="shared" ref="H14:H16" si="3">E14/1000*C14</f>
        <v>15</v>
      </c>
      <c r="I14" s="2" t="s">
        <v>43</v>
      </c>
      <c r="J14">
        <f>H15/J13</f>
        <v>14</v>
      </c>
      <c r="K14" s="2" t="s">
        <v>115</v>
      </c>
      <c r="M14" s="2" t="s">
        <v>394</v>
      </c>
      <c r="N14" s="2">
        <v>10.0</v>
      </c>
      <c r="O14" s="2" t="s">
        <v>150</v>
      </c>
      <c r="Q14">
        <f t="shared" si="2"/>
        <v>20</v>
      </c>
      <c r="R14" s="2" t="s">
        <v>36</v>
      </c>
    </row>
    <row r="15">
      <c r="B15" s="2" t="s">
        <v>159</v>
      </c>
      <c r="C15" s="2">
        <f>7*C12</f>
        <v>14</v>
      </c>
      <c r="D15" s="2" t="s">
        <v>36</v>
      </c>
      <c r="E15" s="2">
        <f>100*3600/1000</f>
        <v>360</v>
      </c>
      <c r="F15" s="2" t="s">
        <v>34</v>
      </c>
      <c r="H15" s="74">
        <f t="shared" si="3"/>
        <v>5.04</v>
      </c>
      <c r="I15" s="2" t="s">
        <v>43</v>
      </c>
      <c r="J15">
        <f>J14*60</f>
        <v>840</v>
      </c>
      <c r="K15" s="2" t="s">
        <v>85</v>
      </c>
      <c r="M15" s="2" t="s">
        <v>402</v>
      </c>
      <c r="N15" s="2">
        <v>10.0</v>
      </c>
      <c r="O15" s="2" t="s">
        <v>150</v>
      </c>
      <c r="Q15">
        <f t="shared" si="2"/>
        <v>20</v>
      </c>
      <c r="R15" s="2" t="s">
        <v>36</v>
      </c>
    </row>
    <row r="16">
      <c r="B16" s="2" t="s">
        <v>441</v>
      </c>
      <c r="C16" s="2">
        <f>C12*2</f>
        <v>4</v>
      </c>
      <c r="D16" s="2" t="s">
        <v>36</v>
      </c>
      <c r="E16">
        <f>10500*360/1000</f>
        <v>3780</v>
      </c>
      <c r="F16" s="2" t="s">
        <v>34</v>
      </c>
      <c r="H16" s="74">
        <f t="shared" si="3"/>
        <v>15.12</v>
      </c>
      <c r="I16" s="2" t="s">
        <v>43</v>
      </c>
      <c r="M16" s="2"/>
      <c r="N16" s="2"/>
      <c r="O16" s="2"/>
      <c r="R16" s="2"/>
      <c r="S16" s="67"/>
      <c r="T16" s="2"/>
    </row>
    <row r="17">
      <c r="M17" s="2" t="s">
        <v>6</v>
      </c>
      <c r="N17" s="49">
        <v>20.0</v>
      </c>
      <c r="O17" s="2" t="s">
        <v>150</v>
      </c>
      <c r="Q17">
        <f>N17/100*$N$11</f>
        <v>40</v>
      </c>
      <c r="R17" s="2" t="s">
        <v>36</v>
      </c>
      <c r="S17" s="67">
        <f>0.25*Q17</f>
        <v>10</v>
      </c>
      <c r="T17" s="2" t="s">
        <v>43</v>
      </c>
    </row>
    <row r="18">
      <c r="B18" s="2" t="s">
        <v>442</v>
      </c>
      <c r="C18" s="49">
        <v>100.0</v>
      </c>
      <c r="D18" s="2" t="s">
        <v>36</v>
      </c>
    </row>
    <row r="19">
      <c r="B19" s="2" t="s">
        <v>385</v>
      </c>
      <c r="C19" s="49">
        <v>50.0</v>
      </c>
      <c r="D19" s="2" t="s">
        <v>150</v>
      </c>
      <c r="F19">
        <f t="shared" ref="F19:F23" si="4">C19/100*$C$18</f>
        <v>50</v>
      </c>
      <c r="G19" s="2" t="s">
        <v>36</v>
      </c>
      <c r="M19" s="2" t="s">
        <v>414</v>
      </c>
      <c r="Q19">
        <f>sum(Q12:Q17)</f>
        <v>200</v>
      </c>
      <c r="R19" s="2" t="s">
        <v>36</v>
      </c>
    </row>
    <row r="20">
      <c r="B20" s="2" t="s">
        <v>387</v>
      </c>
      <c r="C20" s="49">
        <v>10.0</v>
      </c>
      <c r="D20" s="2" t="s">
        <v>150</v>
      </c>
      <c r="F20">
        <f t="shared" si="4"/>
        <v>10</v>
      </c>
      <c r="G20" s="2" t="s">
        <v>36</v>
      </c>
    </row>
    <row r="21">
      <c r="B21" s="2" t="s">
        <v>394</v>
      </c>
      <c r="C21" s="2">
        <v>15.0</v>
      </c>
      <c r="D21" s="2" t="s">
        <v>150</v>
      </c>
      <c r="F21">
        <f t="shared" si="4"/>
        <v>15</v>
      </c>
      <c r="G21" s="2" t="s">
        <v>36</v>
      </c>
      <c r="I21" s="2"/>
      <c r="M21" s="2" t="s">
        <v>381</v>
      </c>
      <c r="N21" s="49">
        <v>100.0</v>
      </c>
      <c r="O21" s="2" t="s">
        <v>36</v>
      </c>
      <c r="S21" s="2" t="s">
        <v>382</v>
      </c>
      <c r="U21" s="2" t="s">
        <v>200</v>
      </c>
      <c r="V21" s="2"/>
      <c r="W21" s="2" t="s">
        <v>417</v>
      </c>
    </row>
    <row r="22">
      <c r="B22" s="2" t="s">
        <v>402</v>
      </c>
      <c r="C22" s="2">
        <v>15.0</v>
      </c>
      <c r="D22" s="2" t="s">
        <v>150</v>
      </c>
      <c r="F22">
        <f t="shared" si="4"/>
        <v>15</v>
      </c>
      <c r="G22" s="2" t="s">
        <v>36</v>
      </c>
      <c r="I22" s="2"/>
      <c r="L22" s="2">
        <v>4.0</v>
      </c>
      <c r="M22" s="2" t="s">
        <v>385</v>
      </c>
      <c r="N22" s="49">
        <v>50.0</v>
      </c>
      <c r="O22" s="2" t="s">
        <v>150</v>
      </c>
      <c r="Q22">
        <f t="shared" ref="Q22:Q26" si="5">N22/100*$N$21</f>
        <v>50</v>
      </c>
      <c r="R22" s="2" t="s">
        <v>36</v>
      </c>
      <c r="S22" s="25">
        <f>Q22*0.02</f>
        <v>1</v>
      </c>
      <c r="T22" s="2" t="s">
        <v>38</v>
      </c>
      <c r="U22" s="25">
        <f>$C$38/3*Q22/Q28 /10</f>
        <v>33.33333333</v>
      </c>
      <c r="V22" s="2" t="s">
        <v>93</v>
      </c>
      <c r="W22">
        <f>Q22*4-Q28</f>
        <v>50</v>
      </c>
      <c r="X22" s="2" t="s">
        <v>36</v>
      </c>
    </row>
    <row r="23">
      <c r="B23" s="2" t="s">
        <v>6</v>
      </c>
      <c r="C23" s="49">
        <v>20.0</v>
      </c>
      <c r="D23" s="2" t="s">
        <v>150</v>
      </c>
      <c r="F23">
        <f t="shared" si="4"/>
        <v>20</v>
      </c>
      <c r="G23" s="2" t="s">
        <v>36</v>
      </c>
      <c r="I23" s="2"/>
      <c r="L23" s="2">
        <v>5.0</v>
      </c>
      <c r="M23" s="2" t="s">
        <v>387</v>
      </c>
      <c r="N23" s="49">
        <v>50.0</v>
      </c>
      <c r="O23" s="2" t="s">
        <v>150</v>
      </c>
      <c r="Q23">
        <f t="shared" si="5"/>
        <v>50</v>
      </c>
      <c r="R23" s="2" t="s">
        <v>36</v>
      </c>
      <c r="S23">
        <f>Q23/50</f>
        <v>1</v>
      </c>
      <c r="T23" s="2" t="s">
        <v>38</v>
      </c>
    </row>
    <row r="24">
      <c r="B24" s="2"/>
      <c r="D24" s="2"/>
      <c r="I24" s="2"/>
      <c r="M24" s="2" t="s">
        <v>394</v>
      </c>
      <c r="N24" s="2">
        <v>15.0</v>
      </c>
      <c r="O24" s="2" t="s">
        <v>150</v>
      </c>
      <c r="Q24">
        <f t="shared" si="5"/>
        <v>15</v>
      </c>
      <c r="R24" s="2" t="s">
        <v>36</v>
      </c>
    </row>
    <row r="25">
      <c r="B25" s="2" t="s">
        <v>446</v>
      </c>
      <c r="C25">
        <f>C19/100*C18</f>
        <v>50</v>
      </c>
      <c r="D25" s="2" t="s">
        <v>36</v>
      </c>
      <c r="E25" s="2" t="s">
        <v>447</v>
      </c>
      <c r="M25" s="2" t="s">
        <v>402</v>
      </c>
      <c r="N25" s="2">
        <v>15.0</v>
      </c>
      <c r="O25" s="2" t="s">
        <v>150</v>
      </c>
      <c r="Q25">
        <f t="shared" si="5"/>
        <v>15</v>
      </c>
      <c r="R25" s="2" t="s">
        <v>36</v>
      </c>
    </row>
    <row r="26">
      <c r="B26" s="2" t="s">
        <v>448</v>
      </c>
      <c r="C26" s="2">
        <v>50.0</v>
      </c>
      <c r="D26" s="2" t="s">
        <v>32</v>
      </c>
      <c r="E26" s="2" t="s">
        <v>449</v>
      </c>
      <c r="F26" s="2">
        <v>0.1</v>
      </c>
      <c r="G26" s="2" t="s">
        <v>32</v>
      </c>
      <c r="H26" s="25">
        <f t="shared" ref="H26:H27" si="6">$C$25*C26/1000</f>
        <v>2.5</v>
      </c>
      <c r="I26" s="2" t="s">
        <v>38</v>
      </c>
      <c r="M26" s="2" t="s">
        <v>6</v>
      </c>
      <c r="N26" s="49">
        <v>20.0</v>
      </c>
      <c r="O26" s="2" t="s">
        <v>150</v>
      </c>
      <c r="Q26">
        <f t="shared" si="5"/>
        <v>20</v>
      </c>
      <c r="R26" s="2" t="s">
        <v>36</v>
      </c>
      <c r="S26" s="67">
        <f>0.25*Q26</f>
        <v>5</v>
      </c>
      <c r="T26" s="2" t="s">
        <v>43</v>
      </c>
    </row>
    <row r="27">
      <c r="B27" s="2" t="s">
        <v>451</v>
      </c>
      <c r="C27" s="102">
        <v>10.0</v>
      </c>
      <c r="D27" s="2" t="s">
        <v>32</v>
      </c>
      <c r="E27" s="2" t="s">
        <v>452</v>
      </c>
      <c r="F27" s="2">
        <v>0.02</v>
      </c>
      <c r="G27" s="2" t="s">
        <v>32</v>
      </c>
      <c r="H27" s="25">
        <f t="shared" si="6"/>
        <v>0.5</v>
      </c>
      <c r="I27" s="2" t="s">
        <v>38</v>
      </c>
    </row>
    <row r="28">
      <c r="B28" s="2" t="s">
        <v>453</v>
      </c>
      <c r="C28" s="2">
        <v>1.0</v>
      </c>
      <c r="D28" s="2" t="s">
        <v>32</v>
      </c>
      <c r="M28" s="2" t="s">
        <v>414</v>
      </c>
      <c r="Q28">
        <f>sum(Q22:Q26)</f>
        <v>150</v>
      </c>
      <c r="R28" s="2" t="s">
        <v>36</v>
      </c>
    </row>
    <row r="30">
      <c r="B30" s="2" t="s">
        <v>457</v>
      </c>
      <c r="C30">
        <f>C20/100*C18</f>
        <v>10</v>
      </c>
      <c r="D30" s="2" t="s">
        <v>36</v>
      </c>
      <c r="H30" s="25">
        <f>C30*C31/1000</f>
        <v>1</v>
      </c>
      <c r="I30" s="2" t="s">
        <v>38</v>
      </c>
    </row>
    <row r="31">
      <c r="B31" s="2" t="s">
        <v>458</v>
      </c>
      <c r="C31" s="2">
        <v>100.0</v>
      </c>
      <c r="D31" s="2" t="s">
        <v>32</v>
      </c>
      <c r="M31" s="2" t="s">
        <v>381</v>
      </c>
      <c r="N31" s="49">
        <v>200.0</v>
      </c>
      <c r="O31" s="2" t="s">
        <v>36</v>
      </c>
      <c r="S31" s="2" t="s">
        <v>382</v>
      </c>
      <c r="U31" s="2" t="s">
        <v>200</v>
      </c>
      <c r="V31" s="2"/>
      <c r="W31" s="2" t="s">
        <v>417</v>
      </c>
    </row>
    <row r="32">
      <c r="B32" s="2" t="s">
        <v>460</v>
      </c>
      <c r="C32" s="2">
        <v>1.0</v>
      </c>
      <c r="D32" s="2" t="s">
        <v>32</v>
      </c>
      <c r="L32" s="2">
        <v>5.0</v>
      </c>
      <c r="M32" s="2" t="s">
        <v>385</v>
      </c>
      <c r="N32" s="49">
        <v>50.0</v>
      </c>
      <c r="O32" s="2" t="s">
        <v>150</v>
      </c>
      <c r="Q32">
        <f t="shared" ref="Q32:Q36" si="7">N32/100*$N$31</f>
        <v>100</v>
      </c>
      <c r="R32" s="2" t="s">
        <v>36</v>
      </c>
      <c r="S32" s="25">
        <f>Q32*0.02</f>
        <v>2</v>
      </c>
      <c r="T32" s="2" t="s">
        <v>38</v>
      </c>
      <c r="U32" s="25">
        <f>$C$38/3*Q32/Q38 /10</f>
        <v>33.33333333</v>
      </c>
      <c r="V32" s="2" t="s">
        <v>93</v>
      </c>
      <c r="W32">
        <f>Q32*4-Q38</f>
        <v>100</v>
      </c>
      <c r="X32" s="2" t="s">
        <v>36</v>
      </c>
    </row>
    <row r="33">
      <c r="L33" s="2">
        <v>6.0</v>
      </c>
      <c r="M33" s="2" t="s">
        <v>387</v>
      </c>
      <c r="N33" s="49">
        <v>50.0</v>
      </c>
      <c r="O33" s="2" t="s">
        <v>150</v>
      </c>
      <c r="Q33">
        <f t="shared" si="7"/>
        <v>100</v>
      </c>
      <c r="R33" s="2" t="s">
        <v>36</v>
      </c>
      <c r="S33" s="25">
        <f>Q33/50</f>
        <v>2</v>
      </c>
      <c r="T33" s="2" t="s">
        <v>38</v>
      </c>
    </row>
    <row r="34">
      <c r="B34" s="2" t="s">
        <v>462</v>
      </c>
      <c r="C34" s="2">
        <v>1000.0</v>
      </c>
      <c r="D34" s="2" t="s">
        <v>32</v>
      </c>
      <c r="H34">
        <f>C34*C15/1000</f>
        <v>14</v>
      </c>
      <c r="I34" s="2" t="s">
        <v>38</v>
      </c>
      <c r="M34" s="2" t="s">
        <v>394</v>
      </c>
      <c r="N34" s="2">
        <v>15.0</v>
      </c>
      <c r="O34" s="2" t="s">
        <v>150</v>
      </c>
      <c r="Q34">
        <f t="shared" si="7"/>
        <v>30</v>
      </c>
      <c r="R34" s="2" t="s">
        <v>36</v>
      </c>
    </row>
    <row r="35">
      <c r="M35" s="2" t="s">
        <v>402</v>
      </c>
      <c r="N35" s="2">
        <v>15.0</v>
      </c>
      <c r="O35" s="2" t="s">
        <v>150</v>
      </c>
      <c r="Q35">
        <f t="shared" si="7"/>
        <v>30</v>
      </c>
      <c r="R35" s="2" t="s">
        <v>36</v>
      </c>
    </row>
    <row r="36">
      <c r="B36" s="2" t="s">
        <v>463</v>
      </c>
      <c r="C36" s="2">
        <v>1500.0</v>
      </c>
      <c r="D36" s="2" t="s">
        <v>464</v>
      </c>
      <c r="M36" s="2" t="s">
        <v>6</v>
      </c>
      <c r="N36" s="49">
        <v>20.0</v>
      </c>
      <c r="O36" s="2" t="s">
        <v>150</v>
      </c>
      <c r="Q36">
        <f t="shared" si="7"/>
        <v>40</v>
      </c>
      <c r="R36" s="2" t="s">
        <v>36</v>
      </c>
      <c r="S36" s="67">
        <f>0.25*Q36</f>
        <v>10</v>
      </c>
      <c r="T36" s="2" t="s">
        <v>43</v>
      </c>
    </row>
    <row r="37">
      <c r="B37" s="2" t="s">
        <v>465</v>
      </c>
      <c r="C37" s="2">
        <v>2000.0</v>
      </c>
      <c r="D37" s="2" t="s">
        <v>464</v>
      </c>
      <c r="G37" s="2" t="s">
        <v>466</v>
      </c>
      <c r="H37" s="25">
        <f>C37*C19/1000*0.3</f>
        <v>30</v>
      </c>
      <c r="I37" s="2" t="s">
        <v>88</v>
      </c>
    </row>
    <row r="38">
      <c r="B38" s="2" t="s">
        <v>467</v>
      </c>
      <c r="C38" s="151">
        <v>3000.0</v>
      </c>
      <c r="D38" s="2" t="s">
        <v>464</v>
      </c>
      <c r="G38" s="2" t="s">
        <v>468</v>
      </c>
      <c r="H38" s="25">
        <f>C38*C19/9.80665/1000</f>
        <v>15.29574319</v>
      </c>
      <c r="I38" s="2" t="s">
        <v>90</v>
      </c>
      <c r="J38" s="74">
        <f>C27*1000/C38</f>
        <v>3.333333333</v>
      </c>
      <c r="K38" s="2" t="s">
        <v>201</v>
      </c>
      <c r="M38" s="2" t="s">
        <v>414</v>
      </c>
      <c r="Q38">
        <f>sum(Q32:Q36)</f>
        <v>300</v>
      </c>
      <c r="R38" s="2" t="s">
        <v>36</v>
      </c>
    </row>
    <row r="39">
      <c r="B39" s="152" t="s">
        <v>471</v>
      </c>
      <c r="C39" s="153"/>
      <c r="D39" s="153"/>
      <c r="E39" s="153"/>
      <c r="F39" s="153"/>
      <c r="G39" s="152" t="s">
        <v>473</v>
      </c>
      <c r="H39" s="154">
        <f>H38/3</f>
        <v>5.098581065</v>
      </c>
      <c r="I39" s="152" t="s">
        <v>90</v>
      </c>
      <c r="J39" s="2" t="s">
        <v>474</v>
      </c>
    </row>
    <row r="41">
      <c r="B41" s="2" t="s">
        <v>120</v>
      </c>
      <c r="C41">
        <f>F19*C27*1000</f>
        <v>500000</v>
      </c>
      <c r="D41" s="2" t="s">
        <v>125</v>
      </c>
      <c r="G41" s="2" t="s">
        <v>207</v>
      </c>
      <c r="H41" s="25">
        <f>(2*C41*C42 / (C43*C44))^(1/3)</f>
        <v>142.8769814</v>
      </c>
      <c r="I41" s="2" t="s">
        <v>201</v>
      </c>
      <c r="J41" s="2" t="s">
        <v>475</v>
      </c>
      <c r="M41" s="2" t="s">
        <v>381</v>
      </c>
      <c r="N41" s="49">
        <v>400.0</v>
      </c>
      <c r="O41" s="2" t="s">
        <v>36</v>
      </c>
      <c r="S41" s="2" t="s">
        <v>382</v>
      </c>
      <c r="U41" s="2" t="s">
        <v>200</v>
      </c>
      <c r="V41" s="2"/>
      <c r="W41" s="2" t="s">
        <v>417</v>
      </c>
    </row>
    <row r="42">
      <c r="B42" s="2" t="s">
        <v>476</v>
      </c>
      <c r="C42" s="2">
        <v>0.7</v>
      </c>
      <c r="D42" s="2" t="s">
        <v>477</v>
      </c>
      <c r="H42" s="25">
        <f>H41*3.6</f>
        <v>514.3571329</v>
      </c>
      <c r="I42" s="2" t="s">
        <v>28</v>
      </c>
      <c r="L42" s="2">
        <v>7.0</v>
      </c>
      <c r="M42" s="2" t="s">
        <v>385</v>
      </c>
      <c r="N42" s="49">
        <v>50.0</v>
      </c>
      <c r="O42" s="2" t="s">
        <v>150</v>
      </c>
      <c r="Q42">
        <f t="shared" ref="Q42:Q46" si="8">N42/100*$N$41</f>
        <v>200</v>
      </c>
      <c r="R42" s="2" t="s">
        <v>36</v>
      </c>
      <c r="S42" s="25">
        <f>Q42*0.02</f>
        <v>4</v>
      </c>
      <c r="T42" s="2" t="s">
        <v>38</v>
      </c>
      <c r="U42" s="25">
        <f>$C$38/3*Q42/Q48 /10</f>
        <v>50</v>
      </c>
      <c r="V42" s="2" t="s">
        <v>93</v>
      </c>
      <c r="W42">
        <f>Q42*4-Q48</f>
        <v>400</v>
      </c>
      <c r="X42" s="2" t="s">
        <v>36</v>
      </c>
    </row>
    <row r="43">
      <c r="B43" s="2" t="s">
        <v>478</v>
      </c>
      <c r="C43" s="2">
        <v>1.2</v>
      </c>
      <c r="D43" s="2" t="s">
        <v>479</v>
      </c>
      <c r="L43" s="2">
        <v>5.0</v>
      </c>
      <c r="M43" s="2" t="s">
        <v>387</v>
      </c>
      <c r="N43" s="49">
        <v>10.0</v>
      </c>
      <c r="O43" s="2" t="s">
        <v>150</v>
      </c>
      <c r="Q43">
        <f t="shared" si="8"/>
        <v>40</v>
      </c>
      <c r="R43" s="2" t="s">
        <v>36</v>
      </c>
      <c r="S43" s="25">
        <f>Q43/50</f>
        <v>0.8</v>
      </c>
      <c r="T43" s="2" t="s">
        <v>38</v>
      </c>
    </row>
    <row r="44">
      <c r="B44" s="2" t="s">
        <v>480</v>
      </c>
      <c r="C44" s="2">
        <v>0.2</v>
      </c>
      <c r="D44" s="2" t="s">
        <v>481</v>
      </c>
      <c r="M44" s="2" t="s">
        <v>394</v>
      </c>
      <c r="N44" s="2">
        <v>10.0</v>
      </c>
      <c r="O44" s="2" t="s">
        <v>150</v>
      </c>
      <c r="Q44">
        <f t="shared" si="8"/>
        <v>40</v>
      </c>
      <c r="R44" s="2" t="s">
        <v>36</v>
      </c>
    </row>
    <row r="45">
      <c r="M45" s="2" t="s">
        <v>402</v>
      </c>
      <c r="N45" s="2">
        <v>10.0</v>
      </c>
      <c r="O45" s="2" t="s">
        <v>150</v>
      </c>
      <c r="Q45">
        <f t="shared" si="8"/>
        <v>40</v>
      </c>
      <c r="R45" s="2" t="s">
        <v>36</v>
      </c>
    </row>
    <row r="46">
      <c r="B46" s="2" t="s">
        <v>482</v>
      </c>
      <c r="C46">
        <f>C38*F19/2</f>
        <v>75000</v>
      </c>
      <c r="D46" s="2" t="s">
        <v>483</v>
      </c>
      <c r="G46" s="2" t="s">
        <v>200</v>
      </c>
      <c r="H46">
        <f>C46/C47</f>
        <v>750</v>
      </c>
      <c r="I46" s="2" t="s">
        <v>211</v>
      </c>
      <c r="J46" s="2" t="s">
        <v>484</v>
      </c>
      <c r="M46" s="2" t="s">
        <v>6</v>
      </c>
      <c r="N46" s="49">
        <v>20.0</v>
      </c>
      <c r="O46" s="2" t="s">
        <v>150</v>
      </c>
      <c r="Q46">
        <f t="shared" si="8"/>
        <v>80</v>
      </c>
      <c r="R46" s="2" t="s">
        <v>36</v>
      </c>
      <c r="S46" s="67">
        <f>0.25*Q46</f>
        <v>20</v>
      </c>
      <c r="T46" s="2" t="s">
        <v>43</v>
      </c>
    </row>
    <row r="47">
      <c r="B47" s="2" t="s">
        <v>189</v>
      </c>
      <c r="C47">
        <f>C18</f>
        <v>100</v>
      </c>
      <c r="D47" s="2" t="s">
        <v>36</v>
      </c>
      <c r="H47">
        <f>H46/10</f>
        <v>75</v>
      </c>
      <c r="I47" s="2" t="s">
        <v>93</v>
      </c>
    </row>
    <row r="48">
      <c r="M48" s="2" t="s">
        <v>414</v>
      </c>
      <c r="Q48">
        <f>sum(Q42:Q46)</f>
        <v>400</v>
      </c>
      <c r="R48" s="2" t="s">
        <v>36</v>
      </c>
    </row>
    <row r="49">
      <c r="B49" s="2" t="s">
        <v>442</v>
      </c>
      <c r="C49" s="49">
        <v>100.0</v>
      </c>
      <c r="D49" s="2" t="s">
        <v>36</v>
      </c>
    </row>
    <row r="50">
      <c r="B50" s="2" t="s">
        <v>490</v>
      </c>
      <c r="C50" s="151">
        <v>5000.0</v>
      </c>
      <c r="D50" s="2" t="s">
        <v>464</v>
      </c>
      <c r="G50" s="2" t="s">
        <v>495</v>
      </c>
      <c r="H50" s="25">
        <f t="shared" ref="H50:H51" si="9">C51*C50</f>
        <v>150000</v>
      </c>
      <c r="I50" s="2" t="s">
        <v>483</v>
      </c>
    </row>
    <row r="51">
      <c r="B51" s="2" t="s">
        <v>501</v>
      </c>
      <c r="C51" s="156">
        <f>C49* 0.3</f>
        <v>30</v>
      </c>
      <c r="D51" s="2" t="s">
        <v>36</v>
      </c>
      <c r="G51" s="2" t="s">
        <v>503</v>
      </c>
      <c r="H51">
        <f t="shared" si="9"/>
        <v>3000</v>
      </c>
      <c r="I51" s="2" t="s">
        <v>125</v>
      </c>
      <c r="M51" s="2" t="s">
        <v>381</v>
      </c>
      <c r="N51" s="49">
        <v>100.0</v>
      </c>
      <c r="O51" s="2" t="s">
        <v>36</v>
      </c>
      <c r="S51" s="2" t="s">
        <v>382</v>
      </c>
      <c r="U51" s="2" t="s">
        <v>200</v>
      </c>
      <c r="V51" s="2"/>
      <c r="W51" s="2" t="s">
        <v>417</v>
      </c>
    </row>
    <row r="52">
      <c r="B52" s="2" t="s">
        <v>508</v>
      </c>
      <c r="C52" s="49">
        <v>100.0</v>
      </c>
      <c r="D52" s="2" t="s">
        <v>124</v>
      </c>
      <c r="G52" s="2" t="s">
        <v>509</v>
      </c>
      <c r="H52" s="38">
        <f>H51/(C54*H50)</f>
        <v>0.06666666667</v>
      </c>
      <c r="I52" s="2" t="s">
        <v>201</v>
      </c>
      <c r="L52" s="2">
        <v>3.0</v>
      </c>
      <c r="M52" s="2" t="s">
        <v>385</v>
      </c>
      <c r="N52" s="49">
        <v>50.0</v>
      </c>
      <c r="O52" s="2" t="s">
        <v>150</v>
      </c>
      <c r="Q52">
        <f t="shared" ref="Q52:Q56" si="10">N52/100*$N$51</f>
        <v>50</v>
      </c>
      <c r="R52" s="2" t="s">
        <v>36</v>
      </c>
      <c r="S52" s="25">
        <f>Q52*0.02</f>
        <v>1</v>
      </c>
      <c r="T52" s="2" t="s">
        <v>38</v>
      </c>
      <c r="U52" s="25">
        <f>$C$38/3*Q52/Q58 /10</f>
        <v>25</v>
      </c>
      <c r="V52" s="2" t="s">
        <v>93</v>
      </c>
      <c r="W52">
        <f>Q52*4-Q58</f>
        <v>0</v>
      </c>
      <c r="X52" s="2" t="s">
        <v>36</v>
      </c>
    </row>
    <row r="53">
      <c r="G53" s="2" t="s">
        <v>449</v>
      </c>
      <c r="H53">
        <f>H50/C49</f>
        <v>1500</v>
      </c>
      <c r="I53" s="2" t="s">
        <v>211</v>
      </c>
      <c r="L53" s="2">
        <v>6.0</v>
      </c>
      <c r="M53" s="2" t="s">
        <v>387</v>
      </c>
      <c r="N53" s="49">
        <v>100.0</v>
      </c>
      <c r="O53" s="2" t="s">
        <v>150</v>
      </c>
      <c r="Q53">
        <f t="shared" si="10"/>
        <v>100</v>
      </c>
      <c r="R53" s="2" t="s">
        <v>36</v>
      </c>
      <c r="S53">
        <f>Q53/50</f>
        <v>2</v>
      </c>
      <c r="T53" s="2" t="s">
        <v>38</v>
      </c>
    </row>
    <row r="54">
      <c r="B54" s="2" t="s">
        <v>562</v>
      </c>
      <c r="C54" s="49">
        <v>0.3</v>
      </c>
      <c r="H54">
        <f>H53/10</f>
        <v>150</v>
      </c>
      <c r="I54" s="2" t="s">
        <v>93</v>
      </c>
      <c r="M54" s="2" t="s">
        <v>394</v>
      </c>
      <c r="N54" s="2">
        <v>10.0</v>
      </c>
      <c r="O54" s="2" t="s">
        <v>150</v>
      </c>
      <c r="Q54">
        <f t="shared" si="10"/>
        <v>10</v>
      </c>
      <c r="R54" s="2" t="s">
        <v>36</v>
      </c>
    </row>
    <row r="55">
      <c r="A55" s="2" t="s">
        <v>572</v>
      </c>
      <c r="B55" s="2" t="s">
        <v>574</v>
      </c>
      <c r="C55" s="2">
        <v>10.0</v>
      </c>
      <c r="D55" s="2" t="s">
        <v>201</v>
      </c>
      <c r="E55" s="2" t="s">
        <v>579</v>
      </c>
      <c r="G55" s="2" t="s">
        <v>581</v>
      </c>
      <c r="H55">
        <f>H50/30</f>
        <v>5000</v>
      </c>
      <c r="I55" s="2" t="s">
        <v>483</v>
      </c>
      <c r="M55" s="2" t="s">
        <v>402</v>
      </c>
      <c r="N55" s="2">
        <v>10.0</v>
      </c>
      <c r="O55" s="2" t="s">
        <v>150</v>
      </c>
      <c r="Q55">
        <f t="shared" si="10"/>
        <v>10</v>
      </c>
      <c r="R55" s="2" t="s">
        <v>36</v>
      </c>
    </row>
    <row r="56">
      <c r="B56" s="2" t="s">
        <v>100</v>
      </c>
      <c r="C56" s="2">
        <v>10.0</v>
      </c>
      <c r="D56" s="2" t="s">
        <v>211</v>
      </c>
      <c r="G56" s="2" t="s">
        <v>100</v>
      </c>
      <c r="H56" s="25">
        <f>H55/C49</f>
        <v>50</v>
      </c>
      <c r="I56" s="2" t="s">
        <v>211</v>
      </c>
      <c r="M56" s="2" t="s">
        <v>6</v>
      </c>
      <c r="N56" s="49">
        <v>30.0</v>
      </c>
      <c r="O56" s="2" t="s">
        <v>150</v>
      </c>
      <c r="Q56">
        <f t="shared" si="10"/>
        <v>30</v>
      </c>
      <c r="R56" s="2" t="s">
        <v>36</v>
      </c>
      <c r="S56" s="67">
        <f>0.25*Q56</f>
        <v>7.5</v>
      </c>
      <c r="T56" s="2" t="s">
        <v>43</v>
      </c>
    </row>
    <row r="57">
      <c r="B57" s="2" t="s">
        <v>583</v>
      </c>
      <c r="C57" s="2">
        <v>40.0</v>
      </c>
      <c r="D57" s="2" t="s">
        <v>201</v>
      </c>
      <c r="G57" s="2" t="s">
        <v>584</v>
      </c>
      <c r="H57" s="2">
        <f>H55*3</f>
        <v>15000</v>
      </c>
      <c r="I57" s="2" t="s">
        <v>483</v>
      </c>
    </row>
    <row r="58">
      <c r="E58" s="2" t="s">
        <v>585</v>
      </c>
      <c r="G58" s="2" t="s">
        <v>581</v>
      </c>
      <c r="H58">
        <f>H50/15</f>
        <v>10000</v>
      </c>
      <c r="I58" s="2" t="s">
        <v>483</v>
      </c>
      <c r="M58" s="2" t="s">
        <v>414</v>
      </c>
      <c r="Q58">
        <f>sum(Q52:Q56)</f>
        <v>200</v>
      </c>
      <c r="R58" s="2" t="s">
        <v>36</v>
      </c>
    </row>
    <row r="59">
      <c r="G59" s="2" t="s">
        <v>100</v>
      </c>
      <c r="H59" s="25">
        <f>H58/C49</f>
        <v>100</v>
      </c>
      <c r="I59" s="2" t="s">
        <v>211</v>
      </c>
    </row>
    <row r="60">
      <c r="B60" s="2" t="s">
        <v>586</v>
      </c>
      <c r="C60" s="2">
        <f>C61*1000</f>
        <v>300000</v>
      </c>
      <c r="D60" s="2" t="s">
        <v>587</v>
      </c>
      <c r="G60" s="2" t="s">
        <v>584</v>
      </c>
      <c r="H60" s="2">
        <f>H58*3</f>
        <v>30000</v>
      </c>
      <c r="I60" s="2" t="s">
        <v>483</v>
      </c>
    </row>
    <row r="61">
      <c r="C61" s="2">
        <v>300.0</v>
      </c>
      <c r="D61" s="2" t="s">
        <v>464</v>
      </c>
      <c r="M61" s="2" t="s">
        <v>381</v>
      </c>
      <c r="N61" s="49">
        <v>80.0</v>
      </c>
      <c r="O61" s="2" t="s">
        <v>36</v>
      </c>
      <c r="S61" s="2" t="s">
        <v>382</v>
      </c>
      <c r="U61" s="2" t="s">
        <v>200</v>
      </c>
      <c r="V61" s="2"/>
      <c r="W61" s="2" t="s">
        <v>417</v>
      </c>
    </row>
    <row r="62">
      <c r="B62" s="2" t="s">
        <v>588</v>
      </c>
      <c r="C62" s="2">
        <v>10000.0</v>
      </c>
      <c r="D62" s="2" t="s">
        <v>464</v>
      </c>
      <c r="G62" s="2" t="s">
        <v>589</v>
      </c>
      <c r="H62" s="2">
        <v>0.1</v>
      </c>
      <c r="L62" s="2">
        <v>4.0</v>
      </c>
      <c r="M62" s="2" t="s">
        <v>385</v>
      </c>
      <c r="N62" s="49">
        <v>40.0</v>
      </c>
      <c r="O62" s="2" t="s">
        <v>150</v>
      </c>
      <c r="Q62">
        <f t="shared" ref="Q62:Q66" si="11">N62/100*$N$61</f>
        <v>32</v>
      </c>
      <c r="R62" s="2" t="s">
        <v>36</v>
      </c>
      <c r="S62" s="25">
        <f>Q62*0.02</f>
        <v>0.64</v>
      </c>
      <c r="T62" s="2" t="s">
        <v>38</v>
      </c>
      <c r="U62" s="25">
        <f>$C$38/3*Q62/Q68 /10</f>
        <v>40</v>
      </c>
      <c r="V62" s="2" t="s">
        <v>93</v>
      </c>
      <c r="W62">
        <f>Q62*4-Q68</f>
        <v>48</v>
      </c>
      <c r="X62" s="2" t="s">
        <v>36</v>
      </c>
    </row>
    <row r="63">
      <c r="G63" s="2" t="s">
        <v>590</v>
      </c>
      <c r="H63">
        <f>C60*C65/C64/10*1/H62</f>
        <v>90</v>
      </c>
      <c r="L63" s="2">
        <v>4.0</v>
      </c>
      <c r="M63" s="2" t="s">
        <v>387</v>
      </c>
      <c r="N63" s="49">
        <v>10.0</v>
      </c>
      <c r="O63" s="2" t="s">
        <v>150</v>
      </c>
      <c r="Q63">
        <f t="shared" si="11"/>
        <v>8</v>
      </c>
      <c r="R63" s="2" t="s">
        <v>36</v>
      </c>
      <c r="S63" s="74">
        <f>Q63/50</f>
        <v>0.16</v>
      </c>
      <c r="T63" s="2" t="s">
        <v>38</v>
      </c>
    </row>
    <row r="64">
      <c r="B64" s="2" t="s">
        <v>591</v>
      </c>
      <c r="C64" s="2">
        <v>1000.0</v>
      </c>
      <c r="D64" s="2" t="s">
        <v>592</v>
      </c>
      <c r="M64" s="2" t="s">
        <v>394</v>
      </c>
      <c r="N64" s="2">
        <v>15.0</v>
      </c>
      <c r="O64" s="2" t="s">
        <v>150</v>
      </c>
      <c r="Q64">
        <f t="shared" si="11"/>
        <v>12</v>
      </c>
      <c r="R64" s="2" t="s">
        <v>36</v>
      </c>
    </row>
    <row r="65">
      <c r="B65" s="2" t="s">
        <v>593</v>
      </c>
      <c r="C65" s="2">
        <v>0.3</v>
      </c>
      <c r="E65" s="2" t="s">
        <v>594</v>
      </c>
      <c r="G65" s="2" t="s">
        <v>595</v>
      </c>
      <c r="H65" s="2" t="s">
        <v>596</v>
      </c>
      <c r="J65" s="2" t="s">
        <v>597</v>
      </c>
      <c r="K65" s="2" t="s">
        <v>598</v>
      </c>
      <c r="M65" s="2" t="s">
        <v>402</v>
      </c>
      <c r="N65" s="2">
        <v>15.0</v>
      </c>
      <c r="O65" s="2" t="s">
        <v>150</v>
      </c>
      <c r="Q65">
        <f t="shared" si="11"/>
        <v>12</v>
      </c>
      <c r="R65" s="2" t="s">
        <v>36</v>
      </c>
    </row>
    <row r="66">
      <c r="A66" s="2">
        <v>100.0</v>
      </c>
      <c r="B66" s="2" t="s">
        <v>599</v>
      </c>
      <c r="C66" s="2">
        <v>1.7</v>
      </c>
      <c r="D66" s="2" t="s">
        <v>189</v>
      </c>
      <c r="E66" s="67">
        <f>2*1*1</f>
        <v>2</v>
      </c>
      <c r="F66" s="2" t="s">
        <v>600</v>
      </c>
      <c r="G66" s="74">
        <f t="shared" ref="G66:G72" si="12">(A66/1000)^(1/3)</f>
        <v>0.4641588834</v>
      </c>
      <c r="H66" s="74">
        <f t="shared" ref="H66:H71" si="13">sqrt(K66)</f>
        <v>2.300894967</v>
      </c>
      <c r="I66" s="2" t="s">
        <v>601</v>
      </c>
      <c r="J66" s="2">
        <v>3.0</v>
      </c>
      <c r="K66" s="25">
        <f>C60*C65/C64/10*1/C66</f>
        <v>5.294117647</v>
      </c>
      <c r="M66" s="2" t="s">
        <v>6</v>
      </c>
      <c r="N66" s="49">
        <v>20.0</v>
      </c>
      <c r="O66" s="2" t="s">
        <v>150</v>
      </c>
      <c r="Q66">
        <f t="shared" si="11"/>
        <v>16</v>
      </c>
      <c r="R66" s="2" t="s">
        <v>36</v>
      </c>
      <c r="S66" s="67">
        <f>0.25*Q66</f>
        <v>4</v>
      </c>
      <c r="T66" s="2" t="s">
        <v>43</v>
      </c>
    </row>
    <row r="67">
      <c r="A67" s="2">
        <v>1.0</v>
      </c>
      <c r="B67" s="2" t="s">
        <v>602</v>
      </c>
      <c r="C67" s="2">
        <v>0.1</v>
      </c>
      <c r="D67" s="2" t="s">
        <v>189</v>
      </c>
      <c r="E67" s="157">
        <f t="shared" ref="E67:E68" si="14">C67^3</f>
        <v>0.001</v>
      </c>
      <c r="F67" s="2" t="s">
        <v>600</v>
      </c>
      <c r="G67" s="74">
        <f t="shared" si="12"/>
        <v>0.1</v>
      </c>
      <c r="H67" s="25">
        <f t="shared" si="13"/>
        <v>9.486832981</v>
      </c>
      <c r="I67" s="2" t="s">
        <v>601</v>
      </c>
      <c r="J67" s="2">
        <v>10.0</v>
      </c>
      <c r="K67" s="25">
        <f>C60*C65/C64/10*1/C67</f>
        <v>90</v>
      </c>
    </row>
    <row r="68">
      <c r="A68" s="2">
        <v>0.1</v>
      </c>
      <c r="B68" s="2" t="s">
        <v>603</v>
      </c>
      <c r="C68" s="2">
        <v>0.003</v>
      </c>
      <c r="D68" s="2" t="s">
        <v>189</v>
      </c>
      <c r="E68" s="157">
        <f t="shared" si="14"/>
        <v>0.000000027</v>
      </c>
      <c r="F68" s="2" t="s">
        <v>600</v>
      </c>
      <c r="G68" s="74">
        <f t="shared" si="12"/>
        <v>0.04641588834</v>
      </c>
      <c r="H68" s="25">
        <f t="shared" si="13"/>
        <v>54.77225575</v>
      </c>
      <c r="I68" s="2" t="s">
        <v>601</v>
      </c>
      <c r="J68" s="2">
        <v>50.0</v>
      </c>
      <c r="K68" s="25">
        <f>C60*C65/C64/10*1/C68</f>
        <v>3000</v>
      </c>
      <c r="M68" s="2" t="s">
        <v>414</v>
      </c>
      <c r="Q68">
        <f>sum(Q62:Q66)</f>
        <v>80</v>
      </c>
      <c r="R68" s="2" t="s">
        <v>36</v>
      </c>
    </row>
    <row r="69">
      <c r="A69" s="2">
        <v>1000.0</v>
      </c>
      <c r="B69" s="2" t="s">
        <v>604</v>
      </c>
      <c r="C69" s="2">
        <v>3.0</v>
      </c>
      <c r="D69" s="2" t="s">
        <v>189</v>
      </c>
      <c r="E69">
        <f>3*3*2</f>
        <v>18</v>
      </c>
      <c r="F69" s="2" t="s">
        <v>600</v>
      </c>
      <c r="G69" s="74">
        <f t="shared" si="12"/>
        <v>1</v>
      </c>
      <c r="H69" s="25">
        <f t="shared" si="13"/>
        <v>1.732050808</v>
      </c>
      <c r="I69" s="2" t="s">
        <v>601</v>
      </c>
      <c r="J69" s="2">
        <v>2.0</v>
      </c>
      <c r="K69" s="25">
        <f>C60*C65/C64/10*1/C69</f>
        <v>3</v>
      </c>
    </row>
    <row r="70">
      <c r="A70" s="2">
        <v>1000.0</v>
      </c>
      <c r="B70" s="2" t="s">
        <v>605</v>
      </c>
      <c r="C70" s="2">
        <v>3.0</v>
      </c>
      <c r="D70" s="2" t="s">
        <v>189</v>
      </c>
      <c r="E70">
        <f>2.5*2*1</f>
        <v>5</v>
      </c>
      <c r="F70" s="2" t="s">
        <v>600</v>
      </c>
      <c r="G70" s="74">
        <f t="shared" si="12"/>
        <v>1</v>
      </c>
      <c r="H70" s="25">
        <f t="shared" si="13"/>
        <v>1.732050808</v>
      </c>
      <c r="I70" s="2" t="s">
        <v>601</v>
      </c>
      <c r="K70" s="25">
        <f>C$60*C65/C64/10*1/C70</f>
        <v>3</v>
      </c>
    </row>
    <row r="71">
      <c r="A71" s="2">
        <v>10000.0</v>
      </c>
      <c r="B71" s="2" t="s">
        <v>606</v>
      </c>
      <c r="C71" s="2">
        <v>5.0</v>
      </c>
      <c r="D71" s="2" t="s">
        <v>189</v>
      </c>
      <c r="E71">
        <f>5*2*2</f>
        <v>20</v>
      </c>
      <c r="F71" s="2" t="s">
        <v>600</v>
      </c>
      <c r="G71" s="74">
        <f t="shared" si="12"/>
        <v>2.15443469</v>
      </c>
      <c r="H71" s="25">
        <f t="shared" si="13"/>
        <v>1.341640786</v>
      </c>
      <c r="I71" s="2" t="s">
        <v>601</v>
      </c>
      <c r="K71">
        <f>C$60*C65/C64/10*1/C71</f>
        <v>1.8</v>
      </c>
      <c r="M71" s="2" t="s">
        <v>381</v>
      </c>
      <c r="N71" s="49">
        <v>200.0</v>
      </c>
      <c r="O71" s="2" t="s">
        <v>36</v>
      </c>
      <c r="P71" s="2" t="s">
        <v>607</v>
      </c>
      <c r="R71" s="2" t="s">
        <v>36</v>
      </c>
      <c r="S71" s="2" t="s">
        <v>382</v>
      </c>
      <c r="U71" s="2" t="s">
        <v>200</v>
      </c>
      <c r="V71" s="2"/>
      <c r="W71" s="2" t="s">
        <v>417</v>
      </c>
    </row>
    <row r="72">
      <c r="A72" s="2">
        <v>10.0</v>
      </c>
      <c r="B72" s="2" t="s">
        <v>608</v>
      </c>
      <c r="C72" s="2">
        <v>0.5</v>
      </c>
      <c r="D72" s="2" t="s">
        <v>189</v>
      </c>
      <c r="G72" s="74">
        <f t="shared" si="12"/>
        <v>0.215443469</v>
      </c>
      <c r="M72" s="2" t="s">
        <v>385</v>
      </c>
      <c r="N72" s="49">
        <v>65.0</v>
      </c>
      <c r="O72" s="2" t="s">
        <v>150</v>
      </c>
      <c r="Q72">
        <f t="shared" ref="Q72:Q76" si="15">N72/100*$N$71</f>
        <v>130</v>
      </c>
      <c r="R72" s="2" t="s">
        <v>36</v>
      </c>
      <c r="S72" s="25">
        <f>Q72*0.02</f>
        <v>2.6</v>
      </c>
      <c r="T72" s="2" t="s">
        <v>38</v>
      </c>
      <c r="U72" s="25">
        <f>$C$38/3*Q72/Q78 /10</f>
        <v>65</v>
      </c>
      <c r="V72" s="2" t="s">
        <v>93</v>
      </c>
      <c r="W72">
        <f>Q72*4-Q78</f>
        <v>320</v>
      </c>
      <c r="X72" s="2" t="s">
        <v>36</v>
      </c>
    </row>
    <row r="73">
      <c r="M73" s="2" t="s">
        <v>387</v>
      </c>
      <c r="N73" s="49">
        <v>5.0</v>
      </c>
      <c r="O73" s="2" t="s">
        <v>150</v>
      </c>
      <c r="Q73">
        <f t="shared" si="15"/>
        <v>10</v>
      </c>
      <c r="R73" s="2" t="s">
        <v>36</v>
      </c>
      <c r="S73" s="25">
        <f>Q73/50</f>
        <v>0.2</v>
      </c>
      <c r="T73" s="2" t="s">
        <v>38</v>
      </c>
    </row>
    <row r="74">
      <c r="M74" s="2" t="s">
        <v>471</v>
      </c>
      <c r="N74" s="49">
        <v>10.0</v>
      </c>
      <c r="O74" s="2" t="s">
        <v>150</v>
      </c>
      <c r="Q74">
        <f t="shared" si="15"/>
        <v>20</v>
      </c>
      <c r="R74" s="2" t="s">
        <v>36</v>
      </c>
      <c r="S74" s="25"/>
      <c r="W74">
        <f>Q74*10</f>
        <v>200</v>
      </c>
      <c r="X74" s="2" t="s">
        <v>36</v>
      </c>
    </row>
    <row r="75">
      <c r="B75" s="2" t="s">
        <v>442</v>
      </c>
      <c r="C75" s="49">
        <v>1000.0</v>
      </c>
      <c r="D75" s="2" t="s">
        <v>36</v>
      </c>
      <c r="M75" s="2" t="s">
        <v>402</v>
      </c>
      <c r="N75" s="2">
        <v>5.0</v>
      </c>
      <c r="O75" s="2" t="s">
        <v>150</v>
      </c>
      <c r="Q75">
        <f t="shared" si="15"/>
        <v>10</v>
      </c>
      <c r="R75" s="2" t="s">
        <v>36</v>
      </c>
      <c r="S75" s="25"/>
    </row>
    <row r="76">
      <c r="B76" s="2" t="s">
        <v>490</v>
      </c>
      <c r="C76" s="151">
        <v>6000.0</v>
      </c>
      <c r="D76" s="2" t="s">
        <v>464</v>
      </c>
      <c r="G76" s="2" t="s">
        <v>495</v>
      </c>
      <c r="H76" s="25">
        <f t="shared" ref="H76:H77" si="16">C77*C76</f>
        <v>1200000</v>
      </c>
      <c r="I76" s="2" t="s">
        <v>483</v>
      </c>
      <c r="M76" s="2" t="s">
        <v>6</v>
      </c>
      <c r="N76" s="49">
        <v>15.0</v>
      </c>
      <c r="O76" s="2" t="s">
        <v>150</v>
      </c>
      <c r="Q76">
        <f t="shared" si="15"/>
        <v>30</v>
      </c>
      <c r="R76" s="2" t="s">
        <v>36</v>
      </c>
      <c r="S76" s="67">
        <f>0.25*Q76</f>
        <v>7.5</v>
      </c>
      <c r="T76" s="2" t="s">
        <v>43</v>
      </c>
    </row>
    <row r="77">
      <c r="B77" s="2" t="s">
        <v>501</v>
      </c>
      <c r="C77" s="156">
        <f>C75/5</f>
        <v>200</v>
      </c>
      <c r="D77" s="2" t="s">
        <v>36</v>
      </c>
      <c r="G77" s="2" t="s">
        <v>503</v>
      </c>
      <c r="H77">
        <f t="shared" si="16"/>
        <v>2000000</v>
      </c>
      <c r="I77" s="2" t="s">
        <v>125</v>
      </c>
    </row>
    <row r="78">
      <c r="B78" s="2" t="s">
        <v>508</v>
      </c>
      <c r="C78" s="49">
        <v>10000.0</v>
      </c>
      <c r="D78" s="2" t="s">
        <v>124</v>
      </c>
      <c r="G78" s="2" t="s">
        <v>509</v>
      </c>
      <c r="H78" s="38">
        <f>H77/(C80*H76)</f>
        <v>5.555555556</v>
      </c>
      <c r="I78" s="2" t="s">
        <v>201</v>
      </c>
      <c r="M78" s="2" t="s">
        <v>414</v>
      </c>
      <c r="N78">
        <f>N72+N73+N74+N75+N76</f>
        <v>100</v>
      </c>
      <c r="O78" s="2" t="s">
        <v>150</v>
      </c>
      <c r="Q78">
        <f>sum(Q71:Q76)</f>
        <v>200</v>
      </c>
      <c r="R78" s="2" t="s">
        <v>36</v>
      </c>
    </row>
    <row r="79">
      <c r="G79" s="2" t="s">
        <v>449</v>
      </c>
      <c r="H79">
        <f>H76/C75</f>
        <v>1200</v>
      </c>
      <c r="I79" s="2" t="s">
        <v>211</v>
      </c>
      <c r="J79">
        <f>H79/10</f>
        <v>120</v>
      </c>
      <c r="K79" s="2" t="s">
        <v>189</v>
      </c>
    </row>
    <row r="80">
      <c r="B80" s="2" t="s">
        <v>562</v>
      </c>
      <c r="C80" s="49">
        <v>0.3</v>
      </c>
      <c r="H80">
        <f>H79/10</f>
        <v>120</v>
      </c>
      <c r="I80" s="2" t="s">
        <v>93</v>
      </c>
    </row>
    <row r="81">
      <c r="A81" s="2" t="s">
        <v>572</v>
      </c>
      <c r="B81" s="2" t="s">
        <v>574</v>
      </c>
      <c r="C81" s="2">
        <v>10.0</v>
      </c>
      <c r="D81" s="2" t="s">
        <v>201</v>
      </c>
      <c r="E81" s="2" t="s">
        <v>579</v>
      </c>
      <c r="G81" s="2" t="s">
        <v>581</v>
      </c>
      <c r="H81">
        <f>H76/30</f>
        <v>40000</v>
      </c>
      <c r="I81" s="2" t="s">
        <v>483</v>
      </c>
    </row>
    <row r="82">
      <c r="B82" s="2" t="s">
        <v>100</v>
      </c>
      <c r="C82" s="2">
        <v>10.0</v>
      </c>
      <c r="D82" s="2" t="s">
        <v>211</v>
      </c>
      <c r="G82" s="2" t="s">
        <v>100</v>
      </c>
      <c r="H82" s="25">
        <f>H81/C75</f>
        <v>40</v>
      </c>
      <c r="I82" s="2" t="s">
        <v>211</v>
      </c>
      <c r="J82">
        <f>H82/10</f>
        <v>4</v>
      </c>
      <c r="K82" s="2" t="s">
        <v>189</v>
      </c>
    </row>
    <row r="83">
      <c r="B83" s="2" t="s">
        <v>583</v>
      </c>
      <c r="C83" s="2">
        <v>40.0</v>
      </c>
      <c r="D83" s="2" t="s">
        <v>201</v>
      </c>
      <c r="E83" s="2" t="s">
        <v>585</v>
      </c>
      <c r="G83" s="2" t="s">
        <v>581</v>
      </c>
      <c r="H83">
        <f>H76/15</f>
        <v>80000</v>
      </c>
      <c r="I83" s="2" t="s">
        <v>483</v>
      </c>
    </row>
    <row r="84">
      <c r="G84" s="2" t="s">
        <v>100</v>
      </c>
      <c r="H84" s="25">
        <f>H83/C75</f>
        <v>80</v>
      </c>
      <c r="I84" s="2" t="s">
        <v>211</v>
      </c>
      <c r="J84">
        <f>H84/10</f>
        <v>8</v>
      </c>
      <c r="K84" s="2" t="s">
        <v>189</v>
      </c>
    </row>
    <row r="85">
      <c r="B85" s="2" t="s">
        <v>586</v>
      </c>
      <c r="C85" s="2">
        <f>C86*1000</f>
        <v>5000000</v>
      </c>
      <c r="D85" s="2" t="s">
        <v>587</v>
      </c>
      <c r="E85" s="2" t="s">
        <v>615</v>
      </c>
    </row>
    <row r="86">
      <c r="C86" s="49">
        <v>5000.0</v>
      </c>
      <c r="D86" s="2" t="s">
        <v>464</v>
      </c>
    </row>
    <row r="87">
      <c r="B87" s="2" t="s">
        <v>588</v>
      </c>
      <c r="C87" s="2">
        <v>10000.0</v>
      </c>
      <c r="D87" s="2" t="s">
        <v>464</v>
      </c>
      <c r="G87" s="2" t="s">
        <v>589</v>
      </c>
      <c r="H87" s="2">
        <v>0.1</v>
      </c>
    </row>
    <row r="88">
      <c r="G88" s="2" t="s">
        <v>590</v>
      </c>
      <c r="H88">
        <f>C85*C90/C89/10*1/H87</f>
        <v>750</v>
      </c>
    </row>
    <row r="89">
      <c r="B89" s="2" t="s">
        <v>591</v>
      </c>
      <c r="C89" s="2">
        <v>2000.0</v>
      </c>
      <c r="D89" s="2" t="s">
        <v>592</v>
      </c>
    </row>
    <row r="90">
      <c r="B90" s="2" t="s">
        <v>593</v>
      </c>
      <c r="C90" s="2">
        <v>0.3</v>
      </c>
      <c r="E90" s="2" t="s">
        <v>594</v>
      </c>
      <c r="G90" s="2" t="s">
        <v>595</v>
      </c>
      <c r="H90" s="2" t="s">
        <v>596</v>
      </c>
      <c r="J90" s="2" t="s">
        <v>597</v>
      </c>
      <c r="K90" s="2" t="s">
        <v>598</v>
      </c>
    </row>
    <row r="92">
      <c r="A92" s="2">
        <v>1.0</v>
      </c>
      <c r="B92" s="2" t="s">
        <v>602</v>
      </c>
      <c r="C92" s="2">
        <v>0.1</v>
      </c>
      <c r="D92" s="2" t="s">
        <v>189</v>
      </c>
      <c r="E92" s="157">
        <f t="shared" ref="E92:E93" si="17">C92^3</f>
        <v>0.001</v>
      </c>
      <c r="F92" s="2" t="s">
        <v>600</v>
      </c>
      <c r="G92" s="74">
        <f t="shared" ref="G92:G94" si="18">(A92/1000)^(1/3)</f>
        <v>0.1</v>
      </c>
      <c r="H92" s="25">
        <f t="shared" ref="H92:H94" si="19">sqrt(K92)</f>
        <v>27.38612788</v>
      </c>
      <c r="I92" s="2" t="s">
        <v>601</v>
      </c>
      <c r="J92" s="2">
        <v>10.0</v>
      </c>
      <c r="K92" s="25">
        <f>C85*C90/C89/10*1/C92</f>
        <v>750</v>
      </c>
    </row>
    <row r="93">
      <c r="A93" s="2">
        <v>0.1</v>
      </c>
      <c r="B93" s="2" t="s">
        <v>603</v>
      </c>
      <c r="C93" s="2">
        <v>0.003</v>
      </c>
      <c r="D93" s="2" t="s">
        <v>189</v>
      </c>
      <c r="E93" s="157">
        <f t="shared" si="17"/>
        <v>0.000000027</v>
      </c>
      <c r="F93" s="2" t="s">
        <v>600</v>
      </c>
      <c r="G93" s="74">
        <f t="shared" si="18"/>
        <v>0.04641588834</v>
      </c>
      <c r="H93" s="25">
        <f t="shared" si="19"/>
        <v>158.113883</v>
      </c>
      <c r="I93" s="2" t="s">
        <v>601</v>
      </c>
      <c r="J93" s="2">
        <v>50.0</v>
      </c>
      <c r="K93" s="25">
        <f>C85*C90/C89/10*1/C93</f>
        <v>25000</v>
      </c>
    </row>
    <row r="94">
      <c r="A94" s="2">
        <v>1000.0</v>
      </c>
      <c r="B94" s="2" t="s">
        <v>604</v>
      </c>
      <c r="C94" s="2">
        <v>3.0</v>
      </c>
      <c r="D94" s="2" t="s">
        <v>189</v>
      </c>
      <c r="E94">
        <f>3*3*2</f>
        <v>18</v>
      </c>
      <c r="F94" s="2" t="s">
        <v>600</v>
      </c>
      <c r="G94" s="74">
        <f t="shared" si="18"/>
        <v>1</v>
      </c>
      <c r="H94" s="25">
        <f t="shared" si="19"/>
        <v>5</v>
      </c>
      <c r="I94" s="2" t="s">
        <v>601</v>
      </c>
      <c r="J94" s="2">
        <v>2.0</v>
      </c>
      <c r="K94" s="25">
        <f>C85*C90/C89/10*1/C94</f>
        <v>25</v>
      </c>
    </row>
    <row r="96">
      <c r="A96" s="2">
        <v>10000.0</v>
      </c>
      <c r="B96" s="2" t="s">
        <v>606</v>
      </c>
      <c r="C96" s="2">
        <v>5.0</v>
      </c>
      <c r="D96" s="2" t="s">
        <v>189</v>
      </c>
      <c r="E96">
        <f>5*2*2</f>
        <v>20</v>
      </c>
      <c r="F96" s="2" t="s">
        <v>600</v>
      </c>
      <c r="G96" s="74">
        <f t="shared" ref="G96:G97" si="20">(A96/1000)^(1/3)</f>
        <v>2.15443469</v>
      </c>
      <c r="H96" s="25">
        <f t="shared" ref="H96:H97" si="21">sqrt(K96)</f>
        <v>3.872983346</v>
      </c>
      <c r="I96" s="2" t="s">
        <v>601</v>
      </c>
      <c r="K96">
        <f t="shared" ref="K96:K97" si="22">C$85*C$90/C$89/10*1/C96</f>
        <v>15</v>
      </c>
    </row>
    <row r="97">
      <c r="A97" s="2">
        <v>10.0</v>
      </c>
      <c r="B97" s="2" t="s">
        <v>608</v>
      </c>
      <c r="C97" s="2">
        <v>0.5</v>
      </c>
      <c r="D97" s="2" t="s">
        <v>189</v>
      </c>
      <c r="G97" s="74">
        <f t="shared" si="20"/>
        <v>0.215443469</v>
      </c>
      <c r="H97" s="25">
        <f t="shared" si="21"/>
        <v>12.24744871</v>
      </c>
      <c r="I97" s="2" t="s">
        <v>601</v>
      </c>
      <c r="K97">
        <f t="shared" si="22"/>
        <v>150</v>
      </c>
    </row>
    <row r="99">
      <c r="A99" s="2">
        <v>1.0E-4</v>
      </c>
      <c r="B99" s="2" t="s">
        <v>630</v>
      </c>
      <c r="C99" s="96">
        <f t="shared" ref="C99:C101" si="23">G99</f>
        <v>0.004641588834</v>
      </c>
      <c r="D99" s="2" t="s">
        <v>189</v>
      </c>
      <c r="G99" s="38">
        <f t="shared" ref="G99:G107" si="24">(A99/1000)^(1/3)</f>
        <v>0.004641588834</v>
      </c>
      <c r="H99" s="25">
        <f t="shared" ref="H99:H107" si="25">sqrt(K99)</f>
        <v>127.1151453</v>
      </c>
      <c r="I99" s="2" t="s">
        <v>601</v>
      </c>
      <c r="K99" s="25">
        <f t="shared" ref="K99:K102" si="26">C$85*C$90/C$89/10*1/C99</f>
        <v>16158.26018</v>
      </c>
    </row>
    <row r="100">
      <c r="A100" s="2">
        <v>0.01</v>
      </c>
      <c r="B100" s="2" t="s">
        <v>631</v>
      </c>
      <c r="C100" s="38">
        <f t="shared" si="23"/>
        <v>0.0215443469</v>
      </c>
      <c r="D100" s="2" t="s">
        <v>189</v>
      </c>
      <c r="G100" s="38">
        <f t="shared" si="24"/>
        <v>0.0215443469</v>
      </c>
      <c r="H100" s="25">
        <f t="shared" si="25"/>
        <v>59.00162392</v>
      </c>
      <c r="I100" s="2" t="s">
        <v>601</v>
      </c>
      <c r="K100" s="25">
        <f t="shared" si="26"/>
        <v>3481.191625</v>
      </c>
    </row>
    <row r="101">
      <c r="A101" s="2">
        <v>1.0</v>
      </c>
      <c r="B101" s="2" t="s">
        <v>632</v>
      </c>
      <c r="C101" s="74">
        <f t="shared" si="23"/>
        <v>0.1</v>
      </c>
      <c r="D101" s="2" t="s">
        <v>189</v>
      </c>
      <c r="G101" s="74">
        <f t="shared" si="24"/>
        <v>0.1</v>
      </c>
      <c r="H101" s="25">
        <f t="shared" si="25"/>
        <v>27.38612788</v>
      </c>
      <c r="I101" s="2" t="s">
        <v>601</v>
      </c>
      <c r="K101" s="25">
        <f t="shared" si="26"/>
        <v>750</v>
      </c>
    </row>
    <row r="102">
      <c r="A102" s="2">
        <v>10.0</v>
      </c>
      <c r="B102" s="2" t="s">
        <v>633</v>
      </c>
      <c r="C102" s="2">
        <v>0.5</v>
      </c>
      <c r="D102" s="2" t="s">
        <v>189</v>
      </c>
      <c r="G102" s="74">
        <f t="shared" si="24"/>
        <v>0.215443469</v>
      </c>
      <c r="H102" s="25">
        <f t="shared" si="25"/>
        <v>12.24744871</v>
      </c>
      <c r="I102" s="2" t="s">
        <v>601</v>
      </c>
      <c r="K102">
        <f t="shared" si="26"/>
        <v>150</v>
      </c>
    </row>
    <row r="103">
      <c r="A103" s="2">
        <v>100.0</v>
      </c>
      <c r="B103" s="2" t="s">
        <v>637</v>
      </c>
      <c r="C103" s="2">
        <v>1.5</v>
      </c>
      <c r="D103" s="2" t="s">
        <v>189</v>
      </c>
      <c r="E103" s="67">
        <f>2*1*1</f>
        <v>2</v>
      </c>
      <c r="F103" s="2" t="s">
        <v>600</v>
      </c>
      <c r="G103" s="74">
        <f t="shared" si="24"/>
        <v>0.4641588834</v>
      </c>
      <c r="H103" s="79">
        <f t="shared" si="25"/>
        <v>7.071067812</v>
      </c>
      <c r="I103" s="2" t="s">
        <v>601</v>
      </c>
      <c r="J103" s="2">
        <v>3.0</v>
      </c>
      <c r="K103" s="25">
        <f>C85*C90/C89/10*1/C103</f>
        <v>50</v>
      </c>
    </row>
    <row r="104">
      <c r="A104" s="2">
        <v>1000.0</v>
      </c>
      <c r="B104" s="2" t="s">
        <v>643</v>
      </c>
      <c r="C104" s="2">
        <v>3.0</v>
      </c>
      <c r="D104" s="2" t="s">
        <v>189</v>
      </c>
      <c r="E104">
        <f>2.5*2*1</f>
        <v>5</v>
      </c>
      <c r="F104" s="2" t="s">
        <v>600</v>
      </c>
      <c r="G104" s="74">
        <f t="shared" si="24"/>
        <v>1</v>
      </c>
      <c r="H104" s="25">
        <f t="shared" si="25"/>
        <v>5</v>
      </c>
      <c r="I104" s="2" t="s">
        <v>601</v>
      </c>
      <c r="K104" s="25">
        <f>C85*C90/C89/10*1/C104</f>
        <v>25</v>
      </c>
    </row>
    <row r="105">
      <c r="A105" s="2">
        <v>10000.0</v>
      </c>
      <c r="B105" s="2" t="s">
        <v>653</v>
      </c>
      <c r="C105" s="2">
        <v>5.0</v>
      </c>
      <c r="D105" s="2" t="s">
        <v>189</v>
      </c>
      <c r="G105" s="74">
        <f t="shared" si="24"/>
        <v>2.15443469</v>
      </c>
      <c r="H105" s="25">
        <f t="shared" si="25"/>
        <v>3.872983346</v>
      </c>
      <c r="I105" s="2" t="s">
        <v>601</v>
      </c>
      <c r="K105" s="25">
        <f t="shared" ref="K105:K107" si="27">C$85*C$90/C$89/10*1/C105</f>
        <v>15</v>
      </c>
    </row>
    <row r="106">
      <c r="A106" s="2">
        <v>100000.0</v>
      </c>
      <c r="B106" s="2" t="s">
        <v>658</v>
      </c>
      <c r="C106" s="2">
        <v>5.0</v>
      </c>
      <c r="D106" s="2" t="s">
        <v>189</v>
      </c>
      <c r="G106" s="74">
        <f t="shared" si="24"/>
        <v>4.641588834</v>
      </c>
      <c r="H106" s="25">
        <f t="shared" si="25"/>
        <v>3.872983346</v>
      </c>
      <c r="I106" s="2" t="s">
        <v>601</v>
      </c>
      <c r="K106" s="74">
        <f t="shared" si="27"/>
        <v>15</v>
      </c>
    </row>
    <row r="107">
      <c r="A107" s="2">
        <v>1000000.0</v>
      </c>
      <c r="B107" s="2" t="s">
        <v>662</v>
      </c>
      <c r="C107" s="2">
        <v>10.0</v>
      </c>
      <c r="D107" s="2" t="s">
        <v>189</v>
      </c>
      <c r="G107" s="74">
        <f t="shared" si="24"/>
        <v>10</v>
      </c>
      <c r="H107" s="25">
        <f t="shared" si="25"/>
        <v>2.738612788</v>
      </c>
      <c r="I107" s="2" t="s">
        <v>601</v>
      </c>
      <c r="K107" s="74">
        <f t="shared" si="27"/>
        <v>7.5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0" width="6.38"/>
    <col customWidth="1" min="11" max="11" width="11.88"/>
    <col customWidth="1" min="12" max="25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84" t="s">
        <v>201</v>
      </c>
      <c r="G2" s="7" t="s">
        <v>93</v>
      </c>
      <c r="H2" s="7" t="s">
        <v>29</v>
      </c>
      <c r="I2" s="1" t="s">
        <v>196</v>
      </c>
      <c r="J2" s="124" t="s">
        <v>386</v>
      </c>
      <c r="P2" s="84" t="s">
        <v>30</v>
      </c>
      <c r="Q2" s="7" t="s">
        <v>32</v>
      </c>
      <c r="R2" s="7" t="s">
        <v>389</v>
      </c>
      <c r="S2" s="84" t="s">
        <v>201</v>
      </c>
      <c r="T2" s="7" t="s">
        <v>265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1"/>
      <c r="C3" s="1"/>
      <c r="D3" s="14" t="s">
        <v>392</v>
      </c>
      <c r="E3" s="14" t="s">
        <v>62</v>
      </c>
      <c r="F3" s="124" t="s">
        <v>68</v>
      </c>
      <c r="G3" s="14" t="s">
        <v>206</v>
      </c>
      <c r="H3" s="14" t="s">
        <v>270</v>
      </c>
      <c r="I3" s="50" t="s">
        <v>71</v>
      </c>
      <c r="J3" s="124" t="s">
        <v>395</v>
      </c>
      <c r="K3" s="14" t="s">
        <v>396</v>
      </c>
      <c r="L3" s="14" t="s">
        <v>398</v>
      </c>
      <c r="M3" s="14" t="s">
        <v>399</v>
      </c>
      <c r="N3" s="14" t="s">
        <v>400</v>
      </c>
      <c r="O3" s="14" t="s">
        <v>401</v>
      </c>
      <c r="P3" s="124" t="s">
        <v>70</v>
      </c>
      <c r="Q3" s="14" t="s">
        <v>71</v>
      </c>
      <c r="R3" s="14" t="s">
        <v>73</v>
      </c>
      <c r="S3" s="124" t="s">
        <v>271</v>
      </c>
      <c r="T3" s="14" t="s">
        <v>69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"/>
      <c r="B4" s="50" t="s">
        <v>56</v>
      </c>
      <c r="C4" s="1" t="s">
        <v>81</v>
      </c>
      <c r="D4" s="7">
        <v>0.0</v>
      </c>
      <c r="E4" s="7">
        <v>3.0</v>
      </c>
      <c r="F4" s="84">
        <v>5.0</v>
      </c>
      <c r="G4" s="7">
        <v>2.0</v>
      </c>
      <c r="H4" s="7" t="s">
        <v>84</v>
      </c>
      <c r="I4" s="7">
        <v>0.0</v>
      </c>
      <c r="J4" s="84" t="s">
        <v>253</v>
      </c>
      <c r="K4" s="7" t="s">
        <v>404</v>
      </c>
      <c r="L4" s="7" t="s">
        <v>405</v>
      </c>
      <c r="M4" s="7" t="s">
        <v>406</v>
      </c>
      <c r="N4" s="7" t="s">
        <v>406</v>
      </c>
      <c r="O4" s="7" t="s">
        <v>407</v>
      </c>
      <c r="P4" s="84">
        <v>1.0</v>
      </c>
      <c r="Q4" s="7">
        <v>0.1</v>
      </c>
      <c r="R4" s="7">
        <v>30.0</v>
      </c>
      <c r="S4" s="84">
        <v>10.0</v>
      </c>
      <c r="T4" s="7">
        <v>0.2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1"/>
      <c r="B5" s="1"/>
      <c r="C5" s="1" t="s">
        <v>101</v>
      </c>
      <c r="D5" s="7">
        <v>2.0</v>
      </c>
      <c r="E5" s="7">
        <v>4.0</v>
      </c>
      <c r="F5" s="84">
        <v>10.0</v>
      </c>
      <c r="G5" s="7">
        <v>4.0</v>
      </c>
      <c r="H5" s="7" t="s">
        <v>84</v>
      </c>
      <c r="I5" s="7">
        <v>0.0</v>
      </c>
      <c r="J5" s="84" t="s">
        <v>409</v>
      </c>
      <c r="K5" s="7" t="s">
        <v>253</v>
      </c>
      <c r="L5" s="7" t="s">
        <v>404</v>
      </c>
      <c r="M5" s="7" t="s">
        <v>410</v>
      </c>
      <c r="N5" s="7" t="s">
        <v>405</v>
      </c>
      <c r="O5" s="7" t="s">
        <v>406</v>
      </c>
      <c r="P5" s="84">
        <v>1.5</v>
      </c>
      <c r="Q5" s="7">
        <v>0.2</v>
      </c>
      <c r="R5" s="7">
        <v>40.0</v>
      </c>
      <c r="S5" s="84">
        <v>20.0</v>
      </c>
      <c r="T5" s="7">
        <v>1.0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1"/>
      <c r="B6" s="1"/>
      <c r="C6" s="1" t="s">
        <v>415</v>
      </c>
      <c r="D6" s="7">
        <v>5.0</v>
      </c>
      <c r="E6" s="7">
        <v>5.0</v>
      </c>
      <c r="F6" s="84">
        <v>20.0</v>
      </c>
      <c r="G6" s="7">
        <v>6.0</v>
      </c>
      <c r="H6" s="7" t="s">
        <v>107</v>
      </c>
      <c r="I6" s="7">
        <v>1.0</v>
      </c>
      <c r="J6" s="84" t="s">
        <v>416</v>
      </c>
      <c r="K6" s="7" t="s">
        <v>409</v>
      </c>
      <c r="L6" s="7" t="s">
        <v>253</v>
      </c>
      <c r="M6" s="7" t="s">
        <v>404</v>
      </c>
      <c r="N6" s="7" t="s">
        <v>410</v>
      </c>
      <c r="O6" s="7" t="s">
        <v>405</v>
      </c>
      <c r="P6" s="84">
        <v>3.0</v>
      </c>
      <c r="Q6" s="7">
        <v>1.0</v>
      </c>
      <c r="R6" s="7">
        <v>50.0</v>
      </c>
      <c r="S6" s="84">
        <v>40.0</v>
      </c>
      <c r="T6" s="7">
        <v>5.0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1"/>
      <c r="B7" s="1"/>
      <c r="C7" s="1" t="s">
        <v>110</v>
      </c>
      <c r="D7" s="7">
        <v>10.0</v>
      </c>
      <c r="E7" s="7">
        <v>6.0</v>
      </c>
      <c r="F7" s="84">
        <v>40.0</v>
      </c>
      <c r="G7" s="7">
        <v>10.0</v>
      </c>
      <c r="H7" s="7" t="s">
        <v>114</v>
      </c>
      <c r="I7" s="7">
        <v>2.0</v>
      </c>
      <c r="J7" s="125" t="s">
        <v>419</v>
      </c>
      <c r="K7" s="7" t="s">
        <v>420</v>
      </c>
      <c r="L7" s="19" t="s">
        <v>421</v>
      </c>
      <c r="M7" s="7" t="s">
        <v>422</v>
      </c>
      <c r="N7" s="7" t="s">
        <v>423</v>
      </c>
      <c r="O7" s="7" t="s">
        <v>405</v>
      </c>
      <c r="P7" s="84">
        <v>6.0</v>
      </c>
      <c r="Q7" s="7">
        <v>2.0</v>
      </c>
      <c r="R7" s="7">
        <v>50.0</v>
      </c>
      <c r="S7" s="84">
        <v>80.0</v>
      </c>
      <c r="T7" s="7">
        <v>50.0</v>
      </c>
      <c r="U7" s="1"/>
      <c r="V7" s="1"/>
      <c r="W7" s="126"/>
      <c r="X7" s="1"/>
      <c r="Y7" s="26"/>
      <c r="Z7" s="1"/>
      <c r="AA7" s="1"/>
      <c r="AB7" s="1"/>
      <c r="AC7" s="1"/>
      <c r="AD7" s="1"/>
      <c r="AE7" s="1"/>
    </row>
    <row r="8">
      <c r="A8" s="1"/>
      <c r="B8" s="1"/>
      <c r="C8" s="1" t="s">
        <v>425</v>
      </c>
      <c r="D8" s="7" t="s">
        <v>426</v>
      </c>
      <c r="E8" s="7">
        <v>7.0</v>
      </c>
      <c r="F8" s="84">
        <v>50.0</v>
      </c>
      <c r="G8" s="7">
        <v>12.0</v>
      </c>
      <c r="H8" s="7" t="s">
        <v>114</v>
      </c>
      <c r="I8" s="7">
        <v>5.0</v>
      </c>
      <c r="J8" s="127" t="s">
        <v>255</v>
      </c>
      <c r="K8" s="7" t="s">
        <v>427</v>
      </c>
      <c r="L8" s="19" t="s">
        <v>409</v>
      </c>
      <c r="M8" s="7" t="s">
        <v>253</v>
      </c>
      <c r="N8" s="7" t="s">
        <v>404</v>
      </c>
      <c r="O8" s="7" t="s">
        <v>410</v>
      </c>
      <c r="P8" s="84">
        <v>9.0</v>
      </c>
      <c r="Q8" s="7">
        <v>5.0</v>
      </c>
      <c r="R8" s="7">
        <v>50.0</v>
      </c>
      <c r="S8" s="84">
        <v>100.0</v>
      </c>
      <c r="T8" s="7">
        <v>100.0</v>
      </c>
      <c r="U8" s="1"/>
      <c r="V8" s="1"/>
      <c r="W8" s="1"/>
      <c r="X8" s="1"/>
      <c r="Y8" s="26"/>
      <c r="Z8" s="1"/>
      <c r="AA8" s="1"/>
      <c r="AB8" s="1"/>
      <c r="AC8" s="1"/>
      <c r="AD8" s="1"/>
      <c r="AE8" s="1"/>
    </row>
    <row r="9">
      <c r="A9" s="1"/>
      <c r="B9" s="12" t="s">
        <v>428</v>
      </c>
      <c r="C9" s="10" t="s">
        <v>429</v>
      </c>
      <c r="D9" s="128">
        <v>3.0</v>
      </c>
      <c r="E9" s="128">
        <v>6.0</v>
      </c>
      <c r="F9" s="129">
        <v>80.0</v>
      </c>
      <c r="G9" s="128">
        <v>20.0</v>
      </c>
      <c r="H9" s="128" t="s">
        <v>114</v>
      </c>
      <c r="I9" s="128">
        <v>1.0</v>
      </c>
      <c r="J9" s="130"/>
      <c r="K9" s="10"/>
      <c r="L9" s="131"/>
      <c r="M9" s="10"/>
      <c r="N9" s="10"/>
      <c r="O9" s="10"/>
      <c r="P9" s="129">
        <v>6.0</v>
      </c>
      <c r="Q9" s="128">
        <v>2.0</v>
      </c>
      <c r="R9" s="128">
        <v>20.0</v>
      </c>
      <c r="S9" s="129">
        <v>80.0</v>
      </c>
      <c r="T9" s="128">
        <v>64.0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1"/>
      <c r="B10" s="1"/>
      <c r="C10" s="1" t="s">
        <v>431</v>
      </c>
      <c r="D10" s="7">
        <v>3.0</v>
      </c>
      <c r="E10" s="7">
        <v>6.0</v>
      </c>
      <c r="F10" s="53"/>
      <c r="G10" s="1"/>
      <c r="H10" s="7" t="s">
        <v>282</v>
      </c>
      <c r="I10" s="7">
        <v>0.5</v>
      </c>
      <c r="J10" s="84" t="s">
        <v>253</v>
      </c>
      <c r="K10" s="7" t="s">
        <v>404</v>
      </c>
      <c r="L10" s="21" t="s">
        <v>405</v>
      </c>
      <c r="M10" s="7" t="s">
        <v>406</v>
      </c>
      <c r="N10" s="7" t="s">
        <v>406</v>
      </c>
      <c r="O10" s="7" t="s">
        <v>407</v>
      </c>
      <c r="P10" s="84">
        <v>6.0</v>
      </c>
      <c r="Q10" s="7">
        <v>2.0</v>
      </c>
      <c r="R10" s="7">
        <v>5.0</v>
      </c>
      <c r="S10" s="84">
        <v>200.0</v>
      </c>
      <c r="T10" s="7">
        <v>500.0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1"/>
      <c r="B11" s="1"/>
      <c r="C11" s="1" t="s">
        <v>433</v>
      </c>
      <c r="D11" s="7">
        <v>1.0</v>
      </c>
      <c r="E11" s="7">
        <v>6.0</v>
      </c>
      <c r="F11" s="84">
        <v>4.0</v>
      </c>
      <c r="G11" s="19">
        <v>1.0</v>
      </c>
      <c r="H11" s="7" t="s">
        <v>107</v>
      </c>
      <c r="I11" s="7">
        <v>0.2</v>
      </c>
      <c r="J11" s="84" t="s">
        <v>407</v>
      </c>
      <c r="K11" s="7" t="s">
        <v>407</v>
      </c>
      <c r="L11" s="21" t="s">
        <v>407</v>
      </c>
      <c r="M11" s="7" t="s">
        <v>407</v>
      </c>
      <c r="N11" s="7" t="s">
        <v>407</v>
      </c>
      <c r="O11" s="7" t="s">
        <v>407</v>
      </c>
      <c r="P11" s="84">
        <v>6.0</v>
      </c>
      <c r="Q11" s="7">
        <v>2.0</v>
      </c>
      <c r="R11" s="7">
        <v>60.0</v>
      </c>
      <c r="S11" s="84">
        <v>10.0</v>
      </c>
      <c r="T11" s="7">
        <v>6.0</v>
      </c>
      <c r="U11" s="26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1"/>
      <c r="B12" s="1"/>
      <c r="C12" s="1" t="s">
        <v>332</v>
      </c>
      <c r="D12" s="7">
        <v>5.0</v>
      </c>
      <c r="E12" s="1"/>
      <c r="F12" s="132" t="s">
        <v>435</v>
      </c>
      <c r="G12" s="133" t="s">
        <v>436</v>
      </c>
      <c r="H12" s="1"/>
      <c r="I12" s="7">
        <v>0.0</v>
      </c>
      <c r="J12" s="134"/>
      <c r="K12" s="1"/>
      <c r="L12" s="26"/>
      <c r="M12" s="1"/>
      <c r="N12" s="1"/>
      <c r="O12" s="1"/>
      <c r="P12" s="53"/>
      <c r="Q12" s="1"/>
      <c r="R12" s="7">
        <v>25.0</v>
      </c>
      <c r="S12" s="53"/>
      <c r="T12" s="1"/>
      <c r="U12" s="26"/>
      <c r="V12" s="1"/>
      <c r="W12" s="26"/>
      <c r="X12" s="1"/>
      <c r="Y12" s="26"/>
      <c r="Z12" s="1"/>
      <c r="AA12" s="1"/>
      <c r="AB12" s="1"/>
      <c r="AC12" s="1"/>
      <c r="AD12" s="1"/>
      <c r="AE12" s="1"/>
    </row>
    <row r="13">
      <c r="A13" s="1"/>
      <c r="B13" s="12" t="s">
        <v>437</v>
      </c>
      <c r="C13" s="10" t="s">
        <v>438</v>
      </c>
      <c r="D13" s="128">
        <v>5.0</v>
      </c>
      <c r="E13" s="10"/>
      <c r="F13" s="130"/>
      <c r="G13" s="135"/>
      <c r="H13" s="10"/>
      <c r="I13" s="128">
        <v>0.0</v>
      </c>
      <c r="J13" s="136"/>
      <c r="K13" s="10"/>
      <c r="L13" s="10"/>
      <c r="M13" s="10"/>
      <c r="N13" s="10"/>
      <c r="O13" s="10"/>
      <c r="P13" s="130"/>
      <c r="Q13" s="10"/>
      <c r="R13" s="128">
        <v>20.0</v>
      </c>
      <c r="S13" s="10"/>
      <c r="T13" s="10"/>
      <c r="U13" s="26"/>
      <c r="V13" s="1"/>
      <c r="W13" s="26"/>
      <c r="X13" s="1"/>
      <c r="Y13" s="1"/>
      <c r="Z13" s="1"/>
      <c r="AA13" s="1"/>
      <c r="AB13" s="1"/>
      <c r="AC13" s="1"/>
      <c r="AD13" s="1"/>
      <c r="AE13" s="1"/>
    </row>
    <row r="14">
      <c r="A14" s="1"/>
      <c r="B14" s="1"/>
      <c r="C14" s="1" t="s">
        <v>439</v>
      </c>
      <c r="D14" s="7">
        <v>1.0</v>
      </c>
      <c r="E14" s="1"/>
      <c r="F14" s="1"/>
      <c r="G14" s="26"/>
      <c r="H14" s="1"/>
      <c r="I14" s="7" t="s">
        <v>440</v>
      </c>
      <c r="J14" s="26"/>
      <c r="K14" s="1"/>
      <c r="L14" s="26"/>
      <c r="M14" s="1"/>
      <c r="N14" s="1"/>
      <c r="O14" s="1"/>
      <c r="P14" s="1"/>
      <c r="Q14" s="1"/>
      <c r="R14" s="7">
        <v>20.0</v>
      </c>
      <c r="S14" s="1"/>
      <c r="T14" s="1"/>
      <c r="U14" s="26"/>
      <c r="V14" s="1"/>
      <c r="W14" s="26"/>
      <c r="X14" s="1"/>
      <c r="Y14" s="26"/>
      <c r="Z14" s="1"/>
      <c r="AA14" s="1"/>
      <c r="AB14" s="1"/>
      <c r="AC14" s="1"/>
      <c r="AD14" s="1"/>
      <c r="AE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"/>
      <c r="B17" s="9" t="s">
        <v>81</v>
      </c>
      <c r="C17" s="10" t="s">
        <v>204</v>
      </c>
      <c r="D17" s="137">
        <v>70.0</v>
      </c>
      <c r="E17" s="10" t="s">
        <v>36</v>
      </c>
      <c r="F17" s="137">
        <f>sum(D18:D25)</f>
        <v>100</v>
      </c>
      <c r="G17" s="10" t="s">
        <v>150</v>
      </c>
      <c r="H17" s="10"/>
      <c r="I17" s="138"/>
      <c r="J17" s="9" t="s">
        <v>101</v>
      </c>
      <c r="K17" s="10" t="s">
        <v>204</v>
      </c>
      <c r="L17" s="137">
        <v>80.0</v>
      </c>
      <c r="M17" s="10" t="s">
        <v>36</v>
      </c>
      <c r="N17" s="137">
        <f>sum(L18:L25)</f>
        <v>100</v>
      </c>
      <c r="O17" s="10" t="s">
        <v>150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1"/>
      <c r="B18" s="84">
        <v>3.0</v>
      </c>
      <c r="C18" s="1" t="s">
        <v>385</v>
      </c>
      <c r="D18" s="139">
        <v>30.0</v>
      </c>
      <c r="E18" s="1" t="s">
        <v>150</v>
      </c>
      <c r="F18" s="140">
        <f t="shared" ref="F18:F25" si="1">D18/100*D$17</f>
        <v>21</v>
      </c>
      <c r="G18" s="1" t="s">
        <v>36</v>
      </c>
      <c r="H18" s="141"/>
      <c r="I18" s="142"/>
      <c r="J18" s="84">
        <v>4.0</v>
      </c>
      <c r="K18" s="1" t="s">
        <v>385</v>
      </c>
      <c r="L18" s="139">
        <v>40.0</v>
      </c>
      <c r="M18" s="1" t="s">
        <v>150</v>
      </c>
      <c r="N18" s="139">
        <f t="shared" ref="N18:N25" si="2">L18/100*L$2</f>
        <v>0</v>
      </c>
      <c r="O18" s="1" t="s">
        <v>36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1"/>
      <c r="B19" s="53"/>
      <c r="C19" s="1" t="s">
        <v>443</v>
      </c>
      <c r="D19" s="139">
        <v>4.0</v>
      </c>
      <c r="E19" s="1" t="s">
        <v>150</v>
      </c>
      <c r="F19" s="140">
        <f t="shared" si="1"/>
        <v>2.8</v>
      </c>
      <c r="G19" s="1" t="s">
        <v>36</v>
      </c>
      <c r="H19" s="121"/>
      <c r="I19" s="142"/>
      <c r="J19" s="53"/>
      <c r="K19" s="1" t="s">
        <v>443</v>
      </c>
      <c r="L19" s="139">
        <v>4.0</v>
      </c>
      <c r="M19" s="1" t="s">
        <v>150</v>
      </c>
      <c r="N19" s="139">
        <f t="shared" si="2"/>
        <v>0</v>
      </c>
      <c r="O19" s="1" t="s">
        <v>36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1"/>
      <c r="B20" s="53"/>
      <c r="C20" s="1" t="s">
        <v>444</v>
      </c>
      <c r="D20" s="139">
        <v>15.0</v>
      </c>
      <c r="E20" s="1" t="s">
        <v>150</v>
      </c>
      <c r="F20" s="140">
        <f t="shared" si="1"/>
        <v>10.5</v>
      </c>
      <c r="G20" s="1" t="s">
        <v>36</v>
      </c>
      <c r="H20" s="1"/>
      <c r="I20" s="142"/>
      <c r="J20" s="53"/>
      <c r="K20" s="1" t="s">
        <v>444</v>
      </c>
      <c r="L20" s="139">
        <v>15.0</v>
      </c>
      <c r="M20" s="1" t="s">
        <v>150</v>
      </c>
      <c r="N20" s="139">
        <f t="shared" si="2"/>
        <v>0</v>
      </c>
      <c r="O20" s="1" t="s">
        <v>36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1"/>
      <c r="B21" s="53"/>
      <c r="C21" s="1" t="s">
        <v>445</v>
      </c>
      <c r="D21" s="139">
        <v>15.0</v>
      </c>
      <c r="E21" s="1" t="s">
        <v>150</v>
      </c>
      <c r="F21" s="140">
        <f t="shared" si="1"/>
        <v>10.5</v>
      </c>
      <c r="G21" s="1" t="s">
        <v>36</v>
      </c>
      <c r="H21" s="1"/>
      <c r="I21" s="142"/>
      <c r="J21" s="53"/>
      <c r="K21" s="1" t="s">
        <v>445</v>
      </c>
      <c r="L21" s="139">
        <v>15.0</v>
      </c>
      <c r="M21" s="1" t="s">
        <v>150</v>
      </c>
      <c r="N21" s="139">
        <f t="shared" si="2"/>
        <v>0</v>
      </c>
      <c r="O21" s="1" t="s">
        <v>36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1"/>
      <c r="B22" s="143" t="s">
        <v>439</v>
      </c>
      <c r="C22" s="1" t="s">
        <v>430</v>
      </c>
      <c r="D22" s="140">
        <v>0.3</v>
      </c>
      <c r="E22" s="1" t="s">
        <v>150</v>
      </c>
      <c r="F22" s="140">
        <f t="shared" si="1"/>
        <v>0.21</v>
      </c>
      <c r="G22" s="1" t="s">
        <v>36</v>
      </c>
      <c r="H22" s="1"/>
      <c r="I22" s="142"/>
      <c r="J22" s="143" t="s">
        <v>439</v>
      </c>
      <c r="K22" s="1" t="s">
        <v>430</v>
      </c>
      <c r="L22" s="139">
        <v>1.0</v>
      </c>
      <c r="M22" s="1" t="s">
        <v>150</v>
      </c>
      <c r="N22" s="140">
        <f t="shared" si="2"/>
        <v>0</v>
      </c>
      <c r="O22" s="1" t="s">
        <v>36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"/>
      <c r="B23" s="144"/>
      <c r="C23" s="1" t="s">
        <v>138</v>
      </c>
      <c r="D23" s="139">
        <v>15.0</v>
      </c>
      <c r="E23" s="1" t="s">
        <v>150</v>
      </c>
      <c r="F23" s="140">
        <f t="shared" si="1"/>
        <v>10.5</v>
      </c>
      <c r="G23" s="1" t="s">
        <v>36</v>
      </c>
      <c r="H23" s="26"/>
      <c r="I23" s="142"/>
      <c r="J23" s="144"/>
      <c r="K23" s="1" t="s">
        <v>138</v>
      </c>
      <c r="L23" s="139">
        <v>8.0</v>
      </c>
      <c r="M23" s="1" t="s">
        <v>150</v>
      </c>
      <c r="N23" s="140">
        <f t="shared" si="2"/>
        <v>0</v>
      </c>
      <c r="O23" s="1" t="s">
        <v>36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1"/>
      <c r="B24" s="144"/>
      <c r="C24" s="1" t="s">
        <v>450</v>
      </c>
      <c r="D24" s="139">
        <v>20.0</v>
      </c>
      <c r="E24" s="1" t="s">
        <v>150</v>
      </c>
      <c r="F24" s="140">
        <f t="shared" si="1"/>
        <v>14</v>
      </c>
      <c r="G24" s="1" t="s">
        <v>36</v>
      </c>
      <c r="H24" s="26"/>
      <c r="I24" s="142"/>
      <c r="J24" s="144"/>
      <c r="K24" s="1" t="s">
        <v>450</v>
      </c>
      <c r="L24" s="139">
        <v>15.0</v>
      </c>
      <c r="M24" s="1" t="s">
        <v>150</v>
      </c>
      <c r="N24" s="140">
        <f t="shared" si="2"/>
        <v>0</v>
      </c>
      <c r="O24" s="1" t="s">
        <v>36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1"/>
      <c r="B25" s="145"/>
      <c r="C25" s="97" t="s">
        <v>109</v>
      </c>
      <c r="D25" s="146">
        <v>0.7</v>
      </c>
      <c r="E25" s="97" t="s">
        <v>150</v>
      </c>
      <c r="F25" s="140">
        <f t="shared" si="1"/>
        <v>0.49</v>
      </c>
      <c r="G25" s="97" t="s">
        <v>36</v>
      </c>
      <c r="H25" s="147"/>
      <c r="I25" s="99"/>
      <c r="J25" s="145"/>
      <c r="K25" s="97" t="s">
        <v>109</v>
      </c>
      <c r="L25" s="148">
        <v>2.0</v>
      </c>
      <c r="M25" s="97" t="s">
        <v>150</v>
      </c>
      <c r="N25" s="146">
        <f t="shared" si="2"/>
        <v>0</v>
      </c>
      <c r="O25" s="97" t="s">
        <v>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9" t="s">
        <v>104</v>
      </c>
      <c r="C26" s="10" t="s">
        <v>204</v>
      </c>
      <c r="D26" s="137">
        <v>90.0</v>
      </c>
      <c r="E26" s="10" t="s">
        <v>36</v>
      </c>
      <c r="F26" s="137">
        <f>sum(D27:D34)</f>
        <v>100</v>
      </c>
      <c r="G26" s="10" t="s">
        <v>150</v>
      </c>
      <c r="H26" s="10"/>
      <c r="I26" s="138"/>
      <c r="J26" s="9" t="s">
        <v>110</v>
      </c>
      <c r="K26" s="10" t="s">
        <v>204</v>
      </c>
      <c r="L26" s="137">
        <v>100.0</v>
      </c>
      <c r="M26" s="10" t="s">
        <v>36</v>
      </c>
      <c r="N26" s="137">
        <f>sum(L27:L34)</f>
        <v>100</v>
      </c>
      <c r="O26" s="10" t="s">
        <v>150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"/>
      <c r="B27" s="84">
        <v>5.0</v>
      </c>
      <c r="C27" s="1" t="s">
        <v>385</v>
      </c>
      <c r="D27" s="139">
        <v>50.0</v>
      </c>
      <c r="E27" s="1" t="s">
        <v>150</v>
      </c>
      <c r="F27" s="140">
        <f t="shared" ref="F27:F34" si="3">D27/100*D$11</f>
        <v>0.5</v>
      </c>
      <c r="G27" s="1" t="s">
        <v>36</v>
      </c>
      <c r="H27" s="141"/>
      <c r="I27" s="142"/>
      <c r="J27" s="84">
        <v>6.0</v>
      </c>
      <c r="K27" s="1" t="s">
        <v>385</v>
      </c>
      <c r="L27" s="139">
        <v>50.0</v>
      </c>
      <c r="M27" s="1" t="s">
        <v>150</v>
      </c>
      <c r="N27" s="140">
        <f t="shared" ref="N27:N34" si="4">L27/100*L$26</f>
        <v>50</v>
      </c>
      <c r="O27" s="1" t="s">
        <v>36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"/>
      <c r="B28" s="53"/>
      <c r="C28" s="1" t="s">
        <v>443</v>
      </c>
      <c r="D28" s="139">
        <v>4.0</v>
      </c>
      <c r="E28" s="1" t="s">
        <v>150</v>
      </c>
      <c r="F28" s="140">
        <f t="shared" si="3"/>
        <v>0.04</v>
      </c>
      <c r="G28" s="1" t="s">
        <v>36</v>
      </c>
      <c r="H28" s="121"/>
      <c r="I28" s="142"/>
      <c r="J28" s="53"/>
      <c r="K28" s="1" t="s">
        <v>443</v>
      </c>
      <c r="L28" s="139">
        <v>4.0</v>
      </c>
      <c r="M28" s="1" t="s">
        <v>150</v>
      </c>
      <c r="N28" s="140">
        <f t="shared" si="4"/>
        <v>4</v>
      </c>
      <c r="O28" s="1" t="s">
        <v>36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"/>
      <c r="B29" s="53"/>
      <c r="C29" s="1" t="s">
        <v>444</v>
      </c>
      <c r="D29" s="139">
        <v>15.0</v>
      </c>
      <c r="E29" s="1" t="s">
        <v>150</v>
      </c>
      <c r="F29" s="140">
        <f t="shared" si="3"/>
        <v>0.15</v>
      </c>
      <c r="G29" s="1" t="s">
        <v>36</v>
      </c>
      <c r="H29" s="1"/>
      <c r="I29" s="142"/>
      <c r="J29" s="53"/>
      <c r="K29" s="1" t="s">
        <v>444</v>
      </c>
      <c r="L29" s="139">
        <v>15.0</v>
      </c>
      <c r="M29" s="1" t="s">
        <v>150</v>
      </c>
      <c r="N29" s="140">
        <f t="shared" si="4"/>
        <v>15</v>
      </c>
      <c r="O29" s="1" t="s">
        <v>36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"/>
      <c r="B30" s="53"/>
      <c r="C30" s="1" t="s">
        <v>445</v>
      </c>
      <c r="D30" s="139">
        <v>15.0</v>
      </c>
      <c r="E30" s="1" t="s">
        <v>150</v>
      </c>
      <c r="F30" s="140">
        <f t="shared" si="3"/>
        <v>0.15</v>
      </c>
      <c r="G30" s="1" t="s">
        <v>36</v>
      </c>
      <c r="H30" s="1"/>
      <c r="I30" s="142"/>
      <c r="J30" s="53"/>
      <c r="K30" s="1" t="s">
        <v>445</v>
      </c>
      <c r="L30" s="139">
        <v>5.0</v>
      </c>
      <c r="M30" s="1" t="s">
        <v>150</v>
      </c>
      <c r="N30" s="140">
        <f t="shared" si="4"/>
        <v>5</v>
      </c>
      <c r="O30" s="1" t="s">
        <v>36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143" t="s">
        <v>439</v>
      </c>
      <c r="C31" s="1" t="s">
        <v>430</v>
      </c>
      <c r="D31" s="139">
        <v>1.0</v>
      </c>
      <c r="E31" s="1" t="s">
        <v>150</v>
      </c>
      <c r="F31" s="140">
        <f t="shared" si="3"/>
        <v>0.01</v>
      </c>
      <c r="G31" s="1" t="s">
        <v>36</v>
      </c>
      <c r="H31" s="1"/>
      <c r="I31" s="142"/>
      <c r="J31" s="143" t="s">
        <v>439</v>
      </c>
      <c r="K31" s="1" t="s">
        <v>430</v>
      </c>
      <c r="L31" s="139">
        <v>5.0</v>
      </c>
      <c r="M31" s="1" t="s">
        <v>150</v>
      </c>
      <c r="N31" s="140">
        <f t="shared" si="4"/>
        <v>5</v>
      </c>
      <c r="O31" s="1" t="s">
        <v>36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144"/>
      <c r="C32" s="1" t="s">
        <v>469</v>
      </c>
      <c r="D32" s="139">
        <v>1.0</v>
      </c>
      <c r="E32" s="1" t="s">
        <v>150</v>
      </c>
      <c r="F32" s="140">
        <f t="shared" si="3"/>
        <v>0.01</v>
      </c>
      <c r="G32" s="1" t="s">
        <v>36</v>
      </c>
      <c r="H32" s="26"/>
      <c r="I32" s="142"/>
      <c r="J32" s="144"/>
      <c r="K32" s="1" t="s">
        <v>469</v>
      </c>
      <c r="L32" s="139">
        <v>0.0</v>
      </c>
      <c r="M32" s="1" t="s">
        <v>150</v>
      </c>
      <c r="N32" s="140">
        <f t="shared" si="4"/>
        <v>0</v>
      </c>
      <c r="O32" s="1" t="s">
        <v>36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144"/>
      <c r="C33" s="1" t="s">
        <v>450</v>
      </c>
      <c r="D33" s="139">
        <v>10.0</v>
      </c>
      <c r="E33" s="1" t="s">
        <v>150</v>
      </c>
      <c r="F33" s="140">
        <f t="shared" si="3"/>
        <v>0.1</v>
      </c>
      <c r="G33" s="1" t="s">
        <v>36</v>
      </c>
      <c r="H33" s="26"/>
      <c r="I33" s="142"/>
      <c r="J33" s="144"/>
      <c r="K33" s="1" t="s">
        <v>470</v>
      </c>
      <c r="L33" s="139">
        <v>13.0</v>
      </c>
      <c r="M33" s="1" t="s">
        <v>150</v>
      </c>
      <c r="N33" s="140">
        <f t="shared" si="4"/>
        <v>13</v>
      </c>
      <c r="O33" s="1" t="s">
        <v>36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145"/>
      <c r="C34" s="97" t="s">
        <v>472</v>
      </c>
      <c r="D34" s="148">
        <v>4.0</v>
      </c>
      <c r="E34" s="97" t="s">
        <v>150</v>
      </c>
      <c r="F34" s="146">
        <f t="shared" si="3"/>
        <v>0.04</v>
      </c>
      <c r="G34" s="97" t="s">
        <v>36</v>
      </c>
      <c r="H34" s="147"/>
      <c r="I34" s="99"/>
      <c r="J34" s="145"/>
      <c r="K34" s="97" t="s">
        <v>472</v>
      </c>
      <c r="L34" s="148">
        <v>8.0</v>
      </c>
      <c r="M34" s="97" t="s">
        <v>150</v>
      </c>
      <c r="N34" s="140">
        <f t="shared" si="4"/>
        <v>8</v>
      </c>
      <c r="O34" s="97" t="s">
        <v>36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</sheetData>
  <mergeCells count="5">
    <mergeCell ref="J2:O2"/>
    <mergeCell ref="B22:B25"/>
    <mergeCell ref="J22:J25"/>
    <mergeCell ref="B31:B34"/>
    <mergeCell ref="J31:J34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.0"/>
    <col customWidth="1" min="5" max="5" width="8.5"/>
    <col customWidth="1" min="6" max="6" width="4.38"/>
  </cols>
  <sheetData>
    <row r="3">
      <c r="B3" s="2" t="s">
        <v>454</v>
      </c>
      <c r="C3" s="49">
        <v>2.0</v>
      </c>
      <c r="D3" s="2" t="s">
        <v>455</v>
      </c>
    </row>
    <row r="4">
      <c r="B4" s="2" t="s">
        <v>456</v>
      </c>
      <c r="C4" s="149">
        <f>F4</f>
        <v>1.205807828</v>
      </c>
      <c r="D4" s="2" t="s">
        <v>455</v>
      </c>
      <c r="E4" s="2" t="s">
        <v>459</v>
      </c>
      <c r="F4" s="74">
        <f>C3^0.27</f>
        <v>1.205807828</v>
      </c>
      <c r="G4" s="2" t="s">
        <v>455</v>
      </c>
    </row>
    <row r="7">
      <c r="B7" s="2" t="s">
        <v>461</v>
      </c>
      <c r="C7" s="150">
        <f>C3/(C4^2)</f>
        <v>1.375541818</v>
      </c>
      <c r="D7" s="2" t="s">
        <v>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7" max="7" width="4.5"/>
    <col customWidth="1" min="8" max="8" width="7.0"/>
    <col customWidth="1" min="11" max="11" width="18.0"/>
    <col customWidth="1" min="12" max="12" width="18.75"/>
    <col customWidth="1" min="13" max="13" width="76.5"/>
    <col customWidth="1" min="14" max="14" width="49.13"/>
    <col customWidth="1" min="15" max="15" width="59.63"/>
    <col customWidth="1" min="16" max="16" width="61.13"/>
    <col customWidth="1" min="17" max="17" width="56.5"/>
    <col customWidth="1" min="18" max="18" width="61.5"/>
    <col customWidth="1" min="19" max="19" width="136.0"/>
    <col customWidth="1" min="20" max="20" width="62.25"/>
    <col customWidth="1" min="21" max="21" width="27.5"/>
  </cols>
  <sheetData>
    <row r="2">
      <c r="K2" s="52" t="s">
        <v>485</v>
      </c>
      <c r="L2" s="52" t="s">
        <v>486</v>
      </c>
      <c r="M2" s="52" t="s">
        <v>487</v>
      </c>
      <c r="N2" s="52" t="s">
        <v>488</v>
      </c>
      <c r="O2" s="52" t="s">
        <v>489</v>
      </c>
      <c r="P2" s="52" t="s">
        <v>491</v>
      </c>
      <c r="Q2" s="52" t="s">
        <v>492</v>
      </c>
      <c r="R2" s="52" t="s">
        <v>493</v>
      </c>
      <c r="S2" s="52" t="s">
        <v>494</v>
      </c>
      <c r="T2" s="52"/>
      <c r="U2" s="52"/>
    </row>
    <row r="3">
      <c r="B3" s="2" t="s">
        <v>67</v>
      </c>
      <c r="C3" s="155">
        <v>2.0E8</v>
      </c>
      <c r="D3" s="2" t="s">
        <v>496</v>
      </c>
      <c r="K3" s="2">
        <v>0.2</v>
      </c>
      <c r="L3" s="2">
        <v>1.4</v>
      </c>
      <c r="M3" s="2" t="s">
        <v>497</v>
      </c>
      <c r="N3" s="2" t="s">
        <v>498</v>
      </c>
      <c r="O3" s="2" t="s">
        <v>499</v>
      </c>
      <c r="P3" s="2" t="s">
        <v>500</v>
      </c>
      <c r="Q3" s="2" t="s">
        <v>500</v>
      </c>
      <c r="R3" s="2" t="s">
        <v>500</v>
      </c>
      <c r="S3" s="2" t="s">
        <v>500</v>
      </c>
    </row>
    <row r="4">
      <c r="B4" s="2" t="s">
        <v>502</v>
      </c>
      <c r="C4" s="95">
        <f>C3/4184000</f>
        <v>47.80114723</v>
      </c>
      <c r="D4" s="2" t="s">
        <v>36</v>
      </c>
      <c r="K4" s="2">
        <v>0.5</v>
      </c>
      <c r="L4" s="2">
        <v>3.4</v>
      </c>
      <c r="M4" s="2" t="s">
        <v>504</v>
      </c>
      <c r="N4" s="2" t="s">
        <v>505</v>
      </c>
      <c r="O4" s="2" t="s">
        <v>506</v>
      </c>
      <c r="P4" s="2" t="s">
        <v>500</v>
      </c>
      <c r="Q4" s="2" t="s">
        <v>500</v>
      </c>
      <c r="R4" s="2" t="s">
        <v>500</v>
      </c>
      <c r="S4" s="2" t="s">
        <v>500</v>
      </c>
    </row>
    <row r="5">
      <c r="B5" s="2" t="s">
        <v>507</v>
      </c>
      <c r="C5" s="95">
        <f>C4^(1/3)</f>
        <v>3.629215636</v>
      </c>
      <c r="K5" s="2">
        <v>1.0</v>
      </c>
      <c r="L5" s="2">
        <v>6.9</v>
      </c>
      <c r="M5" s="2" t="s">
        <v>510</v>
      </c>
      <c r="N5" s="2" t="s">
        <v>511</v>
      </c>
      <c r="O5" s="2" t="s">
        <v>512</v>
      </c>
      <c r="P5" s="2" t="s">
        <v>513</v>
      </c>
      <c r="Q5" s="2" t="s">
        <v>514</v>
      </c>
      <c r="R5" s="2" t="s">
        <v>515</v>
      </c>
      <c r="S5" s="2" t="s">
        <v>500</v>
      </c>
    </row>
    <row r="6">
      <c r="F6" s="2"/>
      <c r="G6" s="2" t="s">
        <v>516</v>
      </c>
      <c r="I6" s="2" t="s">
        <v>352</v>
      </c>
      <c r="K6" s="2">
        <v>2.0</v>
      </c>
      <c r="L6" s="2">
        <v>13.8</v>
      </c>
      <c r="M6" s="2" t="s">
        <v>517</v>
      </c>
      <c r="N6" s="2" t="s">
        <v>518</v>
      </c>
      <c r="O6" s="2" t="s">
        <v>519</v>
      </c>
      <c r="P6" s="2" t="s">
        <v>520</v>
      </c>
      <c r="Q6" s="2" t="s">
        <v>521</v>
      </c>
      <c r="R6" s="2" t="s">
        <v>522</v>
      </c>
      <c r="S6" s="2" t="s">
        <v>523</v>
      </c>
    </row>
    <row r="7">
      <c r="B7" s="2" t="s">
        <v>524</v>
      </c>
      <c r="C7" s="25">
        <f t="shared" ref="C7:C9" si="1">I7*$C$5</f>
        <v>72.58431271</v>
      </c>
      <c r="D7" s="2" t="s">
        <v>189</v>
      </c>
      <c r="E7" s="2" t="s">
        <v>525</v>
      </c>
      <c r="G7" s="2">
        <v>7.0</v>
      </c>
      <c r="H7" s="2" t="s">
        <v>526</v>
      </c>
      <c r="I7" s="2">
        <v>20.0</v>
      </c>
      <c r="J7" s="2" t="s">
        <v>189</v>
      </c>
      <c r="K7" s="2">
        <v>3.0</v>
      </c>
      <c r="L7" s="2">
        <v>20.7</v>
      </c>
      <c r="M7" s="2" t="s">
        <v>527</v>
      </c>
      <c r="N7" s="2" t="s">
        <v>528</v>
      </c>
      <c r="O7" s="2" t="s">
        <v>529</v>
      </c>
      <c r="P7" s="2" t="s">
        <v>530</v>
      </c>
      <c r="Q7" s="2" t="s">
        <v>531</v>
      </c>
      <c r="R7" s="2" t="s">
        <v>532</v>
      </c>
      <c r="S7" s="2" t="s">
        <v>523</v>
      </c>
    </row>
    <row r="8">
      <c r="B8" s="2" t="s">
        <v>533</v>
      </c>
      <c r="C8" s="25">
        <f t="shared" si="1"/>
        <v>29.03372509</v>
      </c>
      <c r="D8" s="2" t="s">
        <v>189</v>
      </c>
      <c r="E8" s="2" t="s">
        <v>534</v>
      </c>
      <c r="G8" s="2">
        <v>35.0</v>
      </c>
      <c r="H8" s="2" t="s">
        <v>526</v>
      </c>
      <c r="I8" s="2">
        <v>8.0</v>
      </c>
      <c r="J8" s="2" t="s">
        <v>189</v>
      </c>
      <c r="K8" s="2">
        <v>5.0</v>
      </c>
      <c r="L8" s="2">
        <v>34.5</v>
      </c>
      <c r="M8" s="2" t="s">
        <v>535</v>
      </c>
      <c r="N8" s="2" t="s">
        <v>536</v>
      </c>
      <c r="O8" s="2" t="s">
        <v>537</v>
      </c>
      <c r="P8" s="2" t="s">
        <v>538</v>
      </c>
      <c r="Q8" s="2" t="s">
        <v>539</v>
      </c>
      <c r="R8" s="2" t="s">
        <v>540</v>
      </c>
      <c r="S8" s="2" t="s">
        <v>523</v>
      </c>
    </row>
    <row r="9">
      <c r="B9" s="2" t="s">
        <v>541</v>
      </c>
      <c r="C9" s="25">
        <f t="shared" si="1"/>
        <v>18.14607818</v>
      </c>
      <c r="D9" s="2" t="s">
        <v>189</v>
      </c>
      <c r="E9" s="2" t="s">
        <v>542</v>
      </c>
      <c r="G9" s="2">
        <v>70.0</v>
      </c>
      <c r="H9" s="2" t="s">
        <v>526</v>
      </c>
      <c r="I9" s="2">
        <v>5.0</v>
      </c>
      <c r="J9" s="2" t="s">
        <v>189</v>
      </c>
      <c r="K9" s="2">
        <v>10.0</v>
      </c>
      <c r="L9" s="2">
        <v>68.9</v>
      </c>
      <c r="M9" s="2" t="s">
        <v>543</v>
      </c>
      <c r="N9" s="2" t="s">
        <v>544</v>
      </c>
      <c r="O9" s="2" t="s">
        <v>545</v>
      </c>
      <c r="P9" s="2" t="s">
        <v>546</v>
      </c>
      <c r="Q9" s="2" t="s">
        <v>547</v>
      </c>
      <c r="R9" s="2" t="s">
        <v>548</v>
      </c>
      <c r="S9" s="2" t="s">
        <v>549</v>
      </c>
    </row>
    <row r="10">
      <c r="K10" s="2">
        <v>20.0</v>
      </c>
      <c r="L10" s="2">
        <v>137.9</v>
      </c>
      <c r="M10" s="2" t="s">
        <v>550</v>
      </c>
      <c r="N10" s="2" t="s">
        <v>551</v>
      </c>
      <c r="O10" s="2" t="s">
        <v>552</v>
      </c>
      <c r="P10" s="2" t="s">
        <v>553</v>
      </c>
      <c r="Q10" s="2" t="s">
        <v>554</v>
      </c>
      <c r="R10" s="2" t="s">
        <v>555</v>
      </c>
      <c r="S10" s="2" t="s">
        <v>556</v>
      </c>
      <c r="T10" s="2"/>
      <c r="U10" s="2"/>
    </row>
    <row r="11">
      <c r="K11" s="2">
        <v>50.0</v>
      </c>
      <c r="L11" s="2">
        <v>344.7</v>
      </c>
      <c r="M11" s="2" t="s">
        <v>557</v>
      </c>
      <c r="N11" s="2" t="s">
        <v>558</v>
      </c>
      <c r="O11" s="2" t="s">
        <v>559</v>
      </c>
      <c r="P11" s="2" t="s">
        <v>560</v>
      </c>
      <c r="Q11" s="2" t="s">
        <v>561</v>
      </c>
      <c r="R11" s="2" t="s">
        <v>563</v>
      </c>
      <c r="S11" s="2" t="s">
        <v>564</v>
      </c>
      <c r="T11" s="2"/>
      <c r="U11" s="2"/>
    </row>
    <row r="12">
      <c r="K12" s="2">
        <v>100.0</v>
      </c>
      <c r="L12" s="2">
        <v>689.5</v>
      </c>
      <c r="M12" s="2" t="s">
        <v>565</v>
      </c>
      <c r="N12" s="2" t="s">
        <v>566</v>
      </c>
      <c r="O12" s="2" t="s">
        <v>567</v>
      </c>
      <c r="P12" s="2" t="s">
        <v>568</v>
      </c>
      <c r="Q12" s="2" t="s">
        <v>569</v>
      </c>
      <c r="R12" s="2" t="s">
        <v>570</v>
      </c>
      <c r="S12" s="2" t="s">
        <v>571</v>
      </c>
      <c r="T12" s="2"/>
      <c r="U12" s="2"/>
    </row>
    <row r="13">
      <c r="K13" s="2">
        <v>1000.0</v>
      </c>
      <c r="L13" s="2">
        <v>6894.8</v>
      </c>
      <c r="M13" s="2" t="s">
        <v>573</v>
      </c>
      <c r="N13" s="2" t="s">
        <v>575</v>
      </c>
      <c r="O13" s="2" t="s">
        <v>576</v>
      </c>
      <c r="P13" s="2" t="s">
        <v>577</v>
      </c>
      <c r="Q13" s="2" t="s">
        <v>578</v>
      </c>
      <c r="R13" s="2" t="s">
        <v>580</v>
      </c>
      <c r="S13" s="2" t="s">
        <v>582</v>
      </c>
      <c r="T13" s="2"/>
      <c r="U1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4.25"/>
  </cols>
  <sheetData>
    <row r="2">
      <c r="D2" s="2" t="s">
        <v>609</v>
      </c>
    </row>
    <row r="3">
      <c r="C3" s="158">
        <f>sum(C5:C16)</f>
        <v>95</v>
      </c>
      <c r="D3" s="2">
        <v>400.0</v>
      </c>
    </row>
    <row r="5">
      <c r="B5" s="159" t="s">
        <v>133</v>
      </c>
      <c r="C5" s="160">
        <v>15.0</v>
      </c>
      <c r="D5" s="159">
        <f t="shared" ref="D5:D16" si="1">$D$3*C5/100</f>
        <v>60</v>
      </c>
      <c r="E5" s="161" t="s">
        <v>610</v>
      </c>
    </row>
    <row r="6">
      <c r="B6" s="159" t="s">
        <v>611</v>
      </c>
      <c r="C6" s="160">
        <v>25.0</v>
      </c>
      <c r="D6" s="159">
        <f t="shared" si="1"/>
        <v>100</v>
      </c>
      <c r="E6" s="161" t="s">
        <v>612</v>
      </c>
    </row>
    <row r="7">
      <c r="B7" s="159" t="s">
        <v>213</v>
      </c>
      <c r="C7" s="160">
        <v>25.0</v>
      </c>
      <c r="D7" s="159">
        <f t="shared" si="1"/>
        <v>100</v>
      </c>
      <c r="E7" s="161" t="s">
        <v>613</v>
      </c>
    </row>
    <row r="8">
      <c r="B8" s="159" t="s">
        <v>471</v>
      </c>
      <c r="C8" s="160">
        <v>10.0</v>
      </c>
      <c r="D8" s="159">
        <f t="shared" si="1"/>
        <v>40</v>
      </c>
      <c r="E8" s="161" t="s">
        <v>614</v>
      </c>
    </row>
    <row r="9">
      <c r="B9" s="159" t="s">
        <v>71</v>
      </c>
      <c r="C9" s="160">
        <v>3.0</v>
      </c>
      <c r="D9" s="159">
        <f t="shared" si="1"/>
        <v>12</v>
      </c>
      <c r="E9" s="161" t="s">
        <v>616</v>
      </c>
    </row>
    <row r="10">
      <c r="B10" s="159" t="s">
        <v>617</v>
      </c>
      <c r="C10" s="160">
        <v>3.0</v>
      </c>
      <c r="D10" s="159">
        <f t="shared" si="1"/>
        <v>12</v>
      </c>
      <c r="E10" s="161" t="s">
        <v>618</v>
      </c>
    </row>
    <row r="11">
      <c r="B11" s="159" t="s">
        <v>619</v>
      </c>
      <c r="C11" s="160">
        <v>1.0</v>
      </c>
      <c r="D11" s="159">
        <f t="shared" si="1"/>
        <v>4</v>
      </c>
      <c r="E11" s="161" t="s">
        <v>620</v>
      </c>
    </row>
    <row r="12">
      <c r="B12" s="159" t="s">
        <v>621</v>
      </c>
      <c r="C12" s="160">
        <v>5.0</v>
      </c>
      <c r="D12" s="159">
        <f t="shared" si="1"/>
        <v>20</v>
      </c>
      <c r="E12" s="161" t="s">
        <v>622</v>
      </c>
    </row>
    <row r="13">
      <c r="B13" s="159" t="s">
        <v>623</v>
      </c>
      <c r="C13" s="160">
        <v>3.0</v>
      </c>
      <c r="D13" s="159">
        <f t="shared" si="1"/>
        <v>12</v>
      </c>
      <c r="E13" s="161" t="s">
        <v>624</v>
      </c>
    </row>
    <row r="14">
      <c r="B14" s="159" t="s">
        <v>387</v>
      </c>
      <c r="C14" s="160">
        <v>3.0</v>
      </c>
      <c r="D14" s="159">
        <f t="shared" si="1"/>
        <v>12</v>
      </c>
      <c r="E14" s="161" t="s">
        <v>625</v>
      </c>
    </row>
    <row r="15">
      <c r="B15" s="159" t="s">
        <v>626</v>
      </c>
      <c r="C15" s="160">
        <v>1.0</v>
      </c>
      <c r="D15" s="159">
        <f t="shared" si="1"/>
        <v>4</v>
      </c>
      <c r="E15" s="161" t="s">
        <v>627</v>
      </c>
    </row>
    <row r="16">
      <c r="B16" s="159" t="s">
        <v>628</v>
      </c>
      <c r="C16" s="160">
        <v>1.0</v>
      </c>
      <c r="D16" s="159">
        <f t="shared" si="1"/>
        <v>4</v>
      </c>
      <c r="E16" s="161" t="s">
        <v>629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63"/>
  </cols>
  <sheetData>
    <row r="2">
      <c r="B2" s="2" t="s">
        <v>634</v>
      </c>
      <c r="C2" s="149">
        <v>8.0</v>
      </c>
      <c r="D2" s="2" t="s">
        <v>635</v>
      </c>
    </row>
    <row r="3">
      <c r="B3" s="2" t="s">
        <v>636</v>
      </c>
      <c r="C3" s="49">
        <v>1.0</v>
      </c>
      <c r="D3" s="2" t="s">
        <v>189</v>
      </c>
      <c r="E3" s="2" t="s">
        <v>638</v>
      </c>
    </row>
    <row r="4">
      <c r="B4" s="2" t="s">
        <v>639</v>
      </c>
      <c r="C4" s="2">
        <v>2.0</v>
      </c>
      <c r="D4" s="2" t="s">
        <v>640</v>
      </c>
      <c r="E4" s="2" t="s">
        <v>641</v>
      </c>
    </row>
    <row r="6">
      <c r="B6" s="2" t="s">
        <v>642</v>
      </c>
      <c r="C6">
        <f>C3 * C4*C2^2 / (8 * PI() *10^-7) * 10^-6</f>
        <v>50.92958179</v>
      </c>
      <c r="D6" s="2" t="s">
        <v>644</v>
      </c>
      <c r="E6" s="2" t="s">
        <v>645</v>
      </c>
      <c r="G6" s="2" t="s">
        <v>646</v>
      </c>
    </row>
    <row r="7">
      <c r="B7" s="2" t="s">
        <v>647</v>
      </c>
      <c r="C7" s="38">
        <f>C6*10^6/C10</f>
        <v>0.08488263632</v>
      </c>
      <c r="D7" s="2" t="s">
        <v>648</v>
      </c>
      <c r="G7" s="2" t="s">
        <v>649</v>
      </c>
    </row>
    <row r="8">
      <c r="C8" s="74">
        <f>C7*57.2958</f>
        <v>4.863418554</v>
      </c>
      <c r="D8" s="2" t="s">
        <v>650</v>
      </c>
    </row>
    <row r="9">
      <c r="J9" s="2" t="s">
        <v>651</v>
      </c>
    </row>
    <row r="10">
      <c r="B10" s="2" t="s">
        <v>652</v>
      </c>
      <c r="C10">
        <f>C11*C12*C13</f>
        <v>600000000</v>
      </c>
      <c r="D10" s="2" t="s">
        <v>654</v>
      </c>
    </row>
    <row r="11">
      <c r="B11" s="2" t="s">
        <v>189</v>
      </c>
      <c r="C11" s="49">
        <v>10000.0</v>
      </c>
      <c r="D11" s="2" t="s">
        <v>36</v>
      </c>
      <c r="E11" s="2" t="s">
        <v>655</v>
      </c>
    </row>
    <row r="12">
      <c r="B12" s="2" t="s">
        <v>636</v>
      </c>
      <c r="C12" s="49">
        <v>30.0</v>
      </c>
      <c r="D12" s="2" t="s">
        <v>189</v>
      </c>
    </row>
    <row r="13">
      <c r="B13" s="2" t="s">
        <v>656</v>
      </c>
      <c r="C13" s="49">
        <v>2000.0</v>
      </c>
      <c r="D13" s="2" t="s">
        <v>201</v>
      </c>
    </row>
    <row r="15">
      <c r="B15" s="2" t="s">
        <v>657</v>
      </c>
      <c r="C15" s="2">
        <f>2.88*10^7</f>
        <v>28800000</v>
      </c>
      <c r="D15" s="2" t="s">
        <v>659</v>
      </c>
      <c r="E15" s="2" t="s">
        <v>660</v>
      </c>
    </row>
    <row r="16">
      <c r="B16" s="2" t="s">
        <v>661</v>
      </c>
      <c r="C16" s="2">
        <v>0.087</v>
      </c>
      <c r="D16" s="2" t="s">
        <v>648</v>
      </c>
    </row>
    <row r="17">
      <c r="C17" s="74">
        <f>C16*57.2958</f>
        <v>4.9847346</v>
      </c>
      <c r="D17" s="2" t="s">
        <v>663</v>
      </c>
    </row>
    <row r="18">
      <c r="B18" s="2" t="s">
        <v>664</v>
      </c>
      <c r="C18" s="38">
        <f>C10*C16/C15</f>
        <v>1.8125</v>
      </c>
      <c r="D18" s="2" t="s">
        <v>665</v>
      </c>
    </row>
    <row r="19">
      <c r="C19" s="74">
        <f>C18*57.2958</f>
        <v>103.8486375</v>
      </c>
      <c r="D19" s="2" t="s">
        <v>663</v>
      </c>
    </row>
    <row r="21">
      <c r="B21" s="2" t="s">
        <v>120</v>
      </c>
      <c r="C21" s="74">
        <f>C10*C16^2 * 10^-6</f>
        <v>4.5414</v>
      </c>
      <c r="D21" s="2" t="s">
        <v>38</v>
      </c>
      <c r="E21" s="2" t="s">
        <v>666</v>
      </c>
      <c r="G21" s="2" t="s">
        <v>667</v>
      </c>
    </row>
    <row r="22">
      <c r="B22" s="2" t="s">
        <v>378</v>
      </c>
      <c r="C22">
        <f>0.5*C11*C13^2 *10^-9</f>
        <v>20</v>
      </c>
      <c r="D22" s="2" t="s">
        <v>668</v>
      </c>
      <c r="E22" s="2" t="s">
        <v>669</v>
      </c>
      <c r="G22" s="2" t="s">
        <v>670</v>
      </c>
    </row>
    <row r="23">
      <c r="J23" s="2" t="s">
        <v>671</v>
      </c>
      <c r="K23" s="2">
        <v>45.0</v>
      </c>
      <c r="L23" s="2" t="s">
        <v>644</v>
      </c>
    </row>
    <row r="24">
      <c r="J24" s="2" t="s">
        <v>174</v>
      </c>
      <c r="K24" s="25">
        <f>K23* 10^6 / C3</f>
        <v>45000000</v>
      </c>
      <c r="L24" s="2" t="s">
        <v>483</v>
      </c>
      <c r="M24" s="2" t="s">
        <v>672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6.13"/>
    <col customWidth="1" min="5" max="5" width="7.88"/>
    <col customWidth="1" min="11" max="11" width="7.25"/>
  </cols>
  <sheetData>
    <row r="1">
      <c r="K1" s="2">
        <v>1.0</v>
      </c>
      <c r="L1" s="2" t="s">
        <v>93</v>
      </c>
    </row>
    <row r="2">
      <c r="K2" s="2">
        <v>63.0</v>
      </c>
      <c r="L2" s="2" t="s">
        <v>291</v>
      </c>
    </row>
    <row r="3">
      <c r="E3" s="2" t="s">
        <v>673</v>
      </c>
      <c r="F3">
        <f>3*10^8</f>
        <v>300000000</v>
      </c>
      <c r="G3" s="2" t="s">
        <v>201</v>
      </c>
      <c r="K3" s="2">
        <v>0.181</v>
      </c>
      <c r="L3" s="2" t="s">
        <v>375</v>
      </c>
    </row>
    <row r="4">
      <c r="K4" s="2">
        <v>990.0</v>
      </c>
      <c r="L4" s="2" t="s">
        <v>321</v>
      </c>
    </row>
    <row r="5">
      <c r="B5" s="2" t="s">
        <v>674</v>
      </c>
      <c r="C5" s="2">
        <v>1.0</v>
      </c>
      <c r="D5" s="2" t="s">
        <v>121</v>
      </c>
      <c r="H5" s="2" t="s">
        <v>675</v>
      </c>
      <c r="M5">
        <f>1361*(1/0.05)^2</f>
        <v>544400</v>
      </c>
      <c r="N5" s="2" t="s">
        <v>676</v>
      </c>
      <c r="O5" s="2" t="s">
        <v>677</v>
      </c>
    </row>
    <row r="6">
      <c r="B6" s="2" t="s">
        <v>678</v>
      </c>
      <c r="C6" s="2">
        <v>99.9</v>
      </c>
      <c r="D6" s="2" t="s">
        <v>150</v>
      </c>
      <c r="F6">
        <f>C6*10^-2</f>
        <v>0.999</v>
      </c>
      <c r="K6" s="2">
        <v>2.0</v>
      </c>
      <c r="L6" s="2" t="s">
        <v>93</v>
      </c>
      <c r="M6">
        <f>M5*10^-6</f>
        <v>0.5444</v>
      </c>
      <c r="N6" s="2" t="s">
        <v>679</v>
      </c>
    </row>
    <row r="7">
      <c r="B7" s="2" t="s">
        <v>680</v>
      </c>
      <c r="C7">
        <f>1/((100-C6) * 10^-2)</f>
        <v>1000</v>
      </c>
      <c r="D7" s="2" t="s">
        <v>121</v>
      </c>
      <c r="H7" s="2" t="s">
        <v>681</v>
      </c>
      <c r="K7" s="2">
        <v>45.0</v>
      </c>
      <c r="L7" s="2" t="s">
        <v>291</v>
      </c>
    </row>
    <row r="8">
      <c r="K8" s="2">
        <v>0.259</v>
      </c>
      <c r="L8" s="2" t="s">
        <v>375</v>
      </c>
      <c r="M8">
        <f>C22*10^15 / M5</f>
        <v>1836884644</v>
      </c>
      <c r="N8" s="2" t="s">
        <v>640</v>
      </c>
      <c r="O8" s="2" t="s">
        <v>682</v>
      </c>
    </row>
    <row r="9">
      <c r="H9" s="2" t="s">
        <v>683</v>
      </c>
      <c r="K9" s="2">
        <v>1000.0</v>
      </c>
      <c r="L9" s="2" t="s">
        <v>321</v>
      </c>
      <c r="M9" s="25">
        <f>M8*10^-6</f>
        <v>1836.884644</v>
      </c>
      <c r="N9" s="2" t="s">
        <v>684</v>
      </c>
    </row>
    <row r="10">
      <c r="B10" s="2" t="s">
        <v>685</v>
      </c>
      <c r="C10" s="2">
        <v>1.0</v>
      </c>
      <c r="D10" s="2" t="s">
        <v>686</v>
      </c>
      <c r="F10">
        <f>C10*10^15</f>
        <v>1E+15</v>
      </c>
      <c r="G10" s="2" t="s">
        <v>125</v>
      </c>
      <c r="M10" s="25">
        <f>sqrt(M9)</f>
        <v>42.85889224</v>
      </c>
      <c r="N10" s="2" t="s">
        <v>295</v>
      </c>
    </row>
    <row r="11">
      <c r="B11" s="2" t="s">
        <v>95</v>
      </c>
      <c r="C11" s="74">
        <f>F11*10^-6</f>
        <v>6.663333333</v>
      </c>
      <c r="D11" s="87" t="s">
        <v>181</v>
      </c>
      <c r="F11">
        <f>  (1+F6)*F10 / F3</f>
        <v>6663333.333</v>
      </c>
      <c r="G11" s="2" t="s">
        <v>483</v>
      </c>
      <c r="H11" s="2" t="s">
        <v>687</v>
      </c>
      <c r="K11" s="2">
        <v>3.0</v>
      </c>
      <c r="L11" s="2" t="s">
        <v>93</v>
      </c>
    </row>
    <row r="12">
      <c r="K12" s="2">
        <v>37.0</v>
      </c>
      <c r="L12" s="2" t="s">
        <v>291</v>
      </c>
      <c r="M12" s="2">
        <v>1064.0</v>
      </c>
      <c r="N12" s="2" t="s">
        <v>689</v>
      </c>
      <c r="O12" s="2" t="s">
        <v>690</v>
      </c>
    </row>
    <row r="13">
      <c r="B13" s="2" t="s">
        <v>692</v>
      </c>
      <c r="C13" s="2">
        <v>500.0</v>
      </c>
      <c r="D13" s="2" t="s">
        <v>90</v>
      </c>
      <c r="F13">
        <f>C13*10^3</f>
        <v>500000</v>
      </c>
      <c r="G13" s="2" t="s">
        <v>36</v>
      </c>
      <c r="H13" s="2" t="s">
        <v>698</v>
      </c>
      <c r="K13" s="2">
        <v>0.32</v>
      </c>
      <c r="L13" s="2" t="s">
        <v>375</v>
      </c>
      <c r="M13">
        <f>M12*10^-9</f>
        <v>0.000001064</v>
      </c>
      <c r="N13" s="2" t="s">
        <v>189</v>
      </c>
      <c r="O13" s="2" t="s">
        <v>702</v>
      </c>
    </row>
    <row r="14">
      <c r="B14" s="2" t="s">
        <v>100</v>
      </c>
      <c r="C14" s="38">
        <f>F11/F13</f>
        <v>13.32666667</v>
      </c>
      <c r="D14" s="2" t="s">
        <v>211</v>
      </c>
      <c r="F14" s="162">
        <f>C14/9.8</f>
        <v>1.359863946</v>
      </c>
      <c r="G14" s="2" t="s">
        <v>93</v>
      </c>
      <c r="K14" s="2">
        <v>1000.0</v>
      </c>
      <c r="L14" s="2" t="s">
        <v>321</v>
      </c>
      <c r="M14">
        <f>M12*10^-12</f>
        <v>0.000000001064</v>
      </c>
      <c r="N14" s="2" t="s">
        <v>295</v>
      </c>
      <c r="O14" s="2" t="s">
        <v>707</v>
      </c>
    </row>
    <row r="15">
      <c r="H15" s="2" t="s">
        <v>708</v>
      </c>
      <c r="O15" s="2" t="s">
        <v>709</v>
      </c>
    </row>
    <row r="16">
      <c r="B16" s="2" t="s">
        <v>25</v>
      </c>
      <c r="C16" s="2">
        <v>400.0</v>
      </c>
      <c r="D16" s="2" t="s">
        <v>291</v>
      </c>
      <c r="O16" s="2" t="s">
        <v>711</v>
      </c>
    </row>
    <row r="17">
      <c r="B17" s="2" t="s">
        <v>287</v>
      </c>
      <c r="C17" s="96">
        <f>C14*C16*86400/F3</f>
        <v>1.535232</v>
      </c>
      <c r="D17" s="2" t="s">
        <v>375</v>
      </c>
      <c r="H17" s="2" t="s">
        <v>712</v>
      </c>
      <c r="O17" s="2" t="s">
        <v>713</v>
      </c>
    </row>
    <row r="18">
      <c r="B18" s="2" t="s">
        <v>352</v>
      </c>
      <c r="C18" s="25">
        <f>E18/(1.496*10^11)</f>
        <v>53199.48321</v>
      </c>
      <c r="D18" s="2" t="s">
        <v>321</v>
      </c>
      <c r="E18">
        <f>1/2 *C14  * (C16*86400)^2</f>
        <v>7.95864E+15</v>
      </c>
      <c r="F18" s="2" t="s">
        <v>189</v>
      </c>
      <c r="G18" s="38">
        <f>C18*1.58125*10^-5</f>
        <v>0.8412168282</v>
      </c>
      <c r="H18" s="2" t="s">
        <v>719</v>
      </c>
    </row>
    <row r="19">
      <c r="B19" s="2" t="s">
        <v>720</v>
      </c>
      <c r="C19">
        <f>C16*C14*86400</f>
        <v>460569600</v>
      </c>
      <c r="D19" s="2" t="s">
        <v>201</v>
      </c>
      <c r="E19" s="74">
        <f>C18*1.5813*10^-5</f>
        <v>0.841243428</v>
      </c>
      <c r="F19" s="2" t="s">
        <v>719</v>
      </c>
    </row>
    <row r="20">
      <c r="B20" s="2" t="s">
        <v>656</v>
      </c>
      <c r="C20" s="38">
        <f>E20/F3</f>
        <v>0.8379196974</v>
      </c>
      <c r="D20" s="2" t="s">
        <v>375</v>
      </c>
      <c r="E20">
        <f>C19 / sqrt(1+(C19/F3)^2)</f>
        <v>251375909.2</v>
      </c>
      <c r="F20" s="2" t="s">
        <v>201</v>
      </c>
      <c r="J20" s="2" t="s">
        <v>727</v>
      </c>
    </row>
    <row r="21">
      <c r="K21">
        <f>300*0.7</f>
        <v>210</v>
      </c>
    </row>
    <row r="22">
      <c r="A22" s="2" t="s">
        <v>732</v>
      </c>
      <c r="B22" s="2" t="s">
        <v>71</v>
      </c>
      <c r="C22" s="67">
        <v>1.0</v>
      </c>
      <c r="D22" s="2" t="s">
        <v>686</v>
      </c>
      <c r="E22">
        <f>C22*10^15</f>
        <v>1E+15</v>
      </c>
      <c r="F22" s="2" t="s">
        <v>125</v>
      </c>
      <c r="H22" s="163">
        <f>E22/20000</f>
        <v>50000000000</v>
      </c>
      <c r="I22" s="2" t="s">
        <v>36</v>
      </c>
    </row>
    <row r="23">
      <c r="B23" s="2" t="s">
        <v>733</v>
      </c>
      <c r="C23" s="67">
        <v>20.0</v>
      </c>
      <c r="D23" s="2" t="s">
        <v>295</v>
      </c>
      <c r="H23" s="95">
        <f>H22*10^-9</f>
        <v>50</v>
      </c>
      <c r="I23" s="2" t="s">
        <v>735</v>
      </c>
      <c r="J23" s="25"/>
      <c r="L23">
        <f>60000000/20000</f>
        <v>3000</v>
      </c>
      <c r="N23">
        <f>1000000000000 / 100000000</f>
        <v>10000</v>
      </c>
    </row>
    <row r="25">
      <c r="B25" s="2" t="s">
        <v>736</v>
      </c>
      <c r="C25" s="2">
        <v>1.0</v>
      </c>
      <c r="D25" s="2" t="s">
        <v>737</v>
      </c>
      <c r="E25">
        <f>C25*10^3</f>
        <v>1000</v>
      </c>
      <c r="F25" s="2" t="s">
        <v>189</v>
      </c>
      <c r="J25" s="49"/>
      <c r="O25" s="25"/>
      <c r="P25" s="25"/>
      <c r="Q25" s="25"/>
      <c r="R25" s="25"/>
      <c r="S25" s="25"/>
      <c r="T25" s="25"/>
      <c r="U25" s="25"/>
    </row>
    <row r="26">
      <c r="B26" s="2" t="s">
        <v>739</v>
      </c>
      <c r="C26" s="2">
        <v>0.5</v>
      </c>
      <c r="J26" s="25"/>
      <c r="O26" s="25"/>
      <c r="P26" s="25"/>
      <c r="Q26" s="25"/>
      <c r="R26" s="25"/>
      <c r="S26" s="25"/>
      <c r="T26" s="25"/>
      <c r="U26" s="25"/>
    </row>
    <row r="27">
      <c r="J27" s="38"/>
    </row>
    <row r="28">
      <c r="B28" s="2" t="s">
        <v>740</v>
      </c>
      <c r="C28" s="25">
        <f>C25 * C23*2 / (1.22 * M14)  / (1.496 * 10^8)</f>
        <v>205.9808942</v>
      </c>
      <c r="D28" s="2" t="s">
        <v>321</v>
      </c>
      <c r="J28" s="38"/>
      <c r="O28" s="25"/>
      <c r="P28" s="25"/>
      <c r="Q28" s="25"/>
      <c r="R28" s="25"/>
      <c r="S28" s="25"/>
      <c r="T28" s="25"/>
      <c r="U28" s="25"/>
    </row>
    <row r="29">
      <c r="B29" s="2" t="s">
        <v>744</v>
      </c>
      <c r="C29" s="25">
        <f>M9*C22 /C26</f>
        <v>3673.769287</v>
      </c>
      <c r="D29" s="2" t="s">
        <v>684</v>
      </c>
      <c r="E29">
        <f>C29 * 1000000</f>
        <v>3673769287</v>
      </c>
      <c r="F29" s="2" t="s">
        <v>640</v>
      </c>
      <c r="J29" s="25"/>
      <c r="M29" s="2" t="s">
        <v>750</v>
      </c>
      <c r="N29" s="2">
        <v>63500.0</v>
      </c>
      <c r="O29" s="67" t="s">
        <v>321</v>
      </c>
      <c r="P29" s="25"/>
      <c r="Q29" s="25"/>
      <c r="R29" s="25"/>
      <c r="S29" s="25"/>
      <c r="T29" s="25"/>
      <c r="U29" s="25"/>
    </row>
    <row r="30">
      <c r="C30" s="25">
        <f>sqrt(C29)</f>
        <v>60.61162667</v>
      </c>
      <c r="D30" s="2" t="s">
        <v>752</v>
      </c>
      <c r="N30" s="2">
        <v>60.0</v>
      </c>
      <c r="O30" s="2" t="s">
        <v>735</v>
      </c>
    </row>
    <row r="31">
      <c r="B31" s="2" t="s">
        <v>754</v>
      </c>
      <c r="C31" s="25">
        <f>E29*10^-6</f>
        <v>3673.769287</v>
      </c>
      <c r="D31" s="2" t="s">
        <v>90</v>
      </c>
      <c r="G31" s="2" t="s">
        <v>757</v>
      </c>
      <c r="N31" s="2">
        <f>1.25*0.9</f>
        <v>1.125</v>
      </c>
      <c r="O31" s="2" t="s">
        <v>686</v>
      </c>
    </row>
    <row r="32">
      <c r="B32" s="2" t="s">
        <v>761</v>
      </c>
      <c r="C32" s="25">
        <f>(C23*PI())^2</f>
        <v>3947.84176</v>
      </c>
      <c r="D32" s="2" t="s">
        <v>684</v>
      </c>
    </row>
    <row r="33">
      <c r="M33" s="2" t="s">
        <v>764</v>
      </c>
      <c r="N33" s="2">
        <v>20000.0</v>
      </c>
      <c r="O33" s="67" t="s">
        <v>321</v>
      </c>
    </row>
    <row r="34">
      <c r="N34" s="2">
        <v>6.0</v>
      </c>
      <c r="O34" s="2" t="s">
        <v>735</v>
      </c>
    </row>
    <row r="35">
      <c r="B35" s="2" t="s">
        <v>765</v>
      </c>
      <c r="C35" s="2">
        <v>65000.0</v>
      </c>
      <c r="D35" s="2" t="s">
        <v>321</v>
      </c>
      <c r="E35">
        <f>C35 * 1.496* 10^11</f>
        <v>9.724E+15</v>
      </c>
      <c r="F35" s="2" t="s">
        <v>189</v>
      </c>
      <c r="G35">
        <f>C35*1.58125*10^-5</f>
        <v>1.0278125</v>
      </c>
      <c r="H35" s="2" t="s">
        <v>719</v>
      </c>
      <c r="K35" s="25">
        <f>sqrt(2*E35 / C14) / 86400</f>
        <v>442.143213</v>
      </c>
      <c r="L35" s="2" t="s">
        <v>769</v>
      </c>
      <c r="N35" s="2">
        <v>0.1</v>
      </c>
      <c r="O35" s="2" t="s">
        <v>686</v>
      </c>
    </row>
    <row r="36">
      <c r="B36" s="2" t="s">
        <v>770</v>
      </c>
      <c r="C36" s="25">
        <f>E36*10^-3</f>
        <v>12622.52992</v>
      </c>
      <c r="D36" s="2" t="s">
        <v>295</v>
      </c>
      <c r="E36">
        <f>1.22 * M13 * E35 / E25</f>
        <v>12622529.92</v>
      </c>
      <c r="F36" s="2" t="s">
        <v>189</v>
      </c>
      <c r="I36" s="2" t="s">
        <v>782</v>
      </c>
      <c r="K36" s="74">
        <f>C14*K35*86400/F3</f>
        <v>1.696981023</v>
      </c>
      <c r="L36" s="2" t="s">
        <v>375</v>
      </c>
      <c r="N36" s="2">
        <v>800.0</v>
      </c>
      <c r="O36" s="2" t="s">
        <v>789</v>
      </c>
    </row>
    <row r="37">
      <c r="B37" s="2" t="s">
        <v>791</v>
      </c>
      <c r="C37" s="25">
        <f> PI() * (C36/2)^2</f>
        <v>125136124</v>
      </c>
      <c r="D37" s="2" t="s">
        <v>684</v>
      </c>
      <c r="E37" s="25">
        <f> PI() * (E36/2)^2</f>
        <v>125136124023258</v>
      </c>
      <c r="F37" s="2" t="s">
        <v>640</v>
      </c>
      <c r="I37" s="2" t="s">
        <v>796</v>
      </c>
      <c r="N37" s="2">
        <v>0.29</v>
      </c>
      <c r="O37" s="2" t="s">
        <v>375</v>
      </c>
    </row>
    <row r="38">
      <c r="B38" s="2"/>
      <c r="C38" s="2"/>
    </row>
    <row r="39">
      <c r="B39" s="2" t="s">
        <v>797</v>
      </c>
      <c r="C39" s="2">
        <v>0.1</v>
      </c>
      <c r="K39" s="2">
        <v>20.0</v>
      </c>
      <c r="L39" s="2" t="s">
        <v>32</v>
      </c>
    </row>
    <row r="40">
      <c r="B40" s="2" t="s">
        <v>800</v>
      </c>
      <c r="C40" s="2">
        <v>10.0</v>
      </c>
      <c r="D40" s="2" t="s">
        <v>640</v>
      </c>
      <c r="J40" s="2" t="s">
        <v>802</v>
      </c>
      <c r="K40" s="2">
        <v>1.0</v>
      </c>
      <c r="L40" s="2" t="s">
        <v>65</v>
      </c>
    </row>
    <row r="41">
      <c r="B41" s="2" t="s">
        <v>803</v>
      </c>
      <c r="C41" s="157">
        <f>E41</f>
        <v>1251361240233</v>
      </c>
      <c r="D41" s="2"/>
      <c r="E41" s="25">
        <f>C39*E37 / C40</f>
        <v>1251361240233</v>
      </c>
      <c r="H41" s="2" t="s">
        <v>806</v>
      </c>
      <c r="J41" s="2" t="s">
        <v>807</v>
      </c>
      <c r="K41">
        <f>K40/K39</f>
        <v>0.05</v>
      </c>
      <c r="L41" s="2" t="s">
        <v>36</v>
      </c>
    </row>
    <row r="42">
      <c r="B42" s="2" t="s">
        <v>810</v>
      </c>
      <c r="C42" s="38">
        <f>C22/E41 * 10^9</f>
        <v>0.0007991297539</v>
      </c>
      <c r="D42" s="2" t="s">
        <v>38</v>
      </c>
      <c r="E42" s="25">
        <f>C42*10^6</f>
        <v>799.1297539</v>
      </c>
      <c r="F42" s="2" t="s">
        <v>125</v>
      </c>
      <c r="G42" s="2" t="s">
        <v>813</v>
      </c>
    </row>
    <row r="43">
      <c r="B43" s="2"/>
      <c r="C43" s="25">
        <f>C41*K41*10^-9</f>
        <v>62.56806201</v>
      </c>
      <c r="D43" s="2" t="s">
        <v>735</v>
      </c>
      <c r="E43" s="2"/>
    </row>
    <row r="44">
      <c r="B44" s="2"/>
      <c r="D44" s="2"/>
      <c r="E44" s="166">
        <f>C41*1000</f>
        <v>1.25136E+15</v>
      </c>
      <c r="F44" s="2" t="s">
        <v>125</v>
      </c>
    </row>
    <row r="45">
      <c r="B45" s="2" t="s">
        <v>818</v>
      </c>
      <c r="C45" s="25">
        <f>M9*C22 /C26</f>
        <v>3673.769287</v>
      </c>
      <c r="D45" s="2" t="s">
        <v>684</v>
      </c>
    </row>
    <row r="46">
      <c r="C46" s="25">
        <f>sqrt(C45)</f>
        <v>60.61162667</v>
      </c>
      <c r="D46" s="2" t="s">
        <v>752</v>
      </c>
      <c r="H46" s="2"/>
      <c r="J46" s="163">
        <f>C41</f>
        <v>1251361240233</v>
      </c>
    </row>
    <row r="47">
      <c r="B47" s="2" t="s">
        <v>824</v>
      </c>
      <c r="C47" s="25">
        <f>C45</f>
        <v>3673.769287</v>
      </c>
      <c r="D47" s="2" t="s">
        <v>90</v>
      </c>
      <c r="E47" s="2" t="s">
        <v>754</v>
      </c>
      <c r="H47" s="2"/>
      <c r="K47" s="163">
        <f>J46*K41</f>
        <v>62568062012</v>
      </c>
      <c r="L47" s="2" t="s">
        <v>36</v>
      </c>
    </row>
    <row r="48">
      <c r="B48" s="2" t="s">
        <v>831</v>
      </c>
      <c r="C48" s="25">
        <f>C47</f>
        <v>3673.769287</v>
      </c>
      <c r="D48" s="2" t="s">
        <v>90</v>
      </c>
      <c r="E48" s="2" t="s">
        <v>837</v>
      </c>
      <c r="H48" s="2"/>
      <c r="K48" s="122">
        <f>K47*10^-9</f>
        <v>62.56806201</v>
      </c>
      <c r="L48" s="2" t="s">
        <v>735</v>
      </c>
    </row>
    <row r="49">
      <c r="H49" s="2" t="s">
        <v>840</v>
      </c>
      <c r="K49" s="163">
        <f>J46*100</f>
        <v>125136124023258</v>
      </c>
      <c r="L49" s="2" t="s">
        <v>125</v>
      </c>
    </row>
    <row r="50">
      <c r="B50" s="2" t="s">
        <v>841</v>
      </c>
      <c r="C50" s="2">
        <v>0.01</v>
      </c>
    </row>
    <row r="51">
      <c r="B51" s="2" t="s">
        <v>800</v>
      </c>
      <c r="C51" s="2">
        <v>100.0</v>
      </c>
      <c r="D51" s="2" t="s">
        <v>640</v>
      </c>
    </row>
    <row r="52">
      <c r="B52" s="2" t="s">
        <v>803</v>
      </c>
      <c r="C52" s="74">
        <f>E52*10^-6</f>
        <v>12513.6124</v>
      </c>
      <c r="D52" s="2" t="s">
        <v>843</v>
      </c>
      <c r="E52" s="25">
        <f>C50*E37 / C51</f>
        <v>12513612402</v>
      </c>
      <c r="H52" s="2" t="s">
        <v>845</v>
      </c>
    </row>
    <row r="53">
      <c r="B53" s="2" t="s">
        <v>810</v>
      </c>
      <c r="C53" s="25">
        <f>C22/E52 * 10^6 * 10</f>
        <v>0.0007991297539</v>
      </c>
      <c r="D53" s="2" t="s">
        <v>38</v>
      </c>
      <c r="E53" s="2" t="s">
        <v>847</v>
      </c>
    </row>
    <row r="54">
      <c r="B54" s="2"/>
      <c r="C54" s="25">
        <f>20*C53*E52 * 10^-6</f>
        <v>200</v>
      </c>
      <c r="D54" s="2" t="s">
        <v>735</v>
      </c>
      <c r="F54" s="2"/>
    </row>
    <row r="55">
      <c r="B55" s="2" t="s">
        <v>856</v>
      </c>
      <c r="C55" s="25">
        <f>M9*C22 /C26 * 10</f>
        <v>36737.69287</v>
      </c>
      <c r="D55" s="2" t="s">
        <v>684</v>
      </c>
      <c r="F55" s="2" t="s">
        <v>640</v>
      </c>
    </row>
    <row r="56">
      <c r="C56" s="25">
        <f>sqrt(C55)</f>
        <v>191.670793</v>
      </c>
      <c r="D56" s="2" t="s">
        <v>752</v>
      </c>
    </row>
    <row r="57">
      <c r="B57" s="2" t="s">
        <v>754</v>
      </c>
      <c r="C57" s="25">
        <f>C55</f>
        <v>36737.69287</v>
      </c>
      <c r="D57" s="2" t="s">
        <v>90</v>
      </c>
    </row>
    <row r="59">
      <c r="B59" s="2" t="s">
        <v>861</v>
      </c>
      <c r="C59" s="25">
        <f>M13 * E35 / ( E36 )</f>
        <v>819.6721311</v>
      </c>
      <c r="D59" s="2" t="s">
        <v>189</v>
      </c>
    </row>
    <row r="60">
      <c r="B60" s="2" t="s">
        <v>863</v>
      </c>
      <c r="C60">
        <f>C40/(C59^2)</f>
        <v>0.000014884</v>
      </c>
    </row>
    <row r="61">
      <c r="B61" s="2" t="s">
        <v>803</v>
      </c>
      <c r="C61" s="25">
        <f>E61*10^-3</f>
        <v>186252.607</v>
      </c>
      <c r="D61" s="2" t="s">
        <v>868</v>
      </c>
      <c r="E61" s="25">
        <f>C60*E37 / C40</f>
        <v>186252607</v>
      </c>
    </row>
    <row r="62">
      <c r="B62" s="2" t="s">
        <v>810</v>
      </c>
      <c r="C62" s="25">
        <f>C22/E61 * 10^6 * 20</f>
        <v>0.1073810473</v>
      </c>
      <c r="D62" s="2" t="s">
        <v>38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7.63"/>
    <col customWidth="1" min="4" max="4" width="9.13"/>
    <col customWidth="1" min="8" max="8" width="21.25"/>
    <col customWidth="1" min="9" max="10" width="7.5"/>
    <col customWidth="1" min="11" max="11" width="13.63"/>
    <col customWidth="1" min="12" max="12" width="22.5"/>
    <col customWidth="1" min="13" max="13" width="5.38"/>
    <col customWidth="1" min="14" max="14" width="6.25"/>
    <col customWidth="1" min="16" max="16" width="5.88"/>
  </cols>
  <sheetData>
    <row r="1">
      <c r="P1" s="2" t="s">
        <v>688</v>
      </c>
    </row>
    <row r="2">
      <c r="A2" s="2" t="s">
        <v>691</v>
      </c>
      <c r="C2" s="2" t="s">
        <v>693</v>
      </c>
      <c r="H2" s="2" t="s">
        <v>694</v>
      </c>
      <c r="I2" s="2">
        <v>1.8</v>
      </c>
      <c r="J2" s="2" t="s">
        <v>695</v>
      </c>
      <c r="M2" s="2" t="s">
        <v>696</v>
      </c>
      <c r="N2" s="2">
        <v>6.94</v>
      </c>
      <c r="O2" s="2" t="s">
        <v>697</v>
      </c>
      <c r="P2" s="2">
        <v>21.0</v>
      </c>
      <c r="Q2" s="2" t="s">
        <v>695</v>
      </c>
      <c r="S2" s="2" t="s">
        <v>699</v>
      </c>
      <c r="T2" s="2">
        <v>1.1</v>
      </c>
      <c r="U2" s="2" t="s">
        <v>695</v>
      </c>
      <c r="X2" s="2" t="s">
        <v>696</v>
      </c>
      <c r="Y2" s="2">
        <v>6.94</v>
      </c>
      <c r="Z2" s="2" t="s">
        <v>697</v>
      </c>
      <c r="AA2" s="2">
        <v>21.0</v>
      </c>
      <c r="AB2" s="2" t="s">
        <v>695</v>
      </c>
    </row>
    <row r="3">
      <c r="H3" s="2" t="s">
        <v>700</v>
      </c>
      <c r="I3" s="2">
        <v>2.9</v>
      </c>
      <c r="J3" s="2" t="s">
        <v>695</v>
      </c>
      <c r="M3" s="2" t="s">
        <v>701</v>
      </c>
      <c r="N3" s="2">
        <v>1.0</v>
      </c>
      <c r="O3" s="2" t="s">
        <v>697</v>
      </c>
      <c r="S3" s="2" t="s">
        <v>703</v>
      </c>
      <c r="T3" s="2">
        <v>2.9</v>
      </c>
      <c r="U3" s="2" t="s">
        <v>695</v>
      </c>
      <c r="X3" s="2" t="s">
        <v>319</v>
      </c>
      <c r="Y3" s="2">
        <v>2.014</v>
      </c>
      <c r="Z3" s="2" t="s">
        <v>697</v>
      </c>
    </row>
    <row r="4">
      <c r="B4" s="2" t="s">
        <v>704</v>
      </c>
      <c r="C4" s="2">
        <v>20.0</v>
      </c>
      <c r="D4" s="2" t="s">
        <v>695</v>
      </c>
      <c r="E4" s="2" t="s">
        <v>705</v>
      </c>
      <c r="H4" s="2" t="s">
        <v>706</v>
      </c>
      <c r="I4" s="87">
        <f>N6*N7*10^-3</f>
        <v>16.10062893</v>
      </c>
      <c r="J4" s="2" t="s">
        <v>695</v>
      </c>
      <c r="K4" s="74">
        <f>sum(I2:I4)</f>
        <v>20.80062893</v>
      </c>
      <c r="M4" s="2" t="s">
        <v>710</v>
      </c>
      <c r="N4">
        <f>N3*2</f>
        <v>2</v>
      </c>
      <c r="O4" s="2" t="s">
        <v>697</v>
      </c>
      <c r="S4" s="2" t="s">
        <v>706</v>
      </c>
      <c r="T4" s="67">
        <f>Y6*Y7*10^-3</f>
        <v>14.51865088</v>
      </c>
      <c r="U4" s="2" t="s">
        <v>695</v>
      </c>
      <c r="X4" s="2" t="s">
        <v>714</v>
      </c>
      <c r="Y4">
        <f>Y3*2</f>
        <v>4.028</v>
      </c>
      <c r="Z4" s="2" t="s">
        <v>697</v>
      </c>
    </row>
    <row r="5">
      <c r="E5" s="2" t="s">
        <v>715</v>
      </c>
      <c r="H5" s="2" t="s">
        <v>716</v>
      </c>
      <c r="I5" s="87">
        <v>2.2</v>
      </c>
      <c r="J5" s="2" t="s">
        <v>695</v>
      </c>
      <c r="K5" s="74">
        <f>sum(I2:I5)</f>
        <v>23.00062893</v>
      </c>
      <c r="M5" s="2" t="s">
        <v>212</v>
      </c>
      <c r="N5" s="2">
        <v>7.95</v>
      </c>
      <c r="O5" s="2" t="s">
        <v>697</v>
      </c>
      <c r="S5" s="2" t="s">
        <v>716</v>
      </c>
      <c r="T5" s="2">
        <v>2.0</v>
      </c>
      <c r="U5" s="2" t="s">
        <v>695</v>
      </c>
      <c r="X5" s="2" t="s">
        <v>717</v>
      </c>
      <c r="Y5">
        <f>Y2+Y3</f>
        <v>8.954</v>
      </c>
      <c r="Z5" s="2" t="s">
        <v>697</v>
      </c>
    </row>
    <row r="6">
      <c r="H6" s="2" t="s">
        <v>718</v>
      </c>
      <c r="I6" s="87">
        <f>P2*N9</f>
        <v>18.33207547</v>
      </c>
      <c r="J6" s="2" t="s">
        <v>695</v>
      </c>
      <c r="K6" s="2" t="s">
        <v>721</v>
      </c>
      <c r="M6" s="2" t="s">
        <v>212</v>
      </c>
      <c r="N6" s="74">
        <f>1000/N5</f>
        <v>125.7861635</v>
      </c>
      <c r="O6" s="2" t="s">
        <v>722</v>
      </c>
      <c r="S6" s="2" t="s">
        <v>723</v>
      </c>
      <c r="T6" s="87">
        <f>7.8*Y10</f>
        <v>1.754433773</v>
      </c>
      <c r="U6" s="2" t="s">
        <v>695</v>
      </c>
      <c r="X6" s="2" t="s">
        <v>717</v>
      </c>
      <c r="Y6" s="74">
        <f>1000/Y5</f>
        <v>111.6819299</v>
      </c>
      <c r="Z6" s="2" t="s">
        <v>722</v>
      </c>
    </row>
    <row r="7">
      <c r="B7" s="2" t="s">
        <v>724</v>
      </c>
      <c r="C7" s="2">
        <v>20.0</v>
      </c>
      <c r="D7" s="2" t="s">
        <v>695</v>
      </c>
      <c r="E7" s="2" t="s">
        <v>725</v>
      </c>
      <c r="H7" s="2" t="s">
        <v>726</v>
      </c>
      <c r="I7" s="87">
        <f>P10*N10</f>
        <v>3.672955975</v>
      </c>
      <c r="J7" s="2" t="s">
        <v>695</v>
      </c>
      <c r="K7" s="2" t="s">
        <v>728</v>
      </c>
      <c r="M7" s="2" t="s">
        <v>729</v>
      </c>
      <c r="N7" s="2">
        <v>128.0</v>
      </c>
      <c r="O7" s="2" t="s">
        <v>730</v>
      </c>
      <c r="S7" s="2" t="s">
        <v>731</v>
      </c>
      <c r="T7" s="25">
        <f>sum(T2:T6)</f>
        <v>22.27308465</v>
      </c>
      <c r="U7" s="2" t="s">
        <v>695</v>
      </c>
      <c r="V7">
        <f>T11*10^6</f>
        <v>100000000</v>
      </c>
      <c r="W7" s="2" t="s">
        <v>93</v>
      </c>
      <c r="X7" s="2" t="s">
        <v>729</v>
      </c>
      <c r="Y7" s="2">
        <v>130.0</v>
      </c>
      <c r="Z7" s="2" t="s">
        <v>730</v>
      </c>
    </row>
    <row r="8">
      <c r="H8" s="2" t="s">
        <v>731</v>
      </c>
      <c r="I8" s="74">
        <f>sum(I2:I6)</f>
        <v>41.3327044</v>
      </c>
      <c r="J8" s="2" t="s">
        <v>695</v>
      </c>
      <c r="S8" s="2" t="s">
        <v>718</v>
      </c>
      <c r="T8" s="67">
        <f>AA2*Y9</f>
        <v>16.27652446</v>
      </c>
      <c r="U8" s="2" t="s">
        <v>695</v>
      </c>
      <c r="V8" s="2">
        <v>7.95</v>
      </c>
      <c r="W8" s="2" t="s">
        <v>697</v>
      </c>
    </row>
    <row r="9">
      <c r="B9" s="2" t="s">
        <v>734</v>
      </c>
      <c r="M9" s="2" t="s">
        <v>696</v>
      </c>
      <c r="N9" s="38">
        <f>N2/N5</f>
        <v>0.8729559748</v>
      </c>
      <c r="O9" s="2" t="s">
        <v>365</v>
      </c>
      <c r="P9" s="2"/>
      <c r="S9" s="2" t="s">
        <v>731</v>
      </c>
      <c r="T9" s="25">
        <f>T7+T8</f>
        <v>38.54960911</v>
      </c>
      <c r="U9" s="2" t="s">
        <v>695</v>
      </c>
      <c r="V9" s="2">
        <v>0.5</v>
      </c>
      <c r="W9" s="2" t="s">
        <v>697</v>
      </c>
      <c r="X9" s="2" t="s">
        <v>696</v>
      </c>
      <c r="Y9" s="38">
        <f>Y2/Y5</f>
        <v>0.7750725933</v>
      </c>
      <c r="Z9" s="2" t="s">
        <v>365</v>
      </c>
    </row>
    <row r="10">
      <c r="H10" s="2" t="s">
        <v>738</v>
      </c>
      <c r="I10" s="49">
        <v>0.01</v>
      </c>
      <c r="J10" s="2" t="s">
        <v>90</v>
      </c>
      <c r="K10">
        <f>I10*10^6</f>
        <v>10000</v>
      </c>
      <c r="L10" s="2" t="s">
        <v>93</v>
      </c>
      <c r="M10" s="2" t="s">
        <v>710</v>
      </c>
      <c r="N10" s="38">
        <f>N3/N5</f>
        <v>0.1257861635</v>
      </c>
      <c r="O10" s="2" t="s">
        <v>365</v>
      </c>
      <c r="P10" s="2">
        <v>29.2</v>
      </c>
      <c r="Q10" s="2" t="s">
        <v>741</v>
      </c>
      <c r="X10" s="2" t="s">
        <v>714</v>
      </c>
      <c r="Y10" s="38">
        <f>Y3/Y5</f>
        <v>0.2249274067</v>
      </c>
      <c r="Z10" s="2" t="s">
        <v>365</v>
      </c>
      <c r="AA10" s="2">
        <v>93.0</v>
      </c>
      <c r="AB10" s="2" t="s">
        <v>730</v>
      </c>
    </row>
    <row r="11">
      <c r="B11" s="2" t="s">
        <v>742</v>
      </c>
      <c r="C11" s="2">
        <v>2000.0</v>
      </c>
      <c r="D11" s="2" t="s">
        <v>412</v>
      </c>
      <c r="H11" s="2" t="s">
        <v>743</v>
      </c>
      <c r="I11" s="25">
        <f>K10/K11</f>
        <v>1257.861635</v>
      </c>
      <c r="J11" s="2" t="s">
        <v>745</v>
      </c>
      <c r="K11" s="2">
        <v>7.95</v>
      </c>
      <c r="L11" s="2" t="s">
        <v>697</v>
      </c>
      <c r="S11" s="2" t="s">
        <v>738</v>
      </c>
      <c r="T11" s="49">
        <v>100.0</v>
      </c>
      <c r="U11" s="2" t="s">
        <v>90</v>
      </c>
    </row>
    <row r="12">
      <c r="H12" s="2" t="s">
        <v>746</v>
      </c>
      <c r="I12" s="25">
        <f>I11/2</f>
        <v>628.9308176</v>
      </c>
      <c r="J12" s="2" t="s">
        <v>745</v>
      </c>
      <c r="K12" s="2">
        <v>0.5</v>
      </c>
      <c r="L12" s="2" t="s">
        <v>697</v>
      </c>
      <c r="S12" s="2" t="s">
        <v>743</v>
      </c>
      <c r="T12" s="25">
        <f>V7/V8</f>
        <v>12578616.35</v>
      </c>
      <c r="U12" s="2" t="s">
        <v>745</v>
      </c>
    </row>
    <row r="13">
      <c r="B13" s="2" t="s">
        <v>747</v>
      </c>
      <c r="C13" s="2">
        <v>150.0</v>
      </c>
      <c r="D13" s="2" t="s">
        <v>90</v>
      </c>
      <c r="S13" s="2" t="s">
        <v>746</v>
      </c>
      <c r="T13" s="25">
        <f>T12/2</f>
        <v>6289308.176</v>
      </c>
      <c r="U13" s="2" t="s">
        <v>745</v>
      </c>
      <c r="V13" s="2" t="s">
        <v>748</v>
      </c>
    </row>
    <row r="14">
      <c r="B14" s="2" t="s">
        <v>749</v>
      </c>
      <c r="C14" s="25">
        <f>(C4)*C13*10^-3</f>
        <v>3</v>
      </c>
      <c r="D14" s="2" t="s">
        <v>153</v>
      </c>
      <c r="H14" s="2" t="s">
        <v>751</v>
      </c>
      <c r="I14" s="164">
        <v>2000.0</v>
      </c>
      <c r="J14" s="2" t="s">
        <v>412</v>
      </c>
      <c r="X14" s="2" t="s">
        <v>721</v>
      </c>
    </row>
    <row r="15">
      <c r="B15" s="2" t="s">
        <v>753</v>
      </c>
      <c r="C15">
        <f>(C7)*C13*10^-3</f>
        <v>3</v>
      </c>
      <c r="D15" s="2" t="s">
        <v>153</v>
      </c>
      <c r="H15" s="2" t="s">
        <v>755</v>
      </c>
      <c r="I15" s="165">
        <v>500.0</v>
      </c>
      <c r="J15" s="2" t="s">
        <v>756</v>
      </c>
      <c r="S15" s="2" t="s">
        <v>751</v>
      </c>
      <c r="T15" s="164">
        <v>2000.0</v>
      </c>
      <c r="U15" s="2" t="s">
        <v>412</v>
      </c>
      <c r="X15" s="2" t="s">
        <v>728</v>
      </c>
    </row>
    <row r="16">
      <c r="H16" s="2" t="s">
        <v>758</v>
      </c>
      <c r="I16" s="2">
        <v>0.082057</v>
      </c>
      <c r="J16" s="2" t="s">
        <v>759</v>
      </c>
      <c r="K16" s="2" t="s">
        <v>748</v>
      </c>
      <c r="S16" s="2" t="s">
        <v>755</v>
      </c>
      <c r="T16" s="165">
        <v>500.0</v>
      </c>
      <c r="U16" s="2" t="s">
        <v>756</v>
      </c>
    </row>
    <row r="17">
      <c r="H17" s="2" t="s">
        <v>760</v>
      </c>
      <c r="I17" s="25">
        <f> I12*0.0821*I14 / I15</f>
        <v>206.5408805</v>
      </c>
      <c r="J17" s="2" t="s">
        <v>652</v>
      </c>
      <c r="O17" s="2" t="s">
        <v>762</v>
      </c>
      <c r="S17" s="2" t="s">
        <v>758</v>
      </c>
      <c r="T17" s="2">
        <v>0.082057</v>
      </c>
      <c r="U17" s="2" t="s">
        <v>759</v>
      </c>
    </row>
    <row r="18">
      <c r="B18" s="2" t="s">
        <v>763</v>
      </c>
      <c r="I18" s="25">
        <f>I17/1000</f>
        <v>0.2065408805</v>
      </c>
      <c r="J18" s="2" t="s">
        <v>600</v>
      </c>
      <c r="S18" s="2" t="s">
        <v>760</v>
      </c>
      <c r="T18" s="25">
        <f> T13*0.0821*T15 / T16</f>
        <v>2065408.805</v>
      </c>
      <c r="U18" s="2" t="s">
        <v>652</v>
      </c>
    </row>
    <row r="19">
      <c r="I19" s="25">
        <f>I18/100</f>
        <v>0.002065408805</v>
      </c>
      <c r="J19" s="2" t="s">
        <v>766</v>
      </c>
      <c r="O19" s="2" t="s">
        <v>767</v>
      </c>
      <c r="T19" s="25">
        <f>T18/1000</f>
        <v>2065.408805</v>
      </c>
      <c r="U19" s="2" t="s">
        <v>600</v>
      </c>
    </row>
    <row r="20">
      <c r="O20" s="2" t="s">
        <v>768</v>
      </c>
      <c r="T20" s="25">
        <f>T19/100</f>
        <v>20.65408805</v>
      </c>
      <c r="U20" s="2" t="s">
        <v>766</v>
      </c>
    </row>
    <row r="21">
      <c r="O21" s="2" t="s">
        <v>771</v>
      </c>
    </row>
    <row r="22">
      <c r="A22" s="2" t="s">
        <v>772</v>
      </c>
      <c r="O22" s="2" t="s">
        <v>773</v>
      </c>
    </row>
    <row r="23">
      <c r="B23" s="2" t="s">
        <v>774</v>
      </c>
      <c r="C23" s="2">
        <v>200.0</v>
      </c>
      <c r="D23" s="2" t="s">
        <v>775</v>
      </c>
      <c r="E23" s="2" t="s">
        <v>776</v>
      </c>
      <c r="O23" s="2" t="s">
        <v>777</v>
      </c>
    </row>
    <row r="24">
      <c r="B24" s="2" t="s">
        <v>778</v>
      </c>
      <c r="C24" s="2">
        <v>1.0</v>
      </c>
      <c r="D24" s="2" t="s">
        <v>679</v>
      </c>
      <c r="O24" s="2" t="s">
        <v>779</v>
      </c>
    </row>
    <row r="25">
      <c r="K25" s="163"/>
    </row>
    <row r="26">
      <c r="A26" s="2" t="s">
        <v>780</v>
      </c>
      <c r="B26" s="2" t="s">
        <v>471</v>
      </c>
      <c r="C26" s="2">
        <v>20.0</v>
      </c>
      <c r="D26" s="2" t="s">
        <v>781</v>
      </c>
    </row>
    <row r="27">
      <c r="B27" s="2" t="s">
        <v>430</v>
      </c>
      <c r="C27" s="2">
        <v>5.0</v>
      </c>
      <c r="D27" s="2" t="s">
        <v>781</v>
      </c>
    </row>
    <row r="28">
      <c r="B28" s="2" t="s">
        <v>783</v>
      </c>
      <c r="C28" s="2">
        <v>15.0</v>
      </c>
      <c r="D28" s="2" t="s">
        <v>781</v>
      </c>
      <c r="M28" s="2" t="s">
        <v>784</v>
      </c>
    </row>
    <row r="29">
      <c r="M29" s="2">
        <v>60.0</v>
      </c>
      <c r="N29" s="2" t="s">
        <v>189</v>
      </c>
    </row>
    <row r="30">
      <c r="A30" s="2" t="s">
        <v>785</v>
      </c>
      <c r="B30" s="2" t="s">
        <v>786</v>
      </c>
      <c r="C30" s="2">
        <v>0.1</v>
      </c>
      <c r="D30" s="2" t="s">
        <v>781</v>
      </c>
      <c r="E30" s="2" t="s">
        <v>787</v>
      </c>
      <c r="M30" s="2">
        <v>30.0</v>
      </c>
      <c r="N30" s="2" t="s">
        <v>189</v>
      </c>
    </row>
    <row r="31">
      <c r="B31" s="2" t="s">
        <v>788</v>
      </c>
      <c r="C31" s="2">
        <v>5.0</v>
      </c>
      <c r="D31" s="2" t="s">
        <v>781</v>
      </c>
      <c r="E31" s="2" t="s">
        <v>790</v>
      </c>
      <c r="J31" s="74">
        <f>I72*M37*10^-6</f>
        <v>0.01250470044</v>
      </c>
      <c r="K31" s="2" t="s">
        <v>86</v>
      </c>
      <c r="L31" s="2" t="s">
        <v>792</v>
      </c>
      <c r="M31" s="2">
        <v>2.0</v>
      </c>
      <c r="N31" s="2" t="s">
        <v>189</v>
      </c>
      <c r="O31">
        <f>M36*10*10^-3</f>
        <v>54</v>
      </c>
      <c r="P31" s="2" t="s">
        <v>90</v>
      </c>
    </row>
    <row r="32">
      <c r="B32" s="2" t="s">
        <v>793</v>
      </c>
      <c r="C32" s="2">
        <v>5.0</v>
      </c>
      <c r="D32" s="2" t="s">
        <v>781</v>
      </c>
      <c r="E32" s="2" t="s">
        <v>794</v>
      </c>
      <c r="J32" s="25"/>
      <c r="L32" s="2" t="s">
        <v>795</v>
      </c>
      <c r="M32">
        <f>M29*M30</f>
        <v>1800</v>
      </c>
      <c r="N32" s="2" t="s">
        <v>640</v>
      </c>
    </row>
    <row r="33">
      <c r="B33" s="2" t="s">
        <v>783</v>
      </c>
      <c r="E33" s="2" t="s">
        <v>798</v>
      </c>
      <c r="I33" s="2" t="s">
        <v>799</v>
      </c>
      <c r="J33" s="2">
        <v>1500.0</v>
      </c>
      <c r="K33" s="2" t="s">
        <v>775</v>
      </c>
      <c r="L33" s="2" t="s">
        <v>801</v>
      </c>
      <c r="M33">
        <f>M29*M31*2</f>
        <v>240</v>
      </c>
      <c r="N33" s="2" t="s">
        <v>640</v>
      </c>
    </row>
    <row r="34">
      <c r="I34" s="2" t="s">
        <v>804</v>
      </c>
      <c r="J34" s="74">
        <f>J31</f>
        <v>0.01250470044</v>
      </c>
      <c r="K34" s="2" t="s">
        <v>86</v>
      </c>
      <c r="L34" s="2" t="s">
        <v>805</v>
      </c>
      <c r="M34">
        <f>M30*M31*2</f>
        <v>120</v>
      </c>
      <c r="N34" s="2" t="s">
        <v>640</v>
      </c>
    </row>
    <row r="35">
      <c r="B35" s="2" t="s">
        <v>257</v>
      </c>
      <c r="C35" s="2">
        <v>10.0</v>
      </c>
      <c r="D35" s="2" t="s">
        <v>781</v>
      </c>
      <c r="I35" s="2" t="s">
        <v>808</v>
      </c>
      <c r="J35" s="74">
        <f>1200*J33*10^-6</f>
        <v>1.8</v>
      </c>
      <c r="K35" s="2" t="s">
        <v>86</v>
      </c>
      <c r="L35" s="2" t="s">
        <v>809</v>
      </c>
      <c r="M35">
        <f>M32*2+M33*2+M34</f>
        <v>4200</v>
      </c>
      <c r="N35" s="2" t="s">
        <v>640</v>
      </c>
    </row>
    <row r="36">
      <c r="B36" s="2" t="s">
        <v>811</v>
      </c>
      <c r="C36" s="2">
        <v>5.0</v>
      </c>
      <c r="D36" s="2" t="s">
        <v>781</v>
      </c>
      <c r="G36">
        <f>10*10*10</f>
        <v>1000</v>
      </c>
      <c r="J36" s="25">
        <f>1200*5*10^-3</f>
        <v>6</v>
      </c>
      <c r="K36" s="2" t="s">
        <v>90</v>
      </c>
      <c r="L36" s="2" t="s">
        <v>812</v>
      </c>
      <c r="M36" s="2">
        <f>M29*M30*3</f>
        <v>5400</v>
      </c>
      <c r="N36" s="2" t="s">
        <v>640</v>
      </c>
    </row>
    <row r="37">
      <c r="L37" s="2" t="s">
        <v>814</v>
      </c>
      <c r="M37">
        <f>M35*3</f>
        <v>12600</v>
      </c>
      <c r="N37" s="2" t="s">
        <v>640</v>
      </c>
      <c r="O37" s="38">
        <f>M37/M36</f>
        <v>2.333333333</v>
      </c>
    </row>
    <row r="38">
      <c r="I38" s="2" t="s">
        <v>815</v>
      </c>
    </row>
    <row r="39">
      <c r="H39" s="2" t="s">
        <v>816</v>
      </c>
      <c r="I39" s="2" t="s">
        <v>817</v>
      </c>
      <c r="O39" s="25">
        <f>I72*O37</f>
        <v>2.315685267</v>
      </c>
    </row>
    <row r="40">
      <c r="H40" s="2" t="s">
        <v>819</v>
      </c>
      <c r="I40" s="2" t="s">
        <v>820</v>
      </c>
    </row>
    <row r="41">
      <c r="H41" s="2" t="s">
        <v>821</v>
      </c>
      <c r="I41" s="2" t="s">
        <v>822</v>
      </c>
      <c r="O41">
        <f>2.83*664</f>
        <v>1879.12</v>
      </c>
    </row>
    <row r="43">
      <c r="C43" s="2" t="s">
        <v>823</v>
      </c>
    </row>
    <row r="45">
      <c r="C45" s="2" t="s">
        <v>594</v>
      </c>
      <c r="D45" s="95">
        <f>D47*D48*D49/D50</f>
        <v>299.304</v>
      </c>
      <c r="E45" s="2" t="s">
        <v>600</v>
      </c>
      <c r="G45" s="2" t="s">
        <v>825</v>
      </c>
      <c r="H45" s="2" t="s">
        <v>826</v>
      </c>
      <c r="I45" s="2" t="s">
        <v>827</v>
      </c>
    </row>
    <row r="46">
      <c r="C46" s="2" t="s">
        <v>189</v>
      </c>
      <c r="D46" s="2">
        <v>1.0</v>
      </c>
      <c r="E46" s="2" t="s">
        <v>90</v>
      </c>
      <c r="H46" s="2" t="s">
        <v>828</v>
      </c>
      <c r="I46" s="2" t="s">
        <v>829</v>
      </c>
    </row>
    <row r="47">
      <c r="C47" s="2" t="s">
        <v>116</v>
      </c>
      <c r="D47">
        <f>1.44*10^5*D46</f>
        <v>144000</v>
      </c>
      <c r="E47" s="2" t="s">
        <v>745</v>
      </c>
      <c r="H47" s="2" t="s">
        <v>830</v>
      </c>
      <c r="M47">
        <f>65*40*10</f>
        <v>26000</v>
      </c>
    </row>
    <row r="48">
      <c r="C48" s="2" t="s">
        <v>832</v>
      </c>
      <c r="D48" s="2">
        <v>8.314</v>
      </c>
      <c r="H48" s="2" t="s">
        <v>833</v>
      </c>
      <c r="I48" s="2" t="s">
        <v>834</v>
      </c>
    </row>
    <row r="49">
      <c r="C49" s="2" t="s">
        <v>635</v>
      </c>
      <c r="D49" s="2">
        <v>2500.0</v>
      </c>
      <c r="E49" s="2" t="s">
        <v>412</v>
      </c>
    </row>
    <row r="50">
      <c r="C50" s="2" t="s">
        <v>120</v>
      </c>
      <c r="D50" s="167">
        <v>1.0E7</v>
      </c>
      <c r="E50" s="2" t="s">
        <v>835</v>
      </c>
      <c r="I50" s="2" t="s">
        <v>836</v>
      </c>
      <c r="J50" s="155">
        <v>5000000.0</v>
      </c>
    </row>
    <row r="51">
      <c r="D51">
        <f>D50/100000</f>
        <v>100</v>
      </c>
      <c r="E51" s="2" t="s">
        <v>756</v>
      </c>
    </row>
    <row r="53">
      <c r="C53" s="2" t="s">
        <v>838</v>
      </c>
      <c r="D53" s="25">
        <f>D45^(1/3)</f>
        <v>6.689148544</v>
      </c>
      <c r="E53" s="2" t="s">
        <v>839</v>
      </c>
      <c r="F53" s="2">
        <v>19250.0</v>
      </c>
      <c r="G53" s="2" t="s">
        <v>592</v>
      </c>
      <c r="K53" s="2" t="s">
        <v>600</v>
      </c>
    </row>
    <row r="54">
      <c r="D54" s="95">
        <f>6*D53^2</f>
        <v>268.4682495</v>
      </c>
      <c r="E54" s="2" t="s">
        <v>640</v>
      </c>
    </row>
    <row r="55">
      <c r="D55" s="2">
        <v>0.03</v>
      </c>
      <c r="E55" s="2" t="s">
        <v>842</v>
      </c>
    </row>
    <row r="56">
      <c r="D56" s="25">
        <f>D54*D55</f>
        <v>8.054047484</v>
      </c>
      <c r="E56" s="2" t="s">
        <v>844</v>
      </c>
    </row>
    <row r="57">
      <c r="D57" s="25">
        <f>D56*19250 *10^-3</f>
        <v>155.0404141</v>
      </c>
      <c r="E57" s="2" t="s">
        <v>90</v>
      </c>
    </row>
    <row r="60">
      <c r="B60" s="2" t="s">
        <v>846</v>
      </c>
    </row>
    <row r="61">
      <c r="B61" s="2" t="s">
        <v>848</v>
      </c>
      <c r="C61" s="2">
        <v>200.0</v>
      </c>
      <c r="D61" s="2" t="s">
        <v>32</v>
      </c>
    </row>
    <row r="62">
      <c r="C62" s="2">
        <v>60.0</v>
      </c>
      <c r="D62" s="2" t="s">
        <v>90</v>
      </c>
    </row>
    <row r="63">
      <c r="C63">
        <f>C62*1000*C61*10^-6</f>
        <v>12</v>
      </c>
      <c r="D63" s="2" t="s">
        <v>86</v>
      </c>
    </row>
    <row r="65">
      <c r="A65" s="2" t="s">
        <v>849</v>
      </c>
      <c r="B65" s="2" t="s">
        <v>850</v>
      </c>
      <c r="C65" s="2">
        <v>16.0</v>
      </c>
      <c r="D65" s="2" t="s">
        <v>189</v>
      </c>
      <c r="H65" s="2" t="s">
        <v>851</v>
      </c>
      <c r="I65" s="2" t="s">
        <v>852</v>
      </c>
    </row>
    <row r="66">
      <c r="B66" s="2" t="s">
        <v>853</v>
      </c>
      <c r="C66" s="2">
        <f>C65/4</f>
        <v>4</v>
      </c>
      <c r="D66" s="2" t="s">
        <v>189</v>
      </c>
      <c r="H66" s="2" t="s">
        <v>854</v>
      </c>
      <c r="I66" s="2">
        <v>0.9</v>
      </c>
    </row>
    <row r="67">
      <c r="B67" s="2" t="s">
        <v>855</v>
      </c>
      <c r="C67" s="67">
        <f>2*pi()^2*C65*C66</f>
        <v>1263.309363</v>
      </c>
      <c r="D67" s="2" t="s">
        <v>640</v>
      </c>
      <c r="H67" s="2" t="s">
        <v>857</v>
      </c>
      <c r="I67" s="163">
        <f>5.67*10^-8</f>
        <v>0.0000000567</v>
      </c>
      <c r="J67" s="2" t="s">
        <v>858</v>
      </c>
    </row>
    <row r="68">
      <c r="B68" s="2" t="s">
        <v>859</v>
      </c>
      <c r="C68" s="74">
        <f>C67*I72*10^-3</f>
        <v>1.253754377</v>
      </c>
      <c r="D68" s="2" t="s">
        <v>86</v>
      </c>
      <c r="E68">
        <f>10/C68</f>
        <v>7.976043937</v>
      </c>
      <c r="H68" s="2" t="s">
        <v>860</v>
      </c>
      <c r="I68" s="2">
        <v>2100.0</v>
      </c>
      <c r="J68" s="2" t="s">
        <v>412</v>
      </c>
    </row>
    <row r="69">
      <c r="B69" s="2"/>
      <c r="C69" s="25"/>
      <c r="D69" s="2"/>
    </row>
    <row r="70">
      <c r="B70" s="2" t="s">
        <v>862</v>
      </c>
      <c r="C70" s="25">
        <f>2*PI()^2*C65*C66^2</f>
        <v>5053.237453</v>
      </c>
      <c r="D70" s="2" t="s">
        <v>600</v>
      </c>
    </row>
    <row r="71">
      <c r="B71" s="2" t="s">
        <v>864</v>
      </c>
      <c r="C71" s="2">
        <v>0.1</v>
      </c>
      <c r="D71" s="2" t="s">
        <v>592</v>
      </c>
      <c r="E71" s="2" t="s">
        <v>865</v>
      </c>
      <c r="H71" s="2" t="s">
        <v>866</v>
      </c>
      <c r="I71" s="25">
        <f>I66*I67*I68^4</f>
        <v>992436.543</v>
      </c>
      <c r="J71" s="2" t="s">
        <v>676</v>
      </c>
    </row>
    <row r="72">
      <c r="B72" s="2" t="s">
        <v>867</v>
      </c>
      <c r="C72" s="2">
        <v>0.02</v>
      </c>
      <c r="D72" s="2" t="s">
        <v>592</v>
      </c>
      <c r="E72" s="2" t="s">
        <v>869</v>
      </c>
      <c r="I72" s="25">
        <f>I71*10^-6</f>
        <v>0.992436543</v>
      </c>
      <c r="J72" s="2" t="s">
        <v>679</v>
      </c>
    </row>
    <row r="73">
      <c r="B73" s="2" t="s">
        <v>870</v>
      </c>
      <c r="C73" s="168">
        <f>C71+C72</f>
        <v>0.12</v>
      </c>
      <c r="D73" s="2" t="s">
        <v>592</v>
      </c>
    </row>
    <row r="74">
      <c r="B74" s="2" t="s">
        <v>871</v>
      </c>
      <c r="C74" s="74">
        <f>C70*C73*10^-3</f>
        <v>0.6063884944</v>
      </c>
      <c r="D74" s="2" t="s">
        <v>90</v>
      </c>
      <c r="O74" s="2" t="s">
        <v>872</v>
      </c>
    </row>
    <row r="75">
      <c r="O75" s="2" t="s">
        <v>873</v>
      </c>
    </row>
    <row r="76">
      <c r="A76" s="2" t="s">
        <v>874</v>
      </c>
      <c r="B76" s="2" t="s">
        <v>875</v>
      </c>
      <c r="C76" s="67">
        <f>C65</f>
        <v>16</v>
      </c>
      <c r="D76" s="2" t="s">
        <v>189</v>
      </c>
    </row>
    <row r="77">
      <c r="B77" s="2" t="s">
        <v>876</v>
      </c>
      <c r="C77" s="67">
        <f>C65</f>
        <v>16</v>
      </c>
      <c r="D77" s="2" t="s">
        <v>189</v>
      </c>
    </row>
    <row r="78">
      <c r="B78" s="2" t="s">
        <v>877</v>
      </c>
      <c r="C78" s="2">
        <v>0.5</v>
      </c>
      <c r="D78" s="2" t="s">
        <v>635</v>
      </c>
      <c r="H78" s="2" t="s">
        <v>878</v>
      </c>
      <c r="I78" s="2" t="s">
        <v>879</v>
      </c>
    </row>
    <row r="79">
      <c r="B79" s="2" t="s">
        <v>880</v>
      </c>
      <c r="C79" s="74">
        <f>C78*(C76/C77)^3</f>
        <v>0.5</v>
      </c>
      <c r="D79" s="2" t="s">
        <v>635</v>
      </c>
      <c r="E79" s="2" t="s">
        <v>881</v>
      </c>
      <c r="H79" s="2" t="s">
        <v>882</v>
      </c>
      <c r="I79">
        <f>4*pi()*10^-7</f>
        <v>0.000001256637061</v>
      </c>
      <c r="L79" s="2" t="s">
        <v>883</v>
      </c>
      <c r="M79" s="2" t="s">
        <v>884</v>
      </c>
    </row>
    <row r="80">
      <c r="L80" s="2" t="s">
        <v>885</v>
      </c>
    </row>
    <row r="81">
      <c r="B81" s="2" t="s">
        <v>886</v>
      </c>
      <c r="C81" s="166">
        <f>2 * C76 *C78  /I79</f>
        <v>12732395.45</v>
      </c>
      <c r="D81" s="2" t="s">
        <v>887</v>
      </c>
      <c r="L81" s="2" t="s">
        <v>888</v>
      </c>
    </row>
    <row r="82">
      <c r="B82" s="2" t="s">
        <v>889</v>
      </c>
      <c r="C82" s="2">
        <v>100.0</v>
      </c>
      <c r="D82" s="2"/>
      <c r="E82" s="2"/>
      <c r="G82" s="2"/>
      <c r="H82" s="2"/>
      <c r="I82" s="157"/>
      <c r="J82" s="2"/>
    </row>
    <row r="83">
      <c r="B83" s="2" t="s">
        <v>657</v>
      </c>
      <c r="C83" s="166">
        <f>C81/C82</f>
        <v>127323.9545</v>
      </c>
      <c r="D83" s="2"/>
      <c r="E83" s="2" t="s">
        <v>890</v>
      </c>
      <c r="G83" s="2"/>
      <c r="H83" s="2"/>
      <c r="I83" s="157"/>
      <c r="J83" s="2"/>
    </row>
    <row r="84">
      <c r="B84" s="2" t="s">
        <v>639</v>
      </c>
      <c r="C84" s="166">
        <f>C83/I84</f>
        <v>0.0001273239545</v>
      </c>
      <c r="D84" s="2" t="s">
        <v>640</v>
      </c>
      <c r="G84" s="2" t="s">
        <v>891</v>
      </c>
      <c r="H84" s="2" t="s">
        <v>892</v>
      </c>
      <c r="I84" s="157">
        <f>10^9</f>
        <v>1000000000</v>
      </c>
      <c r="J84" s="2" t="s">
        <v>893</v>
      </c>
    </row>
    <row r="85">
      <c r="B85" s="2" t="s">
        <v>652</v>
      </c>
      <c r="C85" s="25">
        <f>C82*(2*pi()*C76)</f>
        <v>10053.09649</v>
      </c>
      <c r="D85" s="2" t="s">
        <v>189</v>
      </c>
      <c r="E85" s="2" t="s">
        <v>894</v>
      </c>
    </row>
    <row r="86">
      <c r="B86" s="2" t="s">
        <v>594</v>
      </c>
      <c r="C86" s="168">
        <f>C84*C85</f>
        <v>1.28</v>
      </c>
      <c r="D86" s="2" t="s">
        <v>600</v>
      </c>
      <c r="E86" s="2" t="s">
        <v>895</v>
      </c>
      <c r="H86" s="2" t="s">
        <v>896</v>
      </c>
      <c r="I86" s="2">
        <v>2200.0</v>
      </c>
      <c r="J86" s="2" t="s">
        <v>592</v>
      </c>
    </row>
    <row r="87">
      <c r="B87" s="2" t="s">
        <v>897</v>
      </c>
      <c r="C87" s="74">
        <f>C86*I86*10^-3</f>
        <v>2.816</v>
      </c>
      <c r="D87" s="2" t="s">
        <v>90</v>
      </c>
    </row>
    <row r="88">
      <c r="B88" s="2" t="s">
        <v>898</v>
      </c>
      <c r="C88" s="2">
        <v>1.0</v>
      </c>
      <c r="D88" s="2" t="s">
        <v>899</v>
      </c>
    </row>
    <row r="89">
      <c r="B89" s="2" t="s">
        <v>900</v>
      </c>
      <c r="C89" s="2">
        <v>0.2</v>
      </c>
      <c r="D89" s="2" t="s">
        <v>901</v>
      </c>
    </row>
    <row r="90">
      <c r="B90" s="2" t="s">
        <v>902</v>
      </c>
      <c r="C90" s="2">
        <v>0.2</v>
      </c>
      <c r="D90" s="2" t="s">
        <v>903</v>
      </c>
    </row>
    <row r="91">
      <c r="B91" s="2" t="s">
        <v>904</v>
      </c>
      <c r="C91" s="2">
        <v>0.1</v>
      </c>
    </row>
    <row r="92">
      <c r="B92" s="2" t="s">
        <v>905</v>
      </c>
      <c r="C92" s="2">
        <f>0.2*(C91+C90+C89+C88)</f>
        <v>0.3</v>
      </c>
    </row>
    <row r="93">
      <c r="B93" s="2" t="s">
        <v>871</v>
      </c>
      <c r="C93" s="74">
        <f>C87*(1+(C88+C89+C90+C91+C92))</f>
        <v>7.8848</v>
      </c>
      <c r="D93" s="2" t="s">
        <v>90</v>
      </c>
      <c r="E93" s="25">
        <f>C93*round(E68,0)</f>
        <v>63.0784</v>
      </c>
      <c r="F93" s="2" t="s">
        <v>90</v>
      </c>
    </row>
    <row r="94">
      <c r="B94" s="2" t="s">
        <v>906</v>
      </c>
      <c r="C94" s="74">
        <f>C87*2.2</f>
        <v>6.1952</v>
      </c>
      <c r="D94" s="2" t="s">
        <v>90</v>
      </c>
      <c r="E94" s="79">
        <f>C94*round(E68,0)/1</f>
        <v>49.5616</v>
      </c>
      <c r="F94" s="169" t="s">
        <v>907</v>
      </c>
      <c r="G94" s="2" t="s">
        <v>908</v>
      </c>
      <c r="H94" s="2" t="s">
        <v>909</v>
      </c>
      <c r="I94" s="163"/>
    </row>
    <row r="95">
      <c r="C95" s="38">
        <f>C68/C93</f>
        <v>0.1590090272</v>
      </c>
      <c r="D95" s="2" t="s">
        <v>910</v>
      </c>
      <c r="E95" s="79">
        <f>1/(E94/10)*1000</f>
        <v>201.7691116</v>
      </c>
      <c r="F95" s="169" t="s">
        <v>32</v>
      </c>
    </row>
    <row r="96">
      <c r="C96" s="38">
        <f>C68/C94</f>
        <v>0.2023751255</v>
      </c>
      <c r="D96" s="2" t="s">
        <v>910</v>
      </c>
    </row>
    <row r="97">
      <c r="C97" s="167"/>
    </row>
    <row r="98">
      <c r="B98" s="2" t="s">
        <v>911</v>
      </c>
      <c r="C98" s="25">
        <f>sqrt(I72*1000*C67/( 4*PI()*500))</f>
        <v>14.12590551</v>
      </c>
      <c r="D98" s="2" t="s">
        <v>189</v>
      </c>
      <c r="E98" s="2" t="s">
        <v>912</v>
      </c>
      <c r="I98" s="25"/>
    </row>
    <row r="99">
      <c r="C99" s="2">
        <v>10.0</v>
      </c>
      <c r="D99" s="2" t="s">
        <v>189</v>
      </c>
      <c r="E99" s="2" t="s">
        <v>913</v>
      </c>
      <c r="I99" s="25"/>
    </row>
    <row r="100">
      <c r="C100" s="168"/>
    </row>
    <row r="101">
      <c r="C101" s="74"/>
    </row>
    <row r="103">
      <c r="C103" s="67"/>
    </row>
    <row r="104">
      <c r="C104" s="67"/>
    </row>
    <row r="106">
      <c r="C106" s="74"/>
    </row>
    <row r="108">
      <c r="C108" s="166"/>
    </row>
    <row r="109">
      <c r="I109" s="157"/>
    </row>
    <row r="110">
      <c r="C110" s="25"/>
    </row>
    <row r="111">
      <c r="C111" s="168"/>
    </row>
    <row r="112">
      <c r="C112" s="25"/>
    </row>
    <row r="113">
      <c r="C113" s="2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25"/>
    <col customWidth="1" min="4" max="4" width="6.38"/>
    <col customWidth="1" min="5" max="5" width="5.88"/>
    <col customWidth="1" min="6" max="6" width="5.75"/>
    <col customWidth="1" min="7" max="7" width="14.75"/>
    <col customWidth="1" min="8" max="8" width="5.25"/>
    <col customWidth="1" min="10" max="10" width="30.5"/>
    <col customWidth="1" min="12" max="12" width="22.75"/>
    <col customWidth="1" min="13" max="13" width="3.88"/>
    <col customWidth="1" min="15" max="15" width="14.38"/>
    <col customWidth="1" min="16" max="16" width="6.25"/>
  </cols>
  <sheetData>
    <row r="2">
      <c r="B2" s="2" t="s">
        <v>1069</v>
      </c>
      <c r="C2" s="49">
        <v>20.0</v>
      </c>
      <c r="D2" s="2" t="s">
        <v>32</v>
      </c>
      <c r="I2">
        <f>2000*H5</f>
        <v>6000000</v>
      </c>
    </row>
    <row r="3">
      <c r="E3" s="2"/>
      <c r="F3" s="2"/>
      <c r="G3" s="2" t="s">
        <v>1070</v>
      </c>
    </row>
    <row r="4">
      <c r="B4" s="2" t="s">
        <v>1071</v>
      </c>
      <c r="C4" s="49">
        <v>500.0</v>
      </c>
      <c r="D4" s="2" t="s">
        <v>189</v>
      </c>
      <c r="L4" s="2" t="s">
        <v>1072</v>
      </c>
    </row>
    <row r="5">
      <c r="B5" s="2" t="s">
        <v>73</v>
      </c>
      <c r="C5" s="49">
        <v>10000.0</v>
      </c>
      <c r="D5" s="2" t="s">
        <v>90</v>
      </c>
      <c r="E5" s="52"/>
      <c r="F5" s="52"/>
      <c r="G5" s="52" t="s">
        <v>244</v>
      </c>
      <c r="H5">
        <f>C6*0.015</f>
        <v>3000</v>
      </c>
      <c r="I5" s="2" t="s">
        <v>668</v>
      </c>
      <c r="K5" s="2" t="s">
        <v>1073</v>
      </c>
      <c r="L5" s="2">
        <f>C6*10</f>
        <v>2000000</v>
      </c>
      <c r="M5" s="2" t="s">
        <v>43</v>
      </c>
    </row>
    <row r="6">
      <c r="B6" s="2" t="s">
        <v>71</v>
      </c>
      <c r="C6" s="2">
        <f>C5*C2</f>
        <v>200000</v>
      </c>
      <c r="D6" s="2" t="s">
        <v>38</v>
      </c>
      <c r="H6" s="74">
        <f>H5/(H9*10^3)*100</f>
        <v>62.5</v>
      </c>
      <c r="I6" s="2" t="s">
        <v>1074</v>
      </c>
      <c r="K6" s="2" t="s">
        <v>1075</v>
      </c>
      <c r="L6">
        <f>L5*0.3</f>
        <v>600000</v>
      </c>
      <c r="M6" s="2" t="s">
        <v>43</v>
      </c>
    </row>
    <row r="7">
      <c r="B7" s="2" t="s">
        <v>739</v>
      </c>
      <c r="C7" s="2">
        <v>70.0</v>
      </c>
      <c r="D7" s="2" t="s">
        <v>150</v>
      </c>
      <c r="E7" s="2"/>
      <c r="F7" s="2"/>
      <c r="G7" s="2" t="s">
        <v>213</v>
      </c>
      <c r="H7" s="49">
        <v>160.0</v>
      </c>
      <c r="I7" s="2" t="s">
        <v>90</v>
      </c>
      <c r="K7" s="2" t="s">
        <v>1076</v>
      </c>
      <c r="L7">
        <f>L5</f>
        <v>2000000</v>
      </c>
      <c r="M7" s="2" t="s">
        <v>43</v>
      </c>
    </row>
    <row r="8">
      <c r="B8" s="2" t="s">
        <v>1077</v>
      </c>
      <c r="C8" s="2">
        <v>1064.0</v>
      </c>
      <c r="D8" s="2" t="s">
        <v>689</v>
      </c>
      <c r="E8" s="2"/>
      <c r="F8" s="2"/>
      <c r="G8" s="2" t="s">
        <v>1078</v>
      </c>
      <c r="H8" s="2">
        <v>30.0</v>
      </c>
      <c r="I8" s="2" t="s">
        <v>51</v>
      </c>
    </row>
    <row r="9">
      <c r="H9" s="87">
        <f>(H7*10^3)*H8*10^-6</f>
        <v>4.8</v>
      </c>
      <c r="I9" s="2" t="s">
        <v>153</v>
      </c>
    </row>
    <row r="10">
      <c r="C10" s="52" t="s">
        <v>1079</v>
      </c>
      <c r="E10" s="52" t="s">
        <v>1080</v>
      </c>
      <c r="K10" s="2" t="s">
        <v>1081</v>
      </c>
      <c r="L10" s="2" t="s">
        <v>1082</v>
      </c>
      <c r="M10" s="2">
        <v>10.0</v>
      </c>
      <c r="N10" s="2" t="s">
        <v>1083</v>
      </c>
      <c r="O10" s="2" t="s">
        <v>1084</v>
      </c>
      <c r="P10" s="2">
        <v>90.0</v>
      </c>
      <c r="Q10" s="2" t="s">
        <v>150</v>
      </c>
    </row>
    <row r="11">
      <c r="B11" s="52" t="s">
        <v>1085</v>
      </c>
      <c r="C11" s="67">
        <f> (C4) / (0.0000000305 * C8) * SQRT( (0.000000002 *C6  * C7) / (0.01*C17 * PI()) )</f>
        <v>14545632.69</v>
      </c>
      <c r="D11" s="2" t="s">
        <v>295</v>
      </c>
      <c r="E11" s="67">
        <f>round((C11+C12)/200,0)*100</f>
        <v>9572700</v>
      </c>
      <c r="F11" s="2"/>
      <c r="G11" s="2" t="s">
        <v>1089</v>
      </c>
      <c r="I11" s="2" t="s">
        <v>1090</v>
      </c>
      <c r="L11" s="2" t="s">
        <v>1091</v>
      </c>
      <c r="M11" s="2">
        <v>30.0</v>
      </c>
      <c r="N11" s="2" t="s">
        <v>1092</v>
      </c>
      <c r="O11" s="2" t="s">
        <v>1094</v>
      </c>
      <c r="P11" s="2">
        <v>2.0</v>
      </c>
    </row>
    <row r="12">
      <c r="B12" s="52" t="s">
        <v>1096</v>
      </c>
      <c r="C12" s="25">
        <f> (C4) / (0.0000000305 * C8) * SQRT( (0.000000002 *C6  * C7) / (0.1*C17 * PI()) )</f>
        <v>4599732.93</v>
      </c>
      <c r="D12" s="2" t="s">
        <v>295</v>
      </c>
      <c r="E12" s="67">
        <f t="shared" ref="E12:E15" si="1">round((C12+C13)/20,0)*10</f>
        <v>3027150</v>
      </c>
      <c r="F12" s="2"/>
      <c r="G12" s="2" t="s">
        <v>1105</v>
      </c>
      <c r="I12" s="2" t="s">
        <v>1106</v>
      </c>
      <c r="L12" s="2" t="s">
        <v>1107</v>
      </c>
      <c r="M12" s="167">
        <v>100.0</v>
      </c>
      <c r="N12" s="2" t="s">
        <v>1092</v>
      </c>
      <c r="O12" s="2" t="s">
        <v>1108</v>
      </c>
      <c r="P12" s="74">
        <f>(1-P10*0.01)^P11 *100</f>
        <v>1</v>
      </c>
      <c r="Q12" s="2" t="s">
        <v>150</v>
      </c>
    </row>
    <row r="13">
      <c r="B13" s="52" t="s">
        <v>1111</v>
      </c>
      <c r="C13" s="95">
        <f> (C4) / (0.0000000305 * C8) * SQRT( (0.000000002 *C6  * C7) / (1*C17 * PI()) )</f>
        <v>1454563.269</v>
      </c>
      <c r="D13" s="2" t="s">
        <v>295</v>
      </c>
      <c r="E13" s="67">
        <f t="shared" si="1"/>
        <v>957270</v>
      </c>
      <c r="F13" s="2"/>
      <c r="G13" s="2" t="s">
        <v>1115</v>
      </c>
      <c r="I13" s="2" t="s">
        <v>1117</v>
      </c>
      <c r="L13" s="2" t="s">
        <v>1119</v>
      </c>
      <c r="M13" s="2">
        <f>M12*M10*10^-3</f>
        <v>1</v>
      </c>
      <c r="N13" s="2" t="s">
        <v>1122</v>
      </c>
    </row>
    <row r="14">
      <c r="B14" s="52" t="s">
        <v>1125</v>
      </c>
      <c r="C14" s="25">
        <f> (C4) / (0.0000000305 * C8) * SQRT( (0.000000002 *C6  * C7) / (10*C17 * PI()) )</f>
        <v>459973.293</v>
      </c>
      <c r="D14" s="2" t="s">
        <v>295</v>
      </c>
      <c r="E14" s="67">
        <f t="shared" si="1"/>
        <v>302710</v>
      </c>
      <c r="F14" s="2"/>
      <c r="G14" s="2" t="s">
        <v>1130</v>
      </c>
      <c r="I14" s="2" t="s">
        <v>1131</v>
      </c>
      <c r="L14" s="2" t="s">
        <v>1132</v>
      </c>
      <c r="M14">
        <f>M13*5</f>
        <v>5</v>
      </c>
      <c r="N14" s="2" t="s">
        <v>1134</v>
      </c>
    </row>
    <row r="15">
      <c r="B15" s="52" t="s">
        <v>1135</v>
      </c>
      <c r="C15" s="25">
        <f> (C4) / (0.0000000305 * C8) * SQRT( (0.000000002 *C6  * C7) / (100*C17 * PI()) )</f>
        <v>145456.3269</v>
      </c>
      <c r="D15" s="2" t="s">
        <v>295</v>
      </c>
      <c r="E15" s="67">
        <f t="shared" si="1"/>
        <v>72730</v>
      </c>
      <c r="I15" s="2" t="s">
        <v>1140</v>
      </c>
      <c r="L15" s="2" t="s">
        <v>1142</v>
      </c>
      <c r="M15" s="2" t="s">
        <v>1144</v>
      </c>
    </row>
    <row r="17">
      <c r="B17" s="2" t="s">
        <v>1119</v>
      </c>
      <c r="C17" s="49">
        <v>1.0</v>
      </c>
      <c r="D17" s="2" t="s">
        <v>1145</v>
      </c>
    </row>
    <row r="19" ht="22.5" customHeight="1">
      <c r="K19" s="176" t="s">
        <v>1148</v>
      </c>
      <c r="L19" s="176" t="s">
        <v>1154</v>
      </c>
      <c r="M19" s="176" t="s">
        <v>1155</v>
      </c>
      <c r="N19" s="176" t="s">
        <v>1156</v>
      </c>
      <c r="O19" s="176" t="s">
        <v>1159</v>
      </c>
      <c r="P19" s="176" t="s">
        <v>1162</v>
      </c>
      <c r="Q19" s="176" t="s">
        <v>1165</v>
      </c>
      <c r="R19" s="176" t="s">
        <v>1168</v>
      </c>
      <c r="S19" s="176" t="s">
        <v>1171</v>
      </c>
      <c r="T19" s="176" t="s">
        <v>1172</v>
      </c>
      <c r="U19" s="176" t="s">
        <v>1175</v>
      </c>
      <c r="V19" s="2">
        <v>11.0</v>
      </c>
      <c r="W19" s="2">
        <v>12.0</v>
      </c>
    </row>
    <row r="20" ht="22.5" customHeight="1">
      <c r="K20" s="177">
        <v>20.0</v>
      </c>
      <c r="L20" s="178">
        <f t="shared" ref="L20:U20" si="2"> (L$19) / (0.0000000305 * $C$8) * SQRT( (0.000000002 *$K20  * $C$7) / (PI()) )</f>
        <v>29.09126537</v>
      </c>
      <c r="M20" s="178">
        <f t="shared" si="2"/>
        <v>58.18253075</v>
      </c>
      <c r="N20" s="178">
        <f t="shared" si="2"/>
        <v>87.27379612</v>
      </c>
      <c r="O20" s="178">
        <f t="shared" si="2"/>
        <v>116.3650615</v>
      </c>
      <c r="P20" s="178">
        <f t="shared" si="2"/>
        <v>145.4563269</v>
      </c>
      <c r="Q20" s="178">
        <f t="shared" si="2"/>
        <v>174.5475922</v>
      </c>
      <c r="R20" s="178">
        <f t="shared" si="2"/>
        <v>203.6388576</v>
      </c>
      <c r="S20" s="178">
        <f t="shared" si="2"/>
        <v>232.730123</v>
      </c>
      <c r="T20" s="178">
        <f t="shared" si="2"/>
        <v>261.8213884</v>
      </c>
      <c r="U20" s="178">
        <f t="shared" si="2"/>
        <v>290.9126537</v>
      </c>
    </row>
    <row r="21" ht="22.5" customHeight="1">
      <c r="H21" s="87"/>
      <c r="I21" s="2"/>
      <c r="K21" s="177">
        <v>40.0</v>
      </c>
      <c r="L21" s="178">
        <f t="shared" ref="L21:U21" si="3"> (L$19) / (0.0000000305 * $C$8) * SQRT( (0.000000002 *$K21  * $C$7) / (PI()) )</f>
        <v>41.14126204</v>
      </c>
      <c r="M21" s="178">
        <f t="shared" si="3"/>
        <v>82.28252407</v>
      </c>
      <c r="N21" s="178">
        <f t="shared" si="3"/>
        <v>123.4237861</v>
      </c>
      <c r="O21" s="178">
        <f t="shared" si="3"/>
        <v>164.5650481</v>
      </c>
      <c r="P21" s="178">
        <f t="shared" si="3"/>
        <v>205.7063102</v>
      </c>
      <c r="Q21" s="178">
        <f t="shared" si="3"/>
        <v>246.8475722</v>
      </c>
      <c r="R21" s="178">
        <f t="shared" si="3"/>
        <v>287.9888343</v>
      </c>
      <c r="S21" s="178">
        <f t="shared" si="3"/>
        <v>329.1300963</v>
      </c>
      <c r="T21" s="178">
        <f t="shared" si="3"/>
        <v>370.2713583</v>
      </c>
      <c r="U21" s="178">
        <f t="shared" si="3"/>
        <v>411.4126204</v>
      </c>
    </row>
    <row r="22" ht="22.5" customHeight="1">
      <c r="H22" s="67">
        <f>H9*10^3/H5/6/60</f>
        <v>0.004444444444</v>
      </c>
      <c r="I22" s="2" t="s">
        <v>1176</v>
      </c>
      <c r="K22" s="177">
        <v>60.0</v>
      </c>
      <c r="L22" s="178">
        <f t="shared" ref="L22:U22" si="4"> (L$19) / (0.0000000305 * $C$8) * SQRT( (0.000000002 *$K22  * $C$7) / (PI()) )</f>
        <v>50.38754968</v>
      </c>
      <c r="M22" s="178">
        <f t="shared" si="4"/>
        <v>100.7750994</v>
      </c>
      <c r="N22" s="178">
        <f t="shared" si="4"/>
        <v>151.162649</v>
      </c>
      <c r="O22" s="178">
        <f t="shared" si="4"/>
        <v>201.5501987</v>
      </c>
      <c r="P22" s="178">
        <f t="shared" si="4"/>
        <v>251.9377484</v>
      </c>
      <c r="Q22" s="178">
        <f t="shared" si="4"/>
        <v>302.3252981</v>
      </c>
      <c r="R22" s="178">
        <f t="shared" si="4"/>
        <v>352.7128478</v>
      </c>
      <c r="S22" s="178">
        <f t="shared" si="4"/>
        <v>403.1003975</v>
      </c>
      <c r="T22" s="178">
        <f t="shared" si="4"/>
        <v>453.4879471</v>
      </c>
      <c r="U22" s="178">
        <f t="shared" si="4"/>
        <v>503.8754968</v>
      </c>
    </row>
    <row r="23" ht="22.5" customHeight="1">
      <c r="K23" s="177">
        <v>80.0</v>
      </c>
      <c r="L23" s="178">
        <f t="shared" ref="L23:U23" si="5"> (L$19) / (0.0000000305 * $C$8) * SQRT( (0.000000002 *$K23  * $C$7) / (PI()) )</f>
        <v>58.18253075</v>
      </c>
      <c r="M23" s="178">
        <f t="shared" si="5"/>
        <v>116.3650615</v>
      </c>
      <c r="N23" s="178">
        <f t="shared" si="5"/>
        <v>174.5475922</v>
      </c>
      <c r="O23" s="178">
        <f t="shared" si="5"/>
        <v>232.730123</v>
      </c>
      <c r="P23" s="178">
        <f t="shared" si="5"/>
        <v>290.9126537</v>
      </c>
      <c r="Q23" s="178">
        <f t="shared" si="5"/>
        <v>349.0951845</v>
      </c>
      <c r="R23" s="178">
        <f t="shared" si="5"/>
        <v>407.2777152</v>
      </c>
      <c r="S23" s="178">
        <f t="shared" si="5"/>
        <v>465.460246</v>
      </c>
      <c r="T23" s="178">
        <f t="shared" si="5"/>
        <v>523.6427767</v>
      </c>
      <c r="U23" s="178">
        <f t="shared" si="5"/>
        <v>581.8253075</v>
      </c>
    </row>
    <row r="24" ht="22.5" customHeight="1">
      <c r="K24" s="177">
        <v>100.0</v>
      </c>
      <c r="L24" s="178">
        <f t="shared" ref="L24:U24" si="6"> (L$19) / (0.0000000305 * $C$8) * SQRT( (0.000000002 *$K24  * $C$7) / (PI()) )</f>
        <v>65.05004693</v>
      </c>
      <c r="M24" s="178">
        <f t="shared" si="6"/>
        <v>130.1000939</v>
      </c>
      <c r="N24" s="178">
        <f t="shared" si="6"/>
        <v>195.1501408</v>
      </c>
      <c r="O24" s="178">
        <f t="shared" si="6"/>
        <v>260.2001877</v>
      </c>
      <c r="P24" s="178">
        <f t="shared" si="6"/>
        <v>325.2502346</v>
      </c>
      <c r="Q24" s="178">
        <f t="shared" si="6"/>
        <v>390.3002816</v>
      </c>
      <c r="R24" s="178">
        <f t="shared" si="6"/>
        <v>455.3503285</v>
      </c>
      <c r="S24" s="178">
        <f t="shared" si="6"/>
        <v>520.4003754</v>
      </c>
      <c r="T24" s="178">
        <f t="shared" si="6"/>
        <v>585.4504223</v>
      </c>
      <c r="U24" s="178">
        <f t="shared" si="6"/>
        <v>650.5004693</v>
      </c>
    </row>
    <row r="25" ht="22.5" customHeight="1">
      <c r="K25" s="177">
        <v>120.0</v>
      </c>
      <c r="L25" s="178">
        <f t="shared" ref="L25:U25" si="7"> (L$19) / (0.0000000305 * $C$8) * SQRT( (0.000000002 *$K25  * $C$7) / (PI()) )</f>
        <v>71.25875614</v>
      </c>
      <c r="M25" s="178">
        <f t="shared" si="7"/>
        <v>142.5175123</v>
      </c>
      <c r="N25" s="178">
        <f t="shared" si="7"/>
        <v>213.7762684</v>
      </c>
      <c r="O25" s="178">
        <f t="shared" si="7"/>
        <v>285.0350245</v>
      </c>
      <c r="P25" s="178">
        <f t="shared" si="7"/>
        <v>356.2937807</v>
      </c>
      <c r="Q25" s="178">
        <f t="shared" si="7"/>
        <v>427.5525368</v>
      </c>
      <c r="R25" s="178">
        <f t="shared" si="7"/>
        <v>498.8112929</v>
      </c>
      <c r="S25" s="178">
        <f t="shared" si="7"/>
        <v>570.0700491</v>
      </c>
      <c r="T25" s="178">
        <f t="shared" si="7"/>
        <v>641.3288052</v>
      </c>
      <c r="U25" s="178">
        <f t="shared" si="7"/>
        <v>712.5875614</v>
      </c>
    </row>
    <row r="26" ht="22.5" customHeight="1">
      <c r="K26" s="177">
        <v>140.0</v>
      </c>
      <c r="L26" s="178">
        <f t="shared" ref="L26:U26" si="8"> (L$19) / (0.0000000305 * $C$8) * SQRT( (0.000000002 *$K26  * $C$7) / (PI()) )</f>
        <v>76.9682535</v>
      </c>
      <c r="M26" s="178">
        <f t="shared" si="8"/>
        <v>153.936507</v>
      </c>
      <c r="N26" s="178">
        <f t="shared" si="8"/>
        <v>230.9047605</v>
      </c>
      <c r="O26" s="178">
        <f t="shared" si="8"/>
        <v>307.873014</v>
      </c>
      <c r="P26" s="178">
        <f t="shared" si="8"/>
        <v>384.8412675</v>
      </c>
      <c r="Q26" s="178">
        <f t="shared" si="8"/>
        <v>461.809521</v>
      </c>
      <c r="R26" s="178">
        <f t="shared" si="8"/>
        <v>538.7777745</v>
      </c>
      <c r="S26" s="178">
        <f t="shared" si="8"/>
        <v>615.746028</v>
      </c>
      <c r="T26" s="178">
        <f t="shared" si="8"/>
        <v>692.7142815</v>
      </c>
      <c r="U26" s="178">
        <f t="shared" si="8"/>
        <v>769.682535</v>
      </c>
    </row>
    <row r="27" ht="22.5" customHeight="1">
      <c r="K27" s="177">
        <v>160.0</v>
      </c>
      <c r="L27" s="178">
        <f t="shared" ref="L27:U27" si="9"> (L$19) / (0.0000000305 * $C$8) * SQRT( (0.000000002 *$K27  * $C$7) / (PI()) )</f>
        <v>82.28252407</v>
      </c>
      <c r="M27" s="178">
        <f t="shared" si="9"/>
        <v>164.5650481</v>
      </c>
      <c r="N27" s="178">
        <f t="shared" si="9"/>
        <v>246.8475722</v>
      </c>
      <c r="O27" s="178">
        <f t="shared" si="9"/>
        <v>329.1300963</v>
      </c>
      <c r="P27" s="178">
        <f t="shared" si="9"/>
        <v>411.4126204</v>
      </c>
      <c r="Q27" s="178">
        <f t="shared" si="9"/>
        <v>493.6951444</v>
      </c>
      <c r="R27" s="178">
        <f t="shared" si="9"/>
        <v>575.9776685</v>
      </c>
      <c r="S27" s="178">
        <f t="shared" si="9"/>
        <v>658.2601926</v>
      </c>
      <c r="T27" s="178">
        <f t="shared" si="9"/>
        <v>740.5427167</v>
      </c>
      <c r="U27" s="178">
        <f t="shared" si="9"/>
        <v>822.8252407</v>
      </c>
    </row>
    <row r="28" ht="22.5" customHeight="1">
      <c r="K28" s="177">
        <v>180.0</v>
      </c>
      <c r="L28" s="178">
        <f t="shared" ref="L28:U28" si="10"> (L$19) / (0.0000000305 * $C$8) * SQRT( (0.000000002 *$K28  * $C$7) / (PI()) )</f>
        <v>87.27379612</v>
      </c>
      <c r="M28" s="178">
        <f t="shared" si="10"/>
        <v>174.5475922</v>
      </c>
      <c r="N28" s="178">
        <f t="shared" si="10"/>
        <v>261.8213884</v>
      </c>
      <c r="O28" s="178">
        <f t="shared" si="10"/>
        <v>349.0951845</v>
      </c>
      <c r="P28" s="178">
        <f t="shared" si="10"/>
        <v>436.3689806</v>
      </c>
      <c r="Q28" s="178">
        <f t="shared" si="10"/>
        <v>523.6427767</v>
      </c>
      <c r="R28" s="178">
        <f t="shared" si="10"/>
        <v>610.9165728</v>
      </c>
      <c r="S28" s="178">
        <f t="shared" si="10"/>
        <v>698.190369</v>
      </c>
      <c r="T28" s="178">
        <f t="shared" si="10"/>
        <v>785.4641651</v>
      </c>
      <c r="U28" s="178">
        <f t="shared" si="10"/>
        <v>872.7379612</v>
      </c>
    </row>
    <row r="29" ht="22.5" customHeight="1">
      <c r="K29" s="177">
        <v>200.0</v>
      </c>
      <c r="L29" s="178">
        <f t="shared" ref="L29:U29" si="11"> (L$19) / (0.0000000305 * $C$8) * SQRT( (0.000000002 *$K29  * $C$7) / (PI()) )</f>
        <v>91.99465859</v>
      </c>
      <c r="M29" s="178">
        <f t="shared" si="11"/>
        <v>183.9893172</v>
      </c>
      <c r="N29" s="178">
        <f t="shared" si="11"/>
        <v>275.9839758</v>
      </c>
      <c r="O29" s="178">
        <f t="shared" si="11"/>
        <v>367.9786344</v>
      </c>
      <c r="P29" s="178">
        <f t="shared" si="11"/>
        <v>459.973293</v>
      </c>
      <c r="Q29" s="178">
        <f t="shared" si="11"/>
        <v>551.9679516</v>
      </c>
      <c r="R29" s="178">
        <f t="shared" si="11"/>
        <v>643.9626102</v>
      </c>
      <c r="S29" s="178">
        <f t="shared" si="11"/>
        <v>735.9572688</v>
      </c>
      <c r="T29" s="178">
        <f t="shared" si="11"/>
        <v>827.9519274</v>
      </c>
      <c r="U29" s="178">
        <f t="shared" si="11"/>
        <v>919.9465859</v>
      </c>
    </row>
    <row r="30" ht="22.5" customHeight="1">
      <c r="K30" s="177">
        <v>220.0</v>
      </c>
      <c r="L30" s="178">
        <f t="shared" ref="L30:U30" si="12"> (L$19) / (0.0000000305 * $C$8) * SQRT( (0.000000002 *$K30  * $C$7) / (PI()) )</f>
        <v>96.48481192</v>
      </c>
      <c r="M30" s="178">
        <f t="shared" si="12"/>
        <v>192.9696238</v>
      </c>
      <c r="N30" s="178">
        <f t="shared" si="12"/>
        <v>289.4544358</v>
      </c>
      <c r="O30" s="178">
        <f t="shared" si="12"/>
        <v>385.9392477</v>
      </c>
      <c r="P30" s="178">
        <f t="shared" si="12"/>
        <v>482.4240596</v>
      </c>
      <c r="Q30" s="178">
        <f t="shared" si="12"/>
        <v>578.9088715</v>
      </c>
      <c r="R30" s="178">
        <f t="shared" si="12"/>
        <v>675.3936834</v>
      </c>
      <c r="S30" s="178">
        <f t="shared" si="12"/>
        <v>771.8784953</v>
      </c>
      <c r="T30" s="178">
        <f t="shared" si="12"/>
        <v>868.3633073</v>
      </c>
      <c r="U30" s="178">
        <f t="shared" si="12"/>
        <v>964.8481192</v>
      </c>
    </row>
    <row r="31" ht="22.5" customHeight="1">
      <c r="K31" s="177">
        <v>240.0</v>
      </c>
      <c r="L31" s="178">
        <f t="shared" ref="L31:U31" si="13"> (L$19) / (0.0000000305 * $C$8) * SQRT( (0.000000002 *$K31  * $C$7) / (PI()) )</f>
        <v>100.7750994</v>
      </c>
      <c r="M31" s="178">
        <f t="shared" si="13"/>
        <v>201.5501987</v>
      </c>
      <c r="N31" s="178">
        <f t="shared" si="13"/>
        <v>302.3252981</v>
      </c>
      <c r="O31" s="178">
        <f t="shared" si="13"/>
        <v>403.1003975</v>
      </c>
      <c r="P31" s="178">
        <f t="shared" si="13"/>
        <v>503.8754968</v>
      </c>
      <c r="Q31" s="178">
        <f t="shared" si="13"/>
        <v>604.6505962</v>
      </c>
      <c r="R31" s="178">
        <f t="shared" si="13"/>
        <v>705.4256956</v>
      </c>
      <c r="S31" s="178">
        <f t="shared" si="13"/>
        <v>806.2007949</v>
      </c>
      <c r="T31" s="178">
        <f t="shared" si="13"/>
        <v>906.9758943</v>
      </c>
      <c r="U31" s="178">
        <f t="shared" si="13"/>
        <v>1007.750994</v>
      </c>
    </row>
    <row r="32" ht="22.5" customHeight="1">
      <c r="K32" s="177">
        <v>260.0</v>
      </c>
      <c r="L32" s="178">
        <f t="shared" ref="L32:U32" si="14"> (L$19) / (0.0000000305 * $C$8) * SQRT( (0.000000002 *$K32  * $C$7) / (PI()) )</f>
        <v>104.890049</v>
      </c>
      <c r="M32" s="178">
        <f t="shared" si="14"/>
        <v>209.7800979</v>
      </c>
      <c r="N32" s="178">
        <f t="shared" si="14"/>
        <v>314.6701469</v>
      </c>
      <c r="O32" s="178">
        <f t="shared" si="14"/>
        <v>419.5601959</v>
      </c>
      <c r="P32" s="178">
        <f t="shared" si="14"/>
        <v>524.4502449</v>
      </c>
      <c r="Q32" s="178">
        <f t="shared" si="14"/>
        <v>629.3402938</v>
      </c>
      <c r="R32" s="178">
        <f t="shared" si="14"/>
        <v>734.2303428</v>
      </c>
      <c r="S32" s="178">
        <f t="shared" si="14"/>
        <v>839.1203918</v>
      </c>
      <c r="T32" s="178">
        <f t="shared" si="14"/>
        <v>944.0104407</v>
      </c>
      <c r="U32" s="178">
        <f t="shared" si="14"/>
        <v>1048.90049</v>
      </c>
    </row>
    <row r="33" ht="22.5" customHeight="1">
      <c r="K33" s="177">
        <v>280.0</v>
      </c>
      <c r="L33" s="178">
        <f t="shared" ref="L33:U33" si="15"> (L$19) / (0.0000000305 * $C$8) * SQRT( (0.000000002 *$K33  * $C$7) / (PI()) )</f>
        <v>108.849548</v>
      </c>
      <c r="M33" s="178">
        <f t="shared" si="15"/>
        <v>217.6990959</v>
      </c>
      <c r="N33" s="178">
        <f t="shared" si="15"/>
        <v>326.5486439</v>
      </c>
      <c r="O33" s="178">
        <f t="shared" si="15"/>
        <v>435.3981919</v>
      </c>
      <c r="P33" s="178">
        <f t="shared" si="15"/>
        <v>544.2477399</v>
      </c>
      <c r="Q33" s="178">
        <f t="shared" si="15"/>
        <v>653.0972878</v>
      </c>
      <c r="R33" s="178">
        <f t="shared" si="15"/>
        <v>761.9468358</v>
      </c>
      <c r="S33" s="178">
        <f t="shared" si="15"/>
        <v>870.7963838</v>
      </c>
      <c r="T33" s="178">
        <f t="shared" si="15"/>
        <v>979.6459318</v>
      </c>
      <c r="U33" s="178">
        <f t="shared" si="15"/>
        <v>1088.49548</v>
      </c>
    </row>
    <row r="34" ht="22.5" customHeight="1">
      <c r="K34" s="177">
        <v>300.0</v>
      </c>
      <c r="L34" s="178">
        <f t="shared" ref="L34:U34" si="16"> (L$19) / (0.0000000305 * $C$8) * SQRT( (0.000000002 *$K34  * $C$7) / (PI()) )</f>
        <v>112.6699863</v>
      </c>
      <c r="M34" s="178">
        <f t="shared" si="16"/>
        <v>225.3399726</v>
      </c>
      <c r="N34" s="178">
        <f t="shared" si="16"/>
        <v>338.0099589</v>
      </c>
      <c r="O34" s="178">
        <f t="shared" si="16"/>
        <v>450.6799452</v>
      </c>
      <c r="P34" s="178">
        <f t="shared" si="16"/>
        <v>563.3499315</v>
      </c>
      <c r="Q34" s="178">
        <f t="shared" si="16"/>
        <v>676.0199179</v>
      </c>
      <c r="R34" s="178">
        <f t="shared" si="16"/>
        <v>788.6899042</v>
      </c>
      <c r="S34" s="178">
        <f t="shared" si="16"/>
        <v>901.3598905</v>
      </c>
      <c r="T34" s="178">
        <f t="shared" si="16"/>
        <v>1014.029877</v>
      </c>
      <c r="U34" s="178">
        <f t="shared" si="16"/>
        <v>1126.699863</v>
      </c>
    </row>
    <row r="35" ht="22.5" customHeight="1">
      <c r="K35" s="177">
        <v>320.0</v>
      </c>
      <c r="L35" s="178">
        <f t="shared" ref="L35:U35" si="17"> (L$19) / (0.0000000305 * $C$8) * SQRT( (0.000000002 *$K35  * $C$7) / (PI()) )</f>
        <v>116.3650615</v>
      </c>
      <c r="M35" s="178">
        <f t="shared" si="17"/>
        <v>232.730123</v>
      </c>
      <c r="N35" s="178">
        <f t="shared" si="17"/>
        <v>349.0951845</v>
      </c>
      <c r="O35" s="178">
        <f t="shared" si="17"/>
        <v>465.460246</v>
      </c>
      <c r="P35" s="178">
        <f t="shared" si="17"/>
        <v>581.8253075</v>
      </c>
      <c r="Q35" s="178">
        <f t="shared" si="17"/>
        <v>698.190369</v>
      </c>
      <c r="R35" s="178">
        <f t="shared" si="17"/>
        <v>814.5554304</v>
      </c>
      <c r="S35" s="178">
        <f t="shared" si="17"/>
        <v>930.9204919</v>
      </c>
      <c r="T35" s="178">
        <f t="shared" si="17"/>
        <v>1047.285553</v>
      </c>
      <c r="U35" s="178">
        <f t="shared" si="17"/>
        <v>1163.650615</v>
      </c>
    </row>
    <row r="36" ht="22.5" customHeight="1">
      <c r="K36" s="177">
        <v>340.0</v>
      </c>
      <c r="L36" s="178">
        <f t="shared" ref="L36:U36" si="18"> (L$19) / (0.0000000305 * $C$8) * SQRT( (0.000000002 *$K36  * $C$7) / (PI()) )</f>
        <v>119.9463599</v>
      </c>
      <c r="M36" s="178">
        <f t="shared" si="18"/>
        <v>239.8927198</v>
      </c>
      <c r="N36" s="178">
        <f t="shared" si="18"/>
        <v>359.8390797</v>
      </c>
      <c r="O36" s="178">
        <f t="shared" si="18"/>
        <v>479.7854397</v>
      </c>
      <c r="P36" s="178">
        <f t="shared" si="18"/>
        <v>599.7317996</v>
      </c>
      <c r="Q36" s="178">
        <f t="shared" si="18"/>
        <v>719.6781595</v>
      </c>
      <c r="R36" s="178">
        <f t="shared" si="18"/>
        <v>839.6245194</v>
      </c>
      <c r="S36" s="178">
        <f t="shared" si="18"/>
        <v>959.5708793</v>
      </c>
      <c r="T36" s="178">
        <f t="shared" si="18"/>
        <v>1079.517239</v>
      </c>
      <c r="U36" s="178">
        <f t="shared" si="18"/>
        <v>1199.463599</v>
      </c>
    </row>
    <row r="37" ht="22.5" customHeight="1">
      <c r="K37" s="177">
        <v>360.0</v>
      </c>
      <c r="L37" s="178">
        <f t="shared" ref="L37:U37" si="19"> (L$19) / (0.0000000305 * $C$8) * SQRT( (0.000000002 *$K37  * $C$7) / (PI()) )</f>
        <v>123.4237861</v>
      </c>
      <c r="M37" s="178">
        <f t="shared" si="19"/>
        <v>246.8475722</v>
      </c>
      <c r="N37" s="178">
        <f t="shared" si="19"/>
        <v>370.2713583</v>
      </c>
      <c r="O37" s="178">
        <f t="shared" si="19"/>
        <v>493.6951444</v>
      </c>
      <c r="P37" s="178">
        <f t="shared" si="19"/>
        <v>617.1189306</v>
      </c>
      <c r="Q37" s="178">
        <f t="shared" si="19"/>
        <v>740.5427167</v>
      </c>
      <c r="R37" s="178">
        <f t="shared" si="19"/>
        <v>863.9665028</v>
      </c>
      <c r="S37" s="178">
        <f t="shared" si="19"/>
        <v>987.3902889</v>
      </c>
      <c r="T37" s="178">
        <f t="shared" si="19"/>
        <v>1110.814075</v>
      </c>
      <c r="U37" s="178">
        <f t="shared" si="19"/>
        <v>1234.237861</v>
      </c>
    </row>
    <row r="38" ht="22.5" customHeight="1">
      <c r="K38" s="177">
        <v>380.0</v>
      </c>
      <c r="L38" s="178">
        <f t="shared" ref="L38:U38" si="20"> (L$19) / (0.0000000305 * $C$8) * SQRT( (0.000000002 *$K38  * $C$7) / (PI()) )</f>
        <v>126.8058859</v>
      </c>
      <c r="M38" s="178">
        <f t="shared" si="20"/>
        <v>253.6117718</v>
      </c>
      <c r="N38" s="178">
        <f t="shared" si="20"/>
        <v>380.4176577</v>
      </c>
      <c r="O38" s="178">
        <f t="shared" si="20"/>
        <v>507.2235436</v>
      </c>
      <c r="P38" s="178">
        <f t="shared" si="20"/>
        <v>634.0294295</v>
      </c>
      <c r="Q38" s="178">
        <f t="shared" si="20"/>
        <v>760.8353154</v>
      </c>
      <c r="R38" s="178">
        <f t="shared" si="20"/>
        <v>887.6412013</v>
      </c>
      <c r="S38" s="178">
        <f t="shared" si="20"/>
        <v>1014.447087</v>
      </c>
      <c r="T38" s="178">
        <f t="shared" si="20"/>
        <v>1141.252973</v>
      </c>
      <c r="U38" s="178">
        <f t="shared" si="20"/>
        <v>1268.058859</v>
      </c>
    </row>
    <row r="39" ht="22.5" customHeight="1">
      <c r="K39" s="177">
        <v>400.0</v>
      </c>
      <c r="L39" s="178">
        <f t="shared" ref="L39:U39" si="21"> (L$19) / (0.0000000305 * $C$8) * SQRT( (0.000000002 *$K39  * $C$7) / (PI()) )</f>
        <v>130.1000939</v>
      </c>
      <c r="M39" s="178">
        <f t="shared" si="21"/>
        <v>260.2001877</v>
      </c>
      <c r="N39" s="178">
        <f t="shared" si="21"/>
        <v>390.3002816</v>
      </c>
      <c r="O39" s="178">
        <f t="shared" si="21"/>
        <v>520.4003754</v>
      </c>
      <c r="P39" s="178">
        <f t="shared" si="21"/>
        <v>650.5004693</v>
      </c>
      <c r="Q39" s="178">
        <f t="shared" si="21"/>
        <v>780.6005631</v>
      </c>
      <c r="R39" s="178">
        <f t="shared" si="21"/>
        <v>910.700657</v>
      </c>
      <c r="S39" s="178">
        <f t="shared" si="21"/>
        <v>1040.800751</v>
      </c>
      <c r="T39" s="178">
        <f t="shared" si="21"/>
        <v>1170.900845</v>
      </c>
      <c r="U39" s="178">
        <f t="shared" si="21"/>
        <v>1301.000939</v>
      </c>
    </row>
    <row r="40" ht="22.5" customHeight="1">
      <c r="K40" s="177">
        <v>420.0</v>
      </c>
      <c r="L40" s="178">
        <f t="shared" ref="L40:U40" si="22"> (L$19) / (0.0000000305 * $C$8) * SQRT( (0.000000002 *$K40  * $C$7) / (PI()) )</f>
        <v>133.3129256</v>
      </c>
      <c r="M40" s="178">
        <f t="shared" si="22"/>
        <v>266.6258513</v>
      </c>
      <c r="N40" s="178">
        <f t="shared" si="22"/>
        <v>399.9387769</v>
      </c>
      <c r="O40" s="178">
        <f t="shared" si="22"/>
        <v>533.2517025</v>
      </c>
      <c r="P40" s="178">
        <f t="shared" si="22"/>
        <v>666.5646282</v>
      </c>
      <c r="Q40" s="178">
        <f t="shared" si="22"/>
        <v>799.8775538</v>
      </c>
      <c r="R40" s="178">
        <f t="shared" si="22"/>
        <v>933.1904794</v>
      </c>
      <c r="S40" s="178">
        <f t="shared" si="22"/>
        <v>1066.503405</v>
      </c>
      <c r="T40" s="178">
        <f t="shared" si="22"/>
        <v>1199.816331</v>
      </c>
      <c r="U40" s="178">
        <f t="shared" si="22"/>
        <v>1333.129256</v>
      </c>
    </row>
    <row r="41" ht="22.5" customHeight="1">
      <c r="K41" s="177">
        <v>440.0</v>
      </c>
      <c r="L41" s="178">
        <f t="shared" ref="L41:U41" si="23"> (L$19) / (0.0000000305 * $C$8) * SQRT( (0.000000002 *$K41  * $C$7) / (PI()) )</f>
        <v>136.4501296</v>
      </c>
      <c r="M41" s="178">
        <f t="shared" si="23"/>
        <v>272.9002592</v>
      </c>
      <c r="N41" s="178">
        <f t="shared" si="23"/>
        <v>409.3503887</v>
      </c>
      <c r="O41" s="178">
        <f t="shared" si="23"/>
        <v>545.8005183</v>
      </c>
      <c r="P41" s="178">
        <f t="shared" si="23"/>
        <v>682.2506479</v>
      </c>
      <c r="Q41" s="178">
        <f t="shared" si="23"/>
        <v>818.7007775</v>
      </c>
      <c r="R41" s="178">
        <f t="shared" si="23"/>
        <v>955.150907</v>
      </c>
      <c r="S41" s="178">
        <f t="shared" si="23"/>
        <v>1091.601037</v>
      </c>
      <c r="T41" s="178">
        <f t="shared" si="23"/>
        <v>1228.051166</v>
      </c>
      <c r="U41" s="178">
        <f t="shared" si="23"/>
        <v>1364.501296</v>
      </c>
    </row>
    <row r="42" ht="22.5" customHeight="1">
      <c r="K42" s="177">
        <v>460.0</v>
      </c>
      <c r="L42" s="178">
        <f t="shared" ref="L42:U42" si="24"> (L$19) / (0.0000000305 * $C$8) * SQRT( (0.000000002 *$K42  * $C$7) / (PI()) )</f>
        <v>139.5168075</v>
      </c>
      <c r="M42" s="178">
        <f t="shared" si="24"/>
        <v>279.0336151</v>
      </c>
      <c r="N42" s="178">
        <f t="shared" si="24"/>
        <v>418.5504226</v>
      </c>
      <c r="O42" s="178">
        <f t="shared" si="24"/>
        <v>558.0672301</v>
      </c>
      <c r="P42" s="178">
        <f t="shared" si="24"/>
        <v>697.5840376</v>
      </c>
      <c r="Q42" s="178">
        <f t="shared" si="24"/>
        <v>837.1008452</v>
      </c>
      <c r="R42" s="178">
        <f t="shared" si="24"/>
        <v>976.6176527</v>
      </c>
      <c r="S42" s="178">
        <f t="shared" si="24"/>
        <v>1116.13446</v>
      </c>
      <c r="T42" s="178">
        <f t="shared" si="24"/>
        <v>1255.651268</v>
      </c>
      <c r="U42" s="178">
        <f t="shared" si="24"/>
        <v>1395.168075</v>
      </c>
    </row>
    <row r="43" ht="22.5" customHeight="1">
      <c r="K43" s="177">
        <v>480.0</v>
      </c>
      <c r="L43" s="178">
        <f t="shared" ref="L43:U43" si="25"> (L$19) / (0.0000000305 * $C$8) * SQRT( (0.000000002 *$K43  * $C$7) / (PI()) )</f>
        <v>142.5175123</v>
      </c>
      <c r="M43" s="178">
        <f t="shared" si="25"/>
        <v>285.0350245</v>
      </c>
      <c r="N43" s="178">
        <f t="shared" si="25"/>
        <v>427.5525368</v>
      </c>
      <c r="O43" s="178">
        <f t="shared" si="25"/>
        <v>570.0700491</v>
      </c>
      <c r="P43" s="178">
        <f t="shared" si="25"/>
        <v>712.5875614</v>
      </c>
      <c r="Q43" s="178">
        <f t="shared" si="25"/>
        <v>855.1050736</v>
      </c>
      <c r="R43" s="178">
        <f t="shared" si="25"/>
        <v>997.6225859</v>
      </c>
      <c r="S43" s="178">
        <f t="shared" si="25"/>
        <v>1140.140098</v>
      </c>
      <c r="T43" s="178">
        <f t="shared" si="25"/>
        <v>1282.65761</v>
      </c>
      <c r="U43" s="178">
        <f t="shared" si="25"/>
        <v>1425.175123</v>
      </c>
    </row>
    <row r="44" ht="22.5" customHeight="1">
      <c r="K44" s="177">
        <v>500.0</v>
      </c>
      <c r="L44" s="178">
        <f t="shared" ref="L44:U44" si="26"> (L$19) / (0.0000000305 * $C$8) * SQRT( (0.000000002 *$K44  * $C$7) / (PI()) )</f>
        <v>145.4563269</v>
      </c>
      <c r="M44" s="178">
        <f t="shared" si="26"/>
        <v>290.9126537</v>
      </c>
      <c r="N44" s="178">
        <f t="shared" si="26"/>
        <v>436.3689806</v>
      </c>
      <c r="O44" s="178">
        <f t="shared" si="26"/>
        <v>581.8253075</v>
      </c>
      <c r="P44" s="178">
        <f t="shared" si="26"/>
        <v>727.2816343</v>
      </c>
      <c r="Q44" s="178">
        <f t="shared" si="26"/>
        <v>872.7379612</v>
      </c>
      <c r="R44" s="178">
        <f t="shared" si="26"/>
        <v>1018.194288</v>
      </c>
      <c r="S44" s="178">
        <f t="shared" si="26"/>
        <v>1163.650615</v>
      </c>
      <c r="T44" s="178">
        <f t="shared" si="26"/>
        <v>1309.106942</v>
      </c>
      <c r="U44" s="178">
        <f t="shared" si="26"/>
        <v>1454.563269</v>
      </c>
    </row>
    <row r="45" ht="22.5" customHeight="1">
      <c r="K45" s="177">
        <v>520.0</v>
      </c>
      <c r="L45" s="178">
        <f t="shared" ref="L45:U45" si="27"> (L$19) / (0.0000000305 * $C$8) * SQRT( (0.000000002 *$K45  * $C$7) / (PI()) )</f>
        <v>148.3369298</v>
      </c>
      <c r="M45" s="178">
        <f t="shared" si="27"/>
        <v>296.6738596</v>
      </c>
      <c r="N45" s="178">
        <f t="shared" si="27"/>
        <v>445.0107894</v>
      </c>
      <c r="O45" s="178">
        <f t="shared" si="27"/>
        <v>593.3477192</v>
      </c>
      <c r="P45" s="178">
        <f t="shared" si="27"/>
        <v>741.6846491</v>
      </c>
      <c r="Q45" s="178">
        <f t="shared" si="27"/>
        <v>890.0215789</v>
      </c>
      <c r="R45" s="178">
        <f t="shared" si="27"/>
        <v>1038.358509</v>
      </c>
      <c r="S45" s="178">
        <f t="shared" si="27"/>
        <v>1186.695438</v>
      </c>
      <c r="T45" s="178">
        <f t="shared" si="27"/>
        <v>1335.032368</v>
      </c>
      <c r="U45" s="178">
        <f t="shared" si="27"/>
        <v>1483.369298</v>
      </c>
    </row>
    <row r="46" ht="22.5" customHeight="1">
      <c r="K46" s="177">
        <v>540.0</v>
      </c>
      <c r="L46" s="178">
        <f t="shared" ref="L46:U46" si="28"> (L$19) / (0.0000000305 * $C$8) * SQRT( (0.000000002 *$K46  * $C$7) / (PI()) )</f>
        <v>151.162649</v>
      </c>
      <c r="M46" s="178">
        <f t="shared" si="28"/>
        <v>302.3252981</v>
      </c>
      <c r="N46" s="178">
        <f t="shared" si="28"/>
        <v>453.4879471</v>
      </c>
      <c r="O46" s="178">
        <f t="shared" si="28"/>
        <v>604.6505962</v>
      </c>
      <c r="P46" s="178">
        <f t="shared" si="28"/>
        <v>755.8132452</v>
      </c>
      <c r="Q46" s="178">
        <f t="shared" si="28"/>
        <v>906.9758943</v>
      </c>
      <c r="R46" s="178">
        <f t="shared" si="28"/>
        <v>1058.138543</v>
      </c>
      <c r="S46" s="178">
        <f t="shared" si="28"/>
        <v>1209.301192</v>
      </c>
      <c r="T46" s="178">
        <f t="shared" si="28"/>
        <v>1360.463841</v>
      </c>
      <c r="U46" s="178">
        <f t="shared" si="28"/>
        <v>1511.62649</v>
      </c>
    </row>
    <row r="47" ht="22.5" customHeight="1">
      <c r="K47" s="177">
        <v>560.0</v>
      </c>
      <c r="L47" s="178">
        <f t="shared" ref="L47:U47" si="29"> (L$19) / (0.0000000305 * $C$8) * SQRT( (0.000000002 *$K47  * $C$7) / (PI()) )</f>
        <v>153.936507</v>
      </c>
      <c r="M47" s="178">
        <f t="shared" si="29"/>
        <v>307.873014</v>
      </c>
      <c r="N47" s="178">
        <f t="shared" si="29"/>
        <v>461.809521</v>
      </c>
      <c r="O47" s="178">
        <f t="shared" si="29"/>
        <v>615.746028</v>
      </c>
      <c r="P47" s="178">
        <f t="shared" si="29"/>
        <v>769.682535</v>
      </c>
      <c r="Q47" s="178">
        <f t="shared" si="29"/>
        <v>923.619042</v>
      </c>
      <c r="R47" s="178">
        <f t="shared" si="29"/>
        <v>1077.555549</v>
      </c>
      <c r="S47" s="178">
        <f t="shared" si="29"/>
        <v>1231.492056</v>
      </c>
      <c r="T47" s="178">
        <f t="shared" si="29"/>
        <v>1385.428563</v>
      </c>
      <c r="U47" s="178">
        <f t="shared" si="29"/>
        <v>1539.36507</v>
      </c>
    </row>
    <row r="48" ht="22.5" customHeight="1">
      <c r="K48" s="177">
        <v>580.0</v>
      </c>
      <c r="L48" s="178">
        <f t="shared" ref="L48:U48" si="30"> (L$19) / (0.0000000305 * $C$8) * SQRT( (0.000000002 *$K48  * $C$7) / (PI()) )</f>
        <v>156.6612585</v>
      </c>
      <c r="M48" s="178">
        <f t="shared" si="30"/>
        <v>313.322517</v>
      </c>
      <c r="N48" s="178">
        <f t="shared" si="30"/>
        <v>469.9837754</v>
      </c>
      <c r="O48" s="178">
        <f t="shared" si="30"/>
        <v>626.6450339</v>
      </c>
      <c r="P48" s="178">
        <f t="shared" si="30"/>
        <v>783.3062924</v>
      </c>
      <c r="Q48" s="178">
        <f t="shared" si="30"/>
        <v>939.9675509</v>
      </c>
      <c r="R48" s="178">
        <f t="shared" si="30"/>
        <v>1096.628809</v>
      </c>
      <c r="S48" s="178">
        <f t="shared" si="30"/>
        <v>1253.290068</v>
      </c>
      <c r="T48" s="178">
        <f t="shared" si="30"/>
        <v>1409.951326</v>
      </c>
      <c r="U48" s="178">
        <f t="shared" si="30"/>
        <v>1566.612585</v>
      </c>
    </row>
    <row r="49" ht="22.5" customHeight="1">
      <c r="K49" s="177">
        <v>600.0</v>
      </c>
      <c r="L49" s="178">
        <f t="shared" ref="L49:U49" si="31"> (L$19) / (0.0000000305 * $C$8) * SQRT( (0.000000002 *$K49  * $C$7) / (PI()) )</f>
        <v>159.3394227</v>
      </c>
      <c r="M49" s="178">
        <f t="shared" si="31"/>
        <v>318.6788454</v>
      </c>
      <c r="N49" s="178">
        <f t="shared" si="31"/>
        <v>478.0182681</v>
      </c>
      <c r="O49" s="178">
        <f t="shared" si="31"/>
        <v>637.3576908</v>
      </c>
      <c r="P49" s="178">
        <f t="shared" si="31"/>
        <v>796.6971136</v>
      </c>
      <c r="Q49" s="178">
        <f t="shared" si="31"/>
        <v>956.0365363</v>
      </c>
      <c r="R49" s="178">
        <f t="shared" si="31"/>
        <v>1115.375959</v>
      </c>
      <c r="S49" s="178">
        <f t="shared" si="31"/>
        <v>1274.715382</v>
      </c>
      <c r="T49" s="178">
        <f t="shared" si="31"/>
        <v>1434.054804</v>
      </c>
      <c r="U49" s="178">
        <f t="shared" si="31"/>
        <v>1593.394227</v>
      </c>
    </row>
    <row r="50" ht="22.5" customHeight="1">
      <c r="K50" s="177">
        <v>620.0</v>
      </c>
      <c r="L50" s="178">
        <f t="shared" ref="L50:U50" si="32"> (L$19) / (0.0000000305 * $C$8) * SQRT( (0.000000002 *$K50  * $C$7) / (PI()) )</f>
        <v>161.9733106</v>
      </c>
      <c r="M50" s="178">
        <f t="shared" si="32"/>
        <v>323.9466212</v>
      </c>
      <c r="N50" s="178">
        <f t="shared" si="32"/>
        <v>485.9199318</v>
      </c>
      <c r="O50" s="178">
        <f t="shared" si="32"/>
        <v>647.8932425</v>
      </c>
      <c r="P50" s="178">
        <f t="shared" si="32"/>
        <v>809.8665531</v>
      </c>
      <c r="Q50" s="178">
        <f t="shared" si="32"/>
        <v>971.8398637</v>
      </c>
      <c r="R50" s="178">
        <f t="shared" si="32"/>
        <v>1133.813174</v>
      </c>
      <c r="S50" s="178">
        <f t="shared" si="32"/>
        <v>1295.786485</v>
      </c>
      <c r="T50" s="178">
        <f t="shared" si="32"/>
        <v>1457.759796</v>
      </c>
      <c r="U50" s="178">
        <f t="shared" si="32"/>
        <v>1619.733106</v>
      </c>
    </row>
    <row r="51" ht="22.5" customHeight="1">
      <c r="K51" s="177">
        <v>640.0</v>
      </c>
      <c r="L51" s="178">
        <f t="shared" ref="L51:U51" si="33"> (L$19) / (0.0000000305 * $C$8) * SQRT( (0.000000002 *$K51  * $C$7) / (PI()) )</f>
        <v>164.5650481</v>
      </c>
      <c r="M51" s="178">
        <f t="shared" si="33"/>
        <v>329.1300963</v>
      </c>
      <c r="N51" s="178">
        <f t="shared" si="33"/>
        <v>493.6951444</v>
      </c>
      <c r="O51" s="178">
        <f t="shared" si="33"/>
        <v>658.2601926</v>
      </c>
      <c r="P51" s="178">
        <f t="shared" si="33"/>
        <v>822.8252407</v>
      </c>
      <c r="Q51" s="178">
        <f t="shared" si="33"/>
        <v>987.3902889</v>
      </c>
      <c r="R51" s="178">
        <f t="shared" si="33"/>
        <v>1151.955337</v>
      </c>
      <c r="S51" s="178">
        <f t="shared" si="33"/>
        <v>1316.520385</v>
      </c>
      <c r="T51" s="178">
        <f t="shared" si="33"/>
        <v>1481.085433</v>
      </c>
      <c r="U51" s="178">
        <f t="shared" si="33"/>
        <v>1645.650481</v>
      </c>
    </row>
    <row r="52" ht="22.5" customHeight="1">
      <c r="K52" s="177">
        <v>660.0</v>
      </c>
      <c r="L52" s="178">
        <f t="shared" ref="L52:U52" si="34"> (L$19) / (0.0000000305 * $C$8) * SQRT( (0.000000002 *$K52  * $C$7) / (PI()) )</f>
        <v>167.1165964</v>
      </c>
      <c r="M52" s="178">
        <f t="shared" si="34"/>
        <v>334.2331928</v>
      </c>
      <c r="N52" s="178">
        <f t="shared" si="34"/>
        <v>501.3497892</v>
      </c>
      <c r="O52" s="178">
        <f t="shared" si="34"/>
        <v>668.4663856</v>
      </c>
      <c r="P52" s="178">
        <f t="shared" si="34"/>
        <v>835.582982</v>
      </c>
      <c r="Q52" s="178">
        <f t="shared" si="34"/>
        <v>1002.699578</v>
      </c>
      <c r="R52" s="178">
        <f t="shared" si="34"/>
        <v>1169.816175</v>
      </c>
      <c r="S52" s="178">
        <f t="shared" si="34"/>
        <v>1336.932771</v>
      </c>
      <c r="T52" s="178">
        <f t="shared" si="34"/>
        <v>1504.049368</v>
      </c>
      <c r="U52" s="178">
        <f t="shared" si="34"/>
        <v>1671.165964</v>
      </c>
    </row>
    <row r="53" ht="22.5" customHeight="1">
      <c r="K53" s="177">
        <v>680.0</v>
      </c>
      <c r="L53" s="178">
        <f t="shared" ref="L53:U53" si="35"> (L$19) / (0.0000000305 * $C$8) * SQRT( (0.000000002 *$K53  * $C$7) / (PI()) )</f>
        <v>169.6297689</v>
      </c>
      <c r="M53" s="178">
        <f t="shared" si="35"/>
        <v>339.2595379</v>
      </c>
      <c r="N53" s="178">
        <f t="shared" si="35"/>
        <v>508.8893068</v>
      </c>
      <c r="O53" s="178">
        <f t="shared" si="35"/>
        <v>678.5190758</v>
      </c>
      <c r="P53" s="178">
        <f t="shared" si="35"/>
        <v>848.1488447</v>
      </c>
      <c r="Q53" s="178">
        <f t="shared" si="35"/>
        <v>1017.778614</v>
      </c>
      <c r="R53" s="178">
        <f t="shared" si="35"/>
        <v>1187.408383</v>
      </c>
      <c r="S53" s="178">
        <f t="shared" si="35"/>
        <v>1357.038152</v>
      </c>
      <c r="T53" s="178">
        <f t="shared" si="35"/>
        <v>1526.667921</v>
      </c>
      <c r="U53" s="178">
        <f t="shared" si="35"/>
        <v>1696.297689</v>
      </c>
    </row>
    <row r="54" ht="22.5" customHeight="1">
      <c r="K54" s="177">
        <v>700.0</v>
      </c>
      <c r="L54" s="178">
        <f t="shared" ref="L54:U54" si="36"> (L$19) / (0.0000000305 * $C$8) * SQRT( (0.000000002 *$K54  * $C$7) / (PI()) )</f>
        <v>172.1062469</v>
      </c>
      <c r="M54" s="178">
        <f t="shared" si="36"/>
        <v>344.2124939</v>
      </c>
      <c r="N54" s="178">
        <f t="shared" si="36"/>
        <v>516.3187408</v>
      </c>
      <c r="O54" s="178">
        <f t="shared" si="36"/>
        <v>688.4249878</v>
      </c>
      <c r="P54" s="178">
        <f t="shared" si="36"/>
        <v>860.5312347</v>
      </c>
      <c r="Q54" s="178">
        <f t="shared" si="36"/>
        <v>1032.637482</v>
      </c>
      <c r="R54" s="178">
        <f t="shared" si="36"/>
        <v>1204.743729</v>
      </c>
      <c r="S54" s="178">
        <f t="shared" si="36"/>
        <v>1376.849976</v>
      </c>
      <c r="T54" s="178">
        <f t="shared" si="36"/>
        <v>1548.956222</v>
      </c>
      <c r="U54" s="178">
        <f t="shared" si="36"/>
        <v>1721.062469</v>
      </c>
    </row>
    <row r="55" ht="22.5" customHeight="1">
      <c r="K55" s="177">
        <v>720.0</v>
      </c>
      <c r="L55" s="178">
        <f t="shared" ref="L55:U55" si="37"> (L$19) / (0.0000000305 * $C$8) * SQRT( (0.000000002 *$K55  * $C$7) / (PI()) )</f>
        <v>174.5475922</v>
      </c>
      <c r="M55" s="178">
        <f t="shared" si="37"/>
        <v>349.0951845</v>
      </c>
      <c r="N55" s="178">
        <f t="shared" si="37"/>
        <v>523.6427767</v>
      </c>
      <c r="O55" s="178">
        <f t="shared" si="37"/>
        <v>698.190369</v>
      </c>
      <c r="P55" s="178">
        <f t="shared" si="37"/>
        <v>872.7379612</v>
      </c>
      <c r="Q55" s="178">
        <f t="shared" si="37"/>
        <v>1047.285553</v>
      </c>
      <c r="R55" s="178">
        <f t="shared" si="37"/>
        <v>1221.833146</v>
      </c>
      <c r="S55" s="178">
        <f t="shared" si="37"/>
        <v>1396.380738</v>
      </c>
      <c r="T55" s="178">
        <f t="shared" si="37"/>
        <v>1570.92833</v>
      </c>
      <c r="U55" s="178">
        <f t="shared" si="37"/>
        <v>1745.475922</v>
      </c>
    </row>
    <row r="56" ht="22.5" customHeight="1">
      <c r="K56" s="177">
        <v>740.0</v>
      </c>
      <c r="L56" s="178">
        <f t="shared" ref="L56:U56" si="38"> (L$19) / (0.0000000305 * $C$8) * SQRT( (0.000000002 *$K56  * $C$7) / (PI()) )</f>
        <v>176.955259</v>
      </c>
      <c r="M56" s="178">
        <f t="shared" si="38"/>
        <v>353.9105179</v>
      </c>
      <c r="N56" s="178">
        <f t="shared" si="38"/>
        <v>530.8657769</v>
      </c>
      <c r="O56" s="178">
        <f t="shared" si="38"/>
        <v>707.8210359</v>
      </c>
      <c r="P56" s="178">
        <f t="shared" si="38"/>
        <v>884.7762948</v>
      </c>
      <c r="Q56" s="178">
        <f t="shared" si="38"/>
        <v>1061.731554</v>
      </c>
      <c r="R56" s="178">
        <f t="shared" si="38"/>
        <v>1238.686813</v>
      </c>
      <c r="S56" s="178">
        <f t="shared" si="38"/>
        <v>1415.642072</v>
      </c>
      <c r="T56" s="178">
        <f t="shared" si="38"/>
        <v>1592.597331</v>
      </c>
      <c r="U56" s="178">
        <f t="shared" si="38"/>
        <v>1769.55259</v>
      </c>
    </row>
    <row r="57" ht="22.5" customHeight="1">
      <c r="K57" s="177">
        <v>760.0</v>
      </c>
      <c r="L57" s="178">
        <f t="shared" ref="L57:U57" si="39"> (L$19) / (0.0000000305 * $C$8) * SQRT( (0.000000002 *$K57  * $C$7) / (PI()) )</f>
        <v>179.3306036</v>
      </c>
      <c r="M57" s="178">
        <f t="shared" si="39"/>
        <v>358.6612073</v>
      </c>
      <c r="N57" s="178">
        <f t="shared" si="39"/>
        <v>537.9918109</v>
      </c>
      <c r="O57" s="178">
        <f t="shared" si="39"/>
        <v>717.3224145</v>
      </c>
      <c r="P57" s="178">
        <f t="shared" si="39"/>
        <v>896.6530181</v>
      </c>
      <c r="Q57" s="178">
        <f t="shared" si="39"/>
        <v>1075.983622</v>
      </c>
      <c r="R57" s="178">
        <f t="shared" si="39"/>
        <v>1255.314225</v>
      </c>
      <c r="S57" s="178">
        <f t="shared" si="39"/>
        <v>1434.644829</v>
      </c>
      <c r="T57" s="178">
        <f t="shared" si="39"/>
        <v>1613.975433</v>
      </c>
      <c r="U57" s="178">
        <f t="shared" si="39"/>
        <v>1793.306036</v>
      </c>
    </row>
    <row r="58" ht="22.5" customHeight="1">
      <c r="K58" s="177">
        <v>780.0</v>
      </c>
      <c r="L58" s="178">
        <f t="shared" ref="L58:U58" si="40"> (L$19) / (0.0000000305 * $C$8) * SQRT( (0.000000002 *$K58  * $C$7) / (PI()) )</f>
        <v>181.674894</v>
      </c>
      <c r="M58" s="178">
        <f t="shared" si="40"/>
        <v>363.349788</v>
      </c>
      <c r="N58" s="178">
        <f t="shared" si="40"/>
        <v>545.0246821</v>
      </c>
      <c r="O58" s="178">
        <f t="shared" si="40"/>
        <v>726.6995761</v>
      </c>
      <c r="P58" s="178">
        <f t="shared" si="40"/>
        <v>908.3744701</v>
      </c>
      <c r="Q58" s="178">
        <f t="shared" si="40"/>
        <v>1090.049364</v>
      </c>
      <c r="R58" s="178">
        <f t="shared" si="40"/>
        <v>1271.724258</v>
      </c>
      <c r="S58" s="178">
        <f t="shared" si="40"/>
        <v>1453.399152</v>
      </c>
      <c r="T58" s="178">
        <f t="shared" si="40"/>
        <v>1635.074046</v>
      </c>
      <c r="U58" s="178">
        <f t="shared" si="40"/>
        <v>1816.74894</v>
      </c>
    </row>
    <row r="59" ht="22.5" customHeight="1">
      <c r="K59" s="177">
        <v>800.0</v>
      </c>
      <c r="L59" s="178">
        <f t="shared" ref="L59:U59" si="41"> (L$19) / (0.0000000305 * $C$8) * SQRT( (0.000000002 *$K59  * $C$7) / (PI()) )</f>
        <v>183.9893172</v>
      </c>
      <c r="M59" s="178">
        <f t="shared" si="41"/>
        <v>367.9786344</v>
      </c>
      <c r="N59" s="178">
        <f t="shared" si="41"/>
        <v>551.9679516</v>
      </c>
      <c r="O59" s="178">
        <f t="shared" si="41"/>
        <v>735.9572688</v>
      </c>
      <c r="P59" s="178">
        <f t="shared" si="41"/>
        <v>919.9465859</v>
      </c>
      <c r="Q59" s="178">
        <f t="shared" si="41"/>
        <v>1103.935903</v>
      </c>
      <c r="R59" s="178">
        <f t="shared" si="41"/>
        <v>1287.92522</v>
      </c>
      <c r="S59" s="178">
        <f t="shared" si="41"/>
        <v>1471.914538</v>
      </c>
      <c r="T59" s="178">
        <f t="shared" si="41"/>
        <v>1655.903855</v>
      </c>
      <c r="U59" s="178">
        <f t="shared" si="41"/>
        <v>1839.893172</v>
      </c>
    </row>
    <row r="60" ht="22.5" customHeight="1">
      <c r="K60" s="177">
        <v>820.0</v>
      </c>
      <c r="L60" s="178">
        <f t="shared" ref="L60:U60" si="42"> (L$19) / (0.0000000305 * $C$8) * SQRT( (0.000000002 *$K60  * $C$7) / (PI()) )</f>
        <v>186.2749864</v>
      </c>
      <c r="M60" s="178">
        <f t="shared" si="42"/>
        <v>372.5499728</v>
      </c>
      <c r="N60" s="178">
        <f t="shared" si="42"/>
        <v>558.8249592</v>
      </c>
      <c r="O60" s="178">
        <f t="shared" si="42"/>
        <v>745.0999456</v>
      </c>
      <c r="P60" s="178">
        <f t="shared" si="42"/>
        <v>931.374932</v>
      </c>
      <c r="Q60" s="178">
        <f t="shared" si="42"/>
        <v>1117.649918</v>
      </c>
      <c r="R60" s="178">
        <f t="shared" si="42"/>
        <v>1303.924905</v>
      </c>
      <c r="S60" s="178">
        <f t="shared" si="42"/>
        <v>1490.199891</v>
      </c>
      <c r="T60" s="178">
        <f t="shared" si="42"/>
        <v>1676.474878</v>
      </c>
      <c r="U60" s="178">
        <f t="shared" si="42"/>
        <v>1862.749864</v>
      </c>
    </row>
    <row r="61" ht="22.5" customHeight="1">
      <c r="K61" s="177">
        <v>840.0</v>
      </c>
      <c r="L61" s="178">
        <f t="shared" ref="L61:U61" si="43"> (L$19) / (0.0000000305 * $C$8) * SQRT( (0.000000002 *$K61  * $C$7) / (PI()) )</f>
        <v>188.5329475</v>
      </c>
      <c r="M61" s="178">
        <f t="shared" si="43"/>
        <v>377.0658949</v>
      </c>
      <c r="N61" s="178">
        <f t="shared" si="43"/>
        <v>565.5988424</v>
      </c>
      <c r="O61" s="178">
        <f t="shared" si="43"/>
        <v>754.1317899</v>
      </c>
      <c r="P61" s="178">
        <f t="shared" si="43"/>
        <v>942.6647374</v>
      </c>
      <c r="Q61" s="178">
        <f t="shared" si="43"/>
        <v>1131.197685</v>
      </c>
      <c r="R61" s="178">
        <f t="shared" si="43"/>
        <v>1319.730632</v>
      </c>
      <c r="S61" s="178">
        <f t="shared" si="43"/>
        <v>1508.26358</v>
      </c>
      <c r="T61" s="178">
        <f t="shared" si="43"/>
        <v>1696.796527</v>
      </c>
      <c r="U61" s="178">
        <f t="shared" si="43"/>
        <v>1885.329475</v>
      </c>
    </row>
    <row r="62" ht="22.5" customHeight="1">
      <c r="K62" s="177">
        <v>860.0</v>
      </c>
      <c r="L62" s="178">
        <f t="shared" ref="L62:U62" si="44"> (L$19) / (0.0000000305 * $C$8) * SQRT( (0.000000002 *$K62  * $C$7) / (PI()) )</f>
        <v>190.7641843</v>
      </c>
      <c r="M62" s="178">
        <f t="shared" si="44"/>
        <v>381.5283686</v>
      </c>
      <c r="N62" s="178">
        <f t="shared" si="44"/>
        <v>572.2925528</v>
      </c>
      <c r="O62" s="178">
        <f t="shared" si="44"/>
        <v>763.0567371</v>
      </c>
      <c r="P62" s="178">
        <f t="shared" si="44"/>
        <v>953.8209214</v>
      </c>
      <c r="Q62" s="178">
        <f t="shared" si="44"/>
        <v>1144.585106</v>
      </c>
      <c r="R62" s="178">
        <f t="shared" si="44"/>
        <v>1335.34929</v>
      </c>
      <c r="S62" s="178">
        <f t="shared" si="44"/>
        <v>1526.113474</v>
      </c>
      <c r="T62" s="178">
        <f t="shared" si="44"/>
        <v>1716.877658</v>
      </c>
      <c r="U62" s="178">
        <f t="shared" si="44"/>
        <v>1907.641843</v>
      </c>
    </row>
    <row r="63" ht="22.5" customHeight="1">
      <c r="K63" s="177">
        <v>880.0</v>
      </c>
      <c r="L63" s="178">
        <f t="shared" ref="L63:U63" si="45"> (L$19) / (0.0000000305 * $C$8) * SQRT( (0.000000002 *$K63  * $C$7) / (PI()) )</f>
        <v>192.9696238</v>
      </c>
      <c r="M63" s="178">
        <f t="shared" si="45"/>
        <v>385.9392477</v>
      </c>
      <c r="N63" s="178">
        <f t="shared" si="45"/>
        <v>578.9088715</v>
      </c>
      <c r="O63" s="178">
        <f t="shared" si="45"/>
        <v>771.8784953</v>
      </c>
      <c r="P63" s="178">
        <f t="shared" si="45"/>
        <v>964.8481192</v>
      </c>
      <c r="Q63" s="178">
        <f t="shared" si="45"/>
        <v>1157.817743</v>
      </c>
      <c r="R63" s="178">
        <f t="shared" si="45"/>
        <v>1350.787367</v>
      </c>
      <c r="S63" s="178">
        <f t="shared" si="45"/>
        <v>1543.756991</v>
      </c>
      <c r="T63" s="178">
        <f t="shared" si="45"/>
        <v>1736.726615</v>
      </c>
      <c r="U63" s="178">
        <f t="shared" si="45"/>
        <v>1929.696238</v>
      </c>
    </row>
    <row r="64" ht="22.5" customHeight="1">
      <c r="K64" s="177">
        <v>900.0</v>
      </c>
      <c r="L64" s="178">
        <f t="shared" ref="L64:U64" si="46"> (L$19) / (0.0000000305 * $C$8) * SQRT( (0.000000002 *$K64  * $C$7) / (PI()) )</f>
        <v>195.1501408</v>
      </c>
      <c r="M64" s="178">
        <f t="shared" si="46"/>
        <v>390.3002816</v>
      </c>
      <c r="N64" s="178">
        <f t="shared" si="46"/>
        <v>585.4504223</v>
      </c>
      <c r="O64" s="178">
        <f t="shared" si="46"/>
        <v>780.6005631</v>
      </c>
      <c r="P64" s="178">
        <f t="shared" si="46"/>
        <v>975.7507039</v>
      </c>
      <c r="Q64" s="178">
        <f t="shared" si="46"/>
        <v>1170.900845</v>
      </c>
      <c r="R64" s="178">
        <f t="shared" si="46"/>
        <v>1366.050985</v>
      </c>
      <c r="S64" s="178">
        <f t="shared" si="46"/>
        <v>1561.201126</v>
      </c>
      <c r="T64" s="178">
        <f t="shared" si="46"/>
        <v>1756.351267</v>
      </c>
      <c r="U64" s="178">
        <f t="shared" si="46"/>
        <v>1951.501408</v>
      </c>
    </row>
    <row r="65" ht="22.5" customHeight="1">
      <c r="K65" s="177">
        <v>920.0</v>
      </c>
      <c r="L65" s="178">
        <f t="shared" ref="L65:U65" si="47"> (L$19) / (0.0000000305 * $C$8) * SQRT( (0.000000002 *$K65  * $C$7) / (PI()) )</f>
        <v>197.3065614</v>
      </c>
      <c r="M65" s="178">
        <f t="shared" si="47"/>
        <v>394.6131228</v>
      </c>
      <c r="N65" s="178">
        <f t="shared" si="47"/>
        <v>591.9196842</v>
      </c>
      <c r="O65" s="178">
        <f t="shared" si="47"/>
        <v>789.2262455</v>
      </c>
      <c r="P65" s="178">
        <f t="shared" si="47"/>
        <v>986.5328069</v>
      </c>
      <c r="Q65" s="178">
        <f t="shared" si="47"/>
        <v>1183.839368</v>
      </c>
      <c r="R65" s="178">
        <f t="shared" si="47"/>
        <v>1381.14593</v>
      </c>
      <c r="S65" s="178">
        <f t="shared" si="47"/>
        <v>1578.452491</v>
      </c>
      <c r="T65" s="178">
        <f t="shared" si="47"/>
        <v>1775.759052</v>
      </c>
      <c r="U65" s="178">
        <f t="shared" si="47"/>
        <v>1973.065614</v>
      </c>
    </row>
    <row r="66" ht="22.5" customHeight="1">
      <c r="K66" s="177">
        <v>940.0</v>
      </c>
      <c r="L66" s="178">
        <f t="shared" ref="L66:U66" si="48"> (L$19) / (0.0000000305 * $C$8) * SQRT( (0.000000002 *$K66  * $C$7) / (PI()) )</f>
        <v>199.4396673</v>
      </c>
      <c r="M66" s="178">
        <f t="shared" si="48"/>
        <v>398.8793346</v>
      </c>
      <c r="N66" s="178">
        <f t="shared" si="48"/>
        <v>598.3190019</v>
      </c>
      <c r="O66" s="178">
        <f t="shared" si="48"/>
        <v>797.7586691</v>
      </c>
      <c r="P66" s="178">
        <f t="shared" si="48"/>
        <v>997.1983364</v>
      </c>
      <c r="Q66" s="178">
        <f t="shared" si="48"/>
        <v>1196.638004</v>
      </c>
      <c r="R66" s="178">
        <f t="shared" si="48"/>
        <v>1396.077671</v>
      </c>
      <c r="S66" s="178">
        <f t="shared" si="48"/>
        <v>1595.517338</v>
      </c>
      <c r="T66" s="178">
        <f t="shared" si="48"/>
        <v>1794.957006</v>
      </c>
      <c r="U66" s="178">
        <f t="shared" si="48"/>
        <v>1994.396673</v>
      </c>
    </row>
    <row r="67" ht="22.5" customHeight="1">
      <c r="K67" s="177">
        <v>960.0</v>
      </c>
      <c r="L67" s="178">
        <f t="shared" ref="L67:U67" si="49"> (L$19) / (0.0000000305 * $C$8) * SQRT( (0.000000002 *$K67  * $C$7) / (PI()) )</f>
        <v>201.5501987</v>
      </c>
      <c r="M67" s="178">
        <f t="shared" si="49"/>
        <v>403.1003975</v>
      </c>
      <c r="N67" s="178">
        <f t="shared" si="49"/>
        <v>604.6505962</v>
      </c>
      <c r="O67" s="178">
        <f t="shared" si="49"/>
        <v>806.2007949</v>
      </c>
      <c r="P67" s="178">
        <f t="shared" si="49"/>
        <v>1007.750994</v>
      </c>
      <c r="Q67" s="178">
        <f t="shared" si="49"/>
        <v>1209.301192</v>
      </c>
      <c r="R67" s="178">
        <f t="shared" si="49"/>
        <v>1410.851391</v>
      </c>
      <c r="S67" s="178">
        <f t="shared" si="49"/>
        <v>1612.40159</v>
      </c>
      <c r="T67" s="178">
        <f t="shared" si="49"/>
        <v>1813.951789</v>
      </c>
      <c r="U67" s="178">
        <f t="shared" si="49"/>
        <v>2015.501987</v>
      </c>
    </row>
    <row r="68" ht="22.5" customHeight="1">
      <c r="K68" s="177">
        <v>980.0</v>
      </c>
      <c r="L68" s="178">
        <f t="shared" ref="L68:U68" si="50"> (L$19) / (0.0000000305 * $C$8) * SQRT( (0.000000002 *$K68  * $C$7) / (PI()) )</f>
        <v>203.6388576</v>
      </c>
      <c r="M68" s="178">
        <f t="shared" si="50"/>
        <v>407.2777152</v>
      </c>
      <c r="N68" s="178">
        <f t="shared" si="50"/>
        <v>610.9165728</v>
      </c>
      <c r="O68" s="178">
        <f t="shared" si="50"/>
        <v>814.5554304</v>
      </c>
      <c r="P68" s="178">
        <f t="shared" si="50"/>
        <v>1018.194288</v>
      </c>
      <c r="Q68" s="178">
        <f t="shared" si="50"/>
        <v>1221.833146</v>
      </c>
      <c r="R68" s="178">
        <f t="shared" si="50"/>
        <v>1425.472003</v>
      </c>
      <c r="S68" s="178">
        <f t="shared" si="50"/>
        <v>1629.110861</v>
      </c>
      <c r="T68" s="178">
        <f t="shared" si="50"/>
        <v>1832.749718</v>
      </c>
      <c r="U68" s="178">
        <f t="shared" si="50"/>
        <v>2036.388576</v>
      </c>
    </row>
    <row r="69" ht="22.5" customHeight="1">
      <c r="K69" s="177">
        <v>1000.0</v>
      </c>
      <c r="L69" s="178">
        <f t="shared" ref="L69:U69" si="51"> (L$19) / (0.0000000305 * $C$8) * SQRT( (0.000000002 *$K69  * $C$7) / (PI()) )</f>
        <v>205.7063102</v>
      </c>
      <c r="M69" s="178">
        <f t="shared" si="51"/>
        <v>411.4126204</v>
      </c>
      <c r="N69" s="178">
        <f t="shared" si="51"/>
        <v>617.1189306</v>
      </c>
      <c r="O69" s="178">
        <f t="shared" si="51"/>
        <v>822.8252407</v>
      </c>
      <c r="P69" s="178">
        <f t="shared" si="51"/>
        <v>1028.531551</v>
      </c>
      <c r="Q69" s="178">
        <f t="shared" si="51"/>
        <v>1234.237861</v>
      </c>
      <c r="R69" s="178">
        <f t="shared" si="51"/>
        <v>1439.944171</v>
      </c>
      <c r="S69" s="178">
        <f t="shared" si="51"/>
        <v>1645.650481</v>
      </c>
      <c r="T69" s="178">
        <f t="shared" si="51"/>
        <v>1851.356792</v>
      </c>
      <c r="U69" s="178">
        <f t="shared" si="51"/>
        <v>2057.063102</v>
      </c>
    </row>
  </sheetData>
  <dataValidations>
    <dataValidation type="custom" allowBlank="1" showDropDown="1" sqref="L20:U69">
      <formula1>AND(ISNUMBER(L20),(NOT(OR(NOT(ISERROR(DATEVALUE(L20))), AND(ISNUMBER(L20), LEFT(CELL("format", L20))="D")))))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9.25"/>
    <col customWidth="1" min="4" max="4" width="7.0"/>
    <col customWidth="1" min="5" max="5" width="20.75"/>
    <col customWidth="1" min="6" max="6" width="36.88"/>
    <col customWidth="1" min="7" max="7" width="44.25"/>
    <col customWidth="1" min="8" max="8" width="50.75"/>
    <col customWidth="1" min="9" max="9" width="12.25"/>
  </cols>
  <sheetData>
    <row r="2">
      <c r="B2" s="170" t="s">
        <v>914</v>
      </c>
    </row>
    <row r="3">
      <c r="B3" s="52" t="s">
        <v>915</v>
      </c>
      <c r="C3" s="3" t="s">
        <v>916</v>
      </c>
      <c r="D3" s="3" t="s">
        <v>917</v>
      </c>
      <c r="E3" s="52" t="s">
        <v>918</v>
      </c>
      <c r="F3" s="3" t="s">
        <v>919</v>
      </c>
      <c r="G3" s="3" t="s">
        <v>920</v>
      </c>
      <c r="H3" s="3" t="s">
        <v>921</v>
      </c>
      <c r="Q3" s="2" t="s">
        <v>922</v>
      </c>
    </row>
    <row r="4">
      <c r="B4" s="2">
        <v>2.0</v>
      </c>
      <c r="C4" s="8" t="s">
        <v>923</v>
      </c>
      <c r="D4" s="8" t="s">
        <v>924</v>
      </c>
      <c r="E4" s="2" t="s">
        <v>925</v>
      </c>
      <c r="F4" s="2" t="s">
        <v>926</v>
      </c>
      <c r="G4" s="2" t="s">
        <v>927</v>
      </c>
      <c r="H4" s="2" t="s">
        <v>928</v>
      </c>
      <c r="Q4" s="2">
        <v>2.0</v>
      </c>
      <c r="R4" s="2" t="s">
        <v>925</v>
      </c>
      <c r="S4" s="2" t="s">
        <v>929</v>
      </c>
    </row>
    <row r="5">
      <c r="B5" s="2">
        <v>3.0</v>
      </c>
      <c r="C5" s="8" t="s">
        <v>923</v>
      </c>
      <c r="D5" s="8" t="s">
        <v>930</v>
      </c>
      <c r="E5" s="2" t="s">
        <v>931</v>
      </c>
      <c r="F5" s="2" t="s">
        <v>932</v>
      </c>
      <c r="G5" s="2" t="s">
        <v>933</v>
      </c>
      <c r="H5" s="2" t="s">
        <v>934</v>
      </c>
      <c r="Q5" s="2">
        <v>3.0</v>
      </c>
      <c r="R5" s="2" t="s">
        <v>931</v>
      </c>
      <c r="S5" s="2" t="s">
        <v>935</v>
      </c>
    </row>
    <row r="6">
      <c r="B6" s="2">
        <v>4.0</v>
      </c>
      <c r="C6" s="8" t="s">
        <v>923</v>
      </c>
      <c r="D6" s="29"/>
      <c r="E6" s="2" t="s">
        <v>936</v>
      </c>
      <c r="F6" s="2" t="s">
        <v>937</v>
      </c>
      <c r="G6" s="2" t="s">
        <v>938</v>
      </c>
      <c r="H6" s="2" t="s">
        <v>939</v>
      </c>
      <c r="Q6" s="2">
        <v>4.0</v>
      </c>
      <c r="R6" s="2" t="s">
        <v>936</v>
      </c>
      <c r="S6" s="2" t="s">
        <v>940</v>
      </c>
    </row>
    <row r="7">
      <c r="B7" s="2">
        <v>5.0</v>
      </c>
      <c r="C7" s="8" t="s">
        <v>941</v>
      </c>
      <c r="D7" s="8" t="s">
        <v>942</v>
      </c>
      <c r="E7" s="2" t="s">
        <v>943</v>
      </c>
      <c r="F7" s="2" t="s">
        <v>944</v>
      </c>
      <c r="G7" s="2" t="s">
        <v>945</v>
      </c>
      <c r="H7" s="2" t="s">
        <v>946</v>
      </c>
      <c r="Q7" s="2">
        <v>5.0</v>
      </c>
      <c r="R7" s="2" t="s">
        <v>947</v>
      </c>
      <c r="S7" s="2" t="s">
        <v>948</v>
      </c>
    </row>
    <row r="8">
      <c r="B8" s="2">
        <v>6.0</v>
      </c>
      <c r="C8" s="8" t="s">
        <v>949</v>
      </c>
      <c r="D8" s="8" t="s">
        <v>950</v>
      </c>
      <c r="E8" s="2" t="s">
        <v>951</v>
      </c>
      <c r="F8" s="2" t="s">
        <v>952</v>
      </c>
      <c r="G8" s="2" t="s">
        <v>953</v>
      </c>
      <c r="H8" s="2" t="s">
        <v>954</v>
      </c>
      <c r="Q8" s="2">
        <v>6.0</v>
      </c>
      <c r="R8" s="2" t="s">
        <v>955</v>
      </c>
      <c r="S8" s="2" t="s">
        <v>956</v>
      </c>
    </row>
    <row r="9">
      <c r="B9" s="2">
        <v>7.0</v>
      </c>
      <c r="C9" s="8" t="s">
        <v>923</v>
      </c>
      <c r="D9" s="29"/>
      <c r="E9" s="2" t="s">
        <v>957</v>
      </c>
      <c r="F9" s="2" t="s">
        <v>958</v>
      </c>
      <c r="G9" s="2" t="s">
        <v>959</v>
      </c>
      <c r="H9" s="2" t="s">
        <v>960</v>
      </c>
      <c r="Q9" s="2">
        <v>7.0</v>
      </c>
      <c r="R9" s="2" t="s">
        <v>961</v>
      </c>
      <c r="S9" s="2" t="s">
        <v>962</v>
      </c>
    </row>
    <row r="10">
      <c r="B10" s="2">
        <v>8.0</v>
      </c>
      <c r="C10" s="8" t="s">
        <v>949</v>
      </c>
      <c r="D10" s="8"/>
      <c r="E10" s="2" t="s">
        <v>963</v>
      </c>
      <c r="F10" s="2" t="s">
        <v>964</v>
      </c>
      <c r="G10" s="2" t="s">
        <v>965</v>
      </c>
      <c r="H10" s="2" t="s">
        <v>966</v>
      </c>
      <c r="Q10" s="2">
        <v>8.0</v>
      </c>
      <c r="R10" s="2" t="s">
        <v>967</v>
      </c>
      <c r="S10" s="2" t="s">
        <v>968</v>
      </c>
    </row>
    <row r="11">
      <c r="B11" s="2">
        <v>9.0</v>
      </c>
      <c r="C11" s="8" t="s">
        <v>923</v>
      </c>
      <c r="D11" s="8" t="s">
        <v>969</v>
      </c>
      <c r="E11" s="2" t="s">
        <v>970</v>
      </c>
      <c r="F11" s="2" t="s">
        <v>971</v>
      </c>
      <c r="G11" s="2" t="s">
        <v>972</v>
      </c>
      <c r="H11" s="2" t="s">
        <v>973</v>
      </c>
      <c r="Q11" s="2">
        <v>9.0</v>
      </c>
      <c r="R11" s="2" t="s">
        <v>970</v>
      </c>
      <c r="S11" s="2" t="s">
        <v>974</v>
      </c>
    </row>
    <row r="12">
      <c r="B12" s="2">
        <v>10.0</v>
      </c>
      <c r="C12" s="8" t="s">
        <v>923</v>
      </c>
      <c r="D12" s="8" t="s">
        <v>924</v>
      </c>
      <c r="E12" s="2" t="s">
        <v>975</v>
      </c>
      <c r="F12" s="2" t="s">
        <v>976</v>
      </c>
      <c r="G12" s="2" t="s">
        <v>977</v>
      </c>
      <c r="H12" s="2" t="s">
        <v>978</v>
      </c>
      <c r="Q12" s="2">
        <v>10.0</v>
      </c>
      <c r="R12" s="2" t="s">
        <v>979</v>
      </c>
      <c r="S12" s="2" t="s">
        <v>980</v>
      </c>
    </row>
    <row r="13">
      <c r="B13" s="2">
        <v>11.0</v>
      </c>
      <c r="C13" s="8" t="s">
        <v>923</v>
      </c>
      <c r="D13" s="8"/>
      <c r="E13" s="2" t="s">
        <v>981</v>
      </c>
      <c r="F13" s="2" t="s">
        <v>982</v>
      </c>
      <c r="G13" s="2" t="s">
        <v>983</v>
      </c>
      <c r="H13" s="2" t="s">
        <v>984</v>
      </c>
      <c r="Q13" s="2">
        <v>11.0</v>
      </c>
      <c r="R13" s="2" t="s">
        <v>981</v>
      </c>
      <c r="S13" s="2" t="s">
        <v>985</v>
      </c>
    </row>
    <row r="14">
      <c r="B14" s="2">
        <v>12.0</v>
      </c>
      <c r="C14" s="8" t="s">
        <v>949</v>
      </c>
      <c r="D14" s="8" t="s">
        <v>969</v>
      </c>
      <c r="E14" s="2" t="s">
        <v>986</v>
      </c>
      <c r="F14" s="2" t="s">
        <v>987</v>
      </c>
      <c r="G14" s="2" t="s">
        <v>988</v>
      </c>
      <c r="H14" s="2" t="s">
        <v>989</v>
      </c>
      <c r="Q14" s="2">
        <v>12.0</v>
      </c>
      <c r="R14" s="2" t="s">
        <v>990</v>
      </c>
      <c r="S14" s="2" t="s">
        <v>991</v>
      </c>
    </row>
    <row r="16">
      <c r="B16" s="170" t="s">
        <v>992</v>
      </c>
    </row>
    <row r="17">
      <c r="B17" s="3" t="s">
        <v>915</v>
      </c>
      <c r="E17" s="52" t="s">
        <v>918</v>
      </c>
      <c r="F17" s="3" t="s">
        <v>919</v>
      </c>
      <c r="G17" s="3" t="s">
        <v>920</v>
      </c>
      <c r="H17" s="3" t="s">
        <v>921</v>
      </c>
    </row>
    <row r="18">
      <c r="B18" s="2">
        <v>2.0</v>
      </c>
      <c r="D18" s="8" t="s">
        <v>924</v>
      </c>
      <c r="E18" s="2" t="s">
        <v>925</v>
      </c>
      <c r="F18" s="2" t="s">
        <v>993</v>
      </c>
      <c r="G18" s="2" t="s">
        <v>994</v>
      </c>
      <c r="H18" s="2" t="s">
        <v>995</v>
      </c>
    </row>
    <row r="19">
      <c r="B19" s="2">
        <v>3.0</v>
      </c>
      <c r="C19" s="3"/>
      <c r="D19" s="8" t="s">
        <v>924</v>
      </c>
      <c r="E19" s="2" t="s">
        <v>975</v>
      </c>
      <c r="F19" s="2" t="s">
        <v>996</v>
      </c>
      <c r="G19" s="2" t="s">
        <v>997</v>
      </c>
      <c r="H19" s="2" t="s">
        <v>998</v>
      </c>
    </row>
    <row r="20">
      <c r="B20" s="2">
        <v>4.0</v>
      </c>
      <c r="D20" s="8" t="s">
        <v>930</v>
      </c>
      <c r="E20" s="2" t="s">
        <v>931</v>
      </c>
      <c r="F20" s="2" t="s">
        <v>999</v>
      </c>
      <c r="G20" s="2" t="s">
        <v>1000</v>
      </c>
      <c r="H20" s="2" t="s">
        <v>1001</v>
      </c>
    </row>
    <row r="21">
      <c r="B21" s="2">
        <v>5.0</v>
      </c>
      <c r="D21" s="8" t="s">
        <v>950</v>
      </c>
      <c r="E21" s="2" t="s">
        <v>951</v>
      </c>
      <c r="F21" s="2" t="s">
        <v>1002</v>
      </c>
      <c r="G21" s="2" t="s">
        <v>1003</v>
      </c>
      <c r="H21" s="2" t="s">
        <v>1004</v>
      </c>
    </row>
    <row r="22">
      <c r="B22" s="2">
        <v>6.0</v>
      </c>
      <c r="D22" s="8" t="s">
        <v>942</v>
      </c>
      <c r="E22" s="2" t="s">
        <v>943</v>
      </c>
      <c r="F22" s="2" t="s">
        <v>1005</v>
      </c>
      <c r="G22" s="2" t="s">
        <v>1006</v>
      </c>
      <c r="H22" s="2" t="s">
        <v>1007</v>
      </c>
    </row>
    <row r="23">
      <c r="B23" s="2">
        <v>7.0</v>
      </c>
      <c r="E23" s="2" t="s">
        <v>1008</v>
      </c>
      <c r="F23" s="2" t="s">
        <v>1009</v>
      </c>
      <c r="G23" s="2" t="s">
        <v>1010</v>
      </c>
      <c r="H23" s="2" t="s">
        <v>1011</v>
      </c>
      <c r="M23" s="2">
        <v>2.0</v>
      </c>
      <c r="N23" s="2" t="s">
        <v>925</v>
      </c>
      <c r="P23" s="2">
        <v>2.0</v>
      </c>
      <c r="Q23" s="2" t="s">
        <v>931</v>
      </c>
    </row>
    <row r="24">
      <c r="B24" s="2">
        <v>8.0</v>
      </c>
      <c r="E24" s="2" t="s">
        <v>936</v>
      </c>
      <c r="F24" s="2" t="s">
        <v>1012</v>
      </c>
      <c r="G24" s="2" t="s">
        <v>1013</v>
      </c>
      <c r="H24" s="2" t="s">
        <v>1014</v>
      </c>
      <c r="M24" s="2">
        <v>3.0</v>
      </c>
      <c r="N24" s="2" t="s">
        <v>979</v>
      </c>
      <c r="P24" s="2">
        <v>3.0</v>
      </c>
      <c r="Q24" s="2" t="s">
        <v>936</v>
      </c>
    </row>
    <row r="25">
      <c r="B25" s="2">
        <v>9.0</v>
      </c>
      <c r="E25" s="2" t="s">
        <v>1015</v>
      </c>
      <c r="F25" s="2" t="s">
        <v>1016</v>
      </c>
      <c r="G25" s="2" t="s">
        <v>1017</v>
      </c>
      <c r="H25" s="2" t="s">
        <v>1018</v>
      </c>
      <c r="M25" s="2">
        <v>4.0</v>
      </c>
      <c r="N25" s="2" t="s">
        <v>931</v>
      </c>
      <c r="P25" s="2">
        <v>4.0</v>
      </c>
      <c r="Q25" s="2" t="s">
        <v>1019</v>
      </c>
    </row>
    <row r="26">
      <c r="B26" s="2">
        <v>10.0</v>
      </c>
      <c r="D26" s="8" t="s">
        <v>969</v>
      </c>
      <c r="E26" s="2" t="s">
        <v>970</v>
      </c>
      <c r="F26" s="2" t="s">
        <v>1020</v>
      </c>
      <c r="G26" s="2" t="s">
        <v>1021</v>
      </c>
      <c r="H26" s="2" t="s">
        <v>1022</v>
      </c>
      <c r="M26" s="2">
        <v>5.0</v>
      </c>
      <c r="N26" s="2" t="s">
        <v>951</v>
      </c>
      <c r="P26" s="2">
        <v>5.0</v>
      </c>
      <c r="Q26" s="2" t="s">
        <v>947</v>
      </c>
    </row>
    <row r="27">
      <c r="B27" s="2">
        <v>11.0</v>
      </c>
      <c r="E27" s="2" t="s">
        <v>981</v>
      </c>
      <c r="F27" s="2" t="s">
        <v>1023</v>
      </c>
      <c r="G27" s="2" t="s">
        <v>1024</v>
      </c>
      <c r="H27" s="2" t="s">
        <v>1025</v>
      </c>
      <c r="M27" s="2">
        <v>6.0</v>
      </c>
      <c r="N27" s="2" t="s">
        <v>955</v>
      </c>
      <c r="P27" s="2">
        <v>6.0</v>
      </c>
      <c r="Q27" s="2" t="s">
        <v>979</v>
      </c>
    </row>
    <row r="28">
      <c r="B28" s="2">
        <v>12.0</v>
      </c>
      <c r="D28" s="8" t="s">
        <v>969</v>
      </c>
      <c r="E28" s="2" t="s">
        <v>986</v>
      </c>
      <c r="F28" s="2" t="s">
        <v>1026</v>
      </c>
      <c r="G28" s="2" t="s">
        <v>1027</v>
      </c>
      <c r="H28" s="2" t="s">
        <v>1028</v>
      </c>
      <c r="M28" s="2">
        <v>7.0</v>
      </c>
      <c r="N28" s="2" t="s">
        <v>1008</v>
      </c>
      <c r="P28" s="2">
        <v>7.0</v>
      </c>
      <c r="Q28" s="2" t="s">
        <v>1029</v>
      </c>
    </row>
    <row r="29">
      <c r="M29" s="2">
        <v>8.0</v>
      </c>
      <c r="N29" s="2" t="s">
        <v>936</v>
      </c>
      <c r="P29" s="2">
        <v>8.0</v>
      </c>
      <c r="Q29" s="2" t="s">
        <v>1030</v>
      </c>
    </row>
    <row r="30">
      <c r="B30" s="170" t="s">
        <v>1031</v>
      </c>
      <c r="M30" s="2">
        <v>9.0</v>
      </c>
      <c r="N30" s="2" t="s">
        <v>1015</v>
      </c>
      <c r="P30" s="2">
        <v>9.0</v>
      </c>
      <c r="Q30" s="2" t="s">
        <v>1032</v>
      </c>
    </row>
    <row r="31">
      <c r="B31" s="3" t="s">
        <v>915</v>
      </c>
      <c r="E31" s="52" t="s">
        <v>918</v>
      </c>
      <c r="F31" s="3" t="s">
        <v>919</v>
      </c>
      <c r="G31" s="3" t="s">
        <v>920</v>
      </c>
      <c r="H31" s="3" t="s">
        <v>921</v>
      </c>
      <c r="M31" s="2"/>
      <c r="N31" s="2"/>
      <c r="P31" s="2"/>
      <c r="Q31" s="2"/>
    </row>
    <row r="32">
      <c r="B32" s="2">
        <v>2.0</v>
      </c>
      <c r="D32" s="8" t="s">
        <v>930</v>
      </c>
      <c r="E32" s="2" t="s">
        <v>931</v>
      </c>
      <c r="F32" s="2" t="s">
        <v>1033</v>
      </c>
      <c r="G32" s="2" t="s">
        <v>1034</v>
      </c>
      <c r="H32" s="2" t="s">
        <v>1035</v>
      </c>
      <c r="M32" s="2">
        <v>10.0</v>
      </c>
      <c r="N32" s="2" t="s">
        <v>970</v>
      </c>
      <c r="P32" s="2">
        <v>10.0</v>
      </c>
      <c r="Q32" s="2" t="s">
        <v>970</v>
      </c>
    </row>
    <row r="33">
      <c r="B33" s="2">
        <v>3.0</v>
      </c>
      <c r="E33" s="2" t="s">
        <v>936</v>
      </c>
      <c r="F33" s="2" t="s">
        <v>1036</v>
      </c>
      <c r="G33" s="2" t="s">
        <v>1037</v>
      </c>
      <c r="H33" s="2" t="s">
        <v>1038</v>
      </c>
      <c r="M33" s="2">
        <v>11.0</v>
      </c>
      <c r="N33" s="2" t="s">
        <v>981</v>
      </c>
      <c r="P33" s="2">
        <v>11.0</v>
      </c>
      <c r="Q33" s="2" t="s">
        <v>1039</v>
      </c>
    </row>
    <row r="34">
      <c r="B34" s="2">
        <v>4.0</v>
      </c>
      <c r="D34" s="8" t="s">
        <v>942</v>
      </c>
      <c r="E34" s="2" t="s">
        <v>943</v>
      </c>
      <c r="F34" s="2" t="s">
        <v>1040</v>
      </c>
      <c r="G34" s="2" t="s">
        <v>1041</v>
      </c>
      <c r="H34" s="2" t="s">
        <v>1042</v>
      </c>
      <c r="M34" s="2">
        <v>12.0</v>
      </c>
      <c r="N34" s="2" t="s">
        <v>986</v>
      </c>
      <c r="P34" s="2">
        <v>12.0</v>
      </c>
      <c r="Q34" s="2" t="s">
        <v>925</v>
      </c>
    </row>
    <row r="35">
      <c r="B35" s="2">
        <v>5.0</v>
      </c>
      <c r="D35" s="8" t="s">
        <v>950</v>
      </c>
      <c r="E35" s="2" t="s">
        <v>1043</v>
      </c>
      <c r="F35" s="2" t="s">
        <v>1044</v>
      </c>
      <c r="G35" s="2" t="s">
        <v>1045</v>
      </c>
      <c r="H35" s="2" t="s">
        <v>1046</v>
      </c>
    </row>
    <row r="36">
      <c r="B36" s="2">
        <v>6.0</v>
      </c>
      <c r="D36" s="8" t="s">
        <v>924</v>
      </c>
      <c r="E36" s="2" t="s">
        <v>975</v>
      </c>
      <c r="F36" s="2" t="s">
        <v>1047</v>
      </c>
      <c r="G36" s="2" t="s">
        <v>1048</v>
      </c>
      <c r="H36" s="2" t="s">
        <v>1049</v>
      </c>
    </row>
    <row r="37">
      <c r="B37" s="2">
        <v>7.0</v>
      </c>
      <c r="E37" s="2" t="s">
        <v>1029</v>
      </c>
      <c r="F37" s="2" t="s">
        <v>1050</v>
      </c>
      <c r="G37" s="2" t="s">
        <v>1051</v>
      </c>
      <c r="H37" s="2" t="s">
        <v>1052</v>
      </c>
    </row>
    <row r="38">
      <c r="B38" s="2">
        <v>8.0</v>
      </c>
      <c r="D38" s="8" t="s">
        <v>969</v>
      </c>
      <c r="E38" s="2" t="s">
        <v>1053</v>
      </c>
      <c r="F38" s="2" t="s">
        <v>1054</v>
      </c>
      <c r="G38" s="2" t="s">
        <v>1055</v>
      </c>
      <c r="H38" s="2" t="s">
        <v>1056</v>
      </c>
    </row>
    <row r="39">
      <c r="B39" s="2">
        <v>9.0</v>
      </c>
      <c r="D39" s="8" t="s">
        <v>969</v>
      </c>
      <c r="E39" s="2" t="s">
        <v>1032</v>
      </c>
      <c r="F39" s="2" t="s">
        <v>1057</v>
      </c>
      <c r="G39" s="2" t="s">
        <v>1058</v>
      </c>
      <c r="H39" s="2" t="s">
        <v>1059</v>
      </c>
    </row>
    <row r="40">
      <c r="B40" s="2">
        <v>10.0</v>
      </c>
      <c r="D40" s="8" t="s">
        <v>969</v>
      </c>
      <c r="E40" s="2" t="s">
        <v>970</v>
      </c>
      <c r="F40" s="2" t="s">
        <v>1060</v>
      </c>
      <c r="G40" s="2" t="s">
        <v>1061</v>
      </c>
      <c r="H40" s="2" t="s">
        <v>1062</v>
      </c>
    </row>
    <row r="41">
      <c r="B41" s="2">
        <v>11.0</v>
      </c>
      <c r="D41" s="8" t="s">
        <v>969</v>
      </c>
      <c r="E41" s="2" t="s">
        <v>1039</v>
      </c>
      <c r="F41" s="2" t="s">
        <v>1063</v>
      </c>
      <c r="G41" s="2" t="s">
        <v>1064</v>
      </c>
      <c r="H41" s="2" t="s">
        <v>1065</v>
      </c>
    </row>
    <row r="42">
      <c r="B42" s="2">
        <v>12.0</v>
      </c>
      <c r="D42" s="8" t="s">
        <v>969</v>
      </c>
      <c r="E42" s="2" t="s">
        <v>925</v>
      </c>
      <c r="F42" s="2" t="s">
        <v>1066</v>
      </c>
      <c r="G42" s="2" t="s">
        <v>1067</v>
      </c>
      <c r="H42" s="2" t="s">
        <v>1068</v>
      </c>
    </row>
    <row r="45">
      <c r="B45" s="3"/>
      <c r="C45" s="3"/>
      <c r="D45" s="3"/>
      <c r="E45" s="3"/>
      <c r="F45" s="3"/>
      <c r="G45" s="3"/>
      <c r="H45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58.88"/>
    <col customWidth="1" min="4" max="4" width="58.63"/>
  </cols>
  <sheetData>
    <row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71"/>
      <c r="B2" s="172" t="s">
        <v>1086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>
      <c r="A3" s="171"/>
      <c r="B3" s="173" t="s">
        <v>915</v>
      </c>
      <c r="C3" s="173" t="s">
        <v>1087</v>
      </c>
      <c r="D3" s="173" t="s">
        <v>1088</v>
      </c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171"/>
      <c r="B4" s="172">
        <v>1.0</v>
      </c>
      <c r="C4" s="174" t="s">
        <v>1093</v>
      </c>
      <c r="D4" s="174" t="s">
        <v>1095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>
      <c r="A5" s="171"/>
      <c r="B5" s="172">
        <v>2.0</v>
      </c>
      <c r="C5" s="174" t="s">
        <v>1097</v>
      </c>
      <c r="D5" s="174" t="s">
        <v>1098</v>
      </c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>
      <c r="A6" s="171"/>
      <c r="B6" s="172">
        <v>3.0</v>
      </c>
      <c r="C6" s="174" t="s">
        <v>1099</v>
      </c>
      <c r="D6" s="174" t="s">
        <v>1100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>
      <c r="A7" s="171"/>
      <c r="B7" s="172">
        <v>4.0</v>
      </c>
      <c r="C7" s="174" t="s">
        <v>1101</v>
      </c>
      <c r="D7" s="174" t="s">
        <v>1102</v>
      </c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>
      <c r="A8" s="171"/>
      <c r="B8" s="172">
        <v>5.0</v>
      </c>
      <c r="C8" s="174" t="s">
        <v>1103</v>
      </c>
      <c r="D8" s="174" t="s">
        <v>1104</v>
      </c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>
      <c r="A9" s="171"/>
      <c r="B9" s="172">
        <v>6.0</v>
      </c>
      <c r="C9" s="174" t="s">
        <v>1109</v>
      </c>
      <c r="D9" s="174" t="s">
        <v>1110</v>
      </c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171"/>
      <c r="B10" s="175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171"/>
      <c r="B11" s="172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>
      <c r="A12" s="171"/>
      <c r="B12" s="172" t="s">
        <v>1112</v>
      </c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>
      <c r="A13" s="171"/>
      <c r="B13" s="173" t="s">
        <v>915</v>
      </c>
      <c r="C13" s="173" t="s">
        <v>1087</v>
      </c>
      <c r="D13" s="173" t="s">
        <v>1088</v>
      </c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>
      <c r="A14" s="171"/>
      <c r="B14" s="172">
        <v>1.0</v>
      </c>
      <c r="C14" s="174" t="s">
        <v>1113</v>
      </c>
      <c r="D14" s="174" t="s">
        <v>1114</v>
      </c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A15" s="171"/>
      <c r="B15" s="172">
        <v>2.0</v>
      </c>
      <c r="C15" s="174" t="s">
        <v>1116</v>
      </c>
      <c r="D15" s="174" t="s">
        <v>1118</v>
      </c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>
      <c r="A16" s="171"/>
      <c r="B16" s="172">
        <v>3.0</v>
      </c>
      <c r="C16" s="174" t="s">
        <v>1120</v>
      </c>
      <c r="D16" s="174" t="s">
        <v>1121</v>
      </c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171"/>
      <c r="B17" s="172">
        <v>4.0</v>
      </c>
      <c r="C17" s="174" t="s">
        <v>1123</v>
      </c>
      <c r="D17" s="174" t="s">
        <v>1124</v>
      </c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>
      <c r="A18" s="171"/>
      <c r="B18" s="172">
        <v>5.0</v>
      </c>
      <c r="C18" s="174" t="s">
        <v>1126</v>
      </c>
      <c r="D18" s="174" t="s">
        <v>1127</v>
      </c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>
      <c r="A19" s="171"/>
      <c r="B19" s="172">
        <v>6.0</v>
      </c>
      <c r="C19" s="174" t="s">
        <v>1128</v>
      </c>
      <c r="D19" s="174" t="s">
        <v>1129</v>
      </c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>
      <c r="A20" s="171"/>
      <c r="B20" s="175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>
      <c r="A21" s="171"/>
      <c r="B21" s="172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>
      <c r="A22" s="171"/>
      <c r="B22" s="172" t="s">
        <v>1133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>
      <c r="A23" s="171"/>
      <c r="B23" s="173" t="s">
        <v>915</v>
      </c>
      <c r="C23" s="173" t="s">
        <v>1087</v>
      </c>
      <c r="D23" s="173" t="s">
        <v>1088</v>
      </c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>
      <c r="A24" s="171"/>
      <c r="B24" s="172">
        <v>1.0</v>
      </c>
      <c r="C24" s="174" t="s">
        <v>1136</v>
      </c>
      <c r="D24" s="174" t="s">
        <v>1137</v>
      </c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>
      <c r="A25" s="171"/>
      <c r="B25" s="172">
        <v>2.0</v>
      </c>
      <c r="C25" s="174" t="s">
        <v>1138</v>
      </c>
      <c r="D25" s="174" t="s">
        <v>1139</v>
      </c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>
      <c r="A26" s="171"/>
      <c r="B26" s="172">
        <v>3.0</v>
      </c>
      <c r="C26" s="174" t="s">
        <v>1141</v>
      </c>
      <c r="D26" s="174" t="s">
        <v>1143</v>
      </c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>
      <c r="A27" s="171"/>
      <c r="B27" s="172">
        <v>4.0</v>
      </c>
      <c r="C27" s="174" t="s">
        <v>1146</v>
      </c>
      <c r="D27" s="174" t="s">
        <v>1147</v>
      </c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>
      <c r="A28" s="171"/>
      <c r="B28" s="172">
        <v>5.0</v>
      </c>
      <c r="C28" s="174" t="s">
        <v>1149</v>
      </c>
      <c r="D28" s="174" t="s">
        <v>1150</v>
      </c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>
      <c r="A29" s="171"/>
      <c r="B29" s="172">
        <v>6.0</v>
      </c>
      <c r="C29" s="174" t="s">
        <v>1151</v>
      </c>
      <c r="D29" s="174" t="s">
        <v>1152</v>
      </c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>
      <c r="A30" s="171"/>
      <c r="B30" s="175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>
      <c r="A31" s="171"/>
      <c r="B31" s="172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>
      <c r="A32" s="171"/>
      <c r="B32" s="172" t="s">
        <v>1153</v>
      </c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>
      <c r="A33" s="171"/>
      <c r="B33" s="173" t="s">
        <v>915</v>
      </c>
      <c r="C33" s="173" t="s">
        <v>1087</v>
      </c>
      <c r="D33" s="173" t="s">
        <v>1088</v>
      </c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>
      <c r="A34" s="171"/>
      <c r="B34" s="172">
        <v>1.0</v>
      </c>
      <c r="C34" s="174" t="s">
        <v>1157</v>
      </c>
      <c r="D34" s="174" t="s">
        <v>1158</v>
      </c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>
      <c r="A35" s="171"/>
      <c r="B35" s="172">
        <v>2.0</v>
      </c>
      <c r="C35" s="174" t="s">
        <v>1160</v>
      </c>
      <c r="D35" s="174" t="s">
        <v>1161</v>
      </c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>
      <c r="A36" s="171"/>
      <c r="B36" s="172">
        <v>3.0</v>
      </c>
      <c r="C36" s="174" t="s">
        <v>1163</v>
      </c>
      <c r="D36" s="174" t="s">
        <v>1164</v>
      </c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>
      <c r="A37" s="171"/>
      <c r="B37" s="172">
        <v>4.0</v>
      </c>
      <c r="C37" s="174" t="s">
        <v>1166</v>
      </c>
      <c r="D37" s="174" t="s">
        <v>1167</v>
      </c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>
      <c r="A38" s="171"/>
      <c r="B38" s="172">
        <v>5.0</v>
      </c>
      <c r="C38" s="174" t="s">
        <v>1169</v>
      </c>
      <c r="D38" s="174" t="s">
        <v>1170</v>
      </c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>
      <c r="A39" s="171"/>
      <c r="B39" s="172">
        <v>6.0</v>
      </c>
      <c r="C39" s="174" t="s">
        <v>1173</v>
      </c>
      <c r="D39" s="174" t="s">
        <v>1174</v>
      </c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>
      <c r="A40" s="171"/>
      <c r="B40" s="172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>
      <c r="A41" s="171"/>
      <c r="B41" s="175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>
      <c r="A42" s="171"/>
      <c r="B42" s="172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>
      <c r="A43" s="171"/>
      <c r="B43" s="175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>
      <c r="A44" s="171"/>
      <c r="B44" s="172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>
      <c r="A45" s="171"/>
      <c r="B45" s="175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>
      <c r="A46" s="171"/>
      <c r="B46" s="172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>
      <c r="A47" s="171"/>
      <c r="B47" s="175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>
      <c r="A48" s="171"/>
      <c r="B48" s="172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>
      <c r="A49" s="171"/>
      <c r="B49" s="175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>
      <c r="A50" s="171"/>
      <c r="B50" s="172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>
      <c r="A51" s="171"/>
      <c r="B51" s="175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>
      <c r="A52" s="171"/>
      <c r="B52" s="172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>
      <c r="A53" s="171"/>
      <c r="B53" s="175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>
      <c r="A54" s="171"/>
      <c r="B54" s="172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>
      <c r="A55" s="171"/>
      <c r="B55" s="175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>
      <c r="A56" s="171"/>
      <c r="B56" s="172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>
      <c r="A57" s="171"/>
      <c r="B57" s="175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>
      <c r="A58" s="171"/>
      <c r="B58" s="172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>
      <c r="A59" s="171"/>
      <c r="B59" s="175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>
      <c r="A60" s="171"/>
      <c r="B60" s="172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>
      <c r="A61" s="171"/>
      <c r="B61" s="175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>
      <c r="A62" s="171"/>
      <c r="B62" s="172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>
      <c r="A63" s="171"/>
      <c r="B63" s="175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>
      <c r="A64" s="171"/>
      <c r="B64" s="172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71"/>
      <c r="B65" s="175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71"/>
      <c r="B66" s="172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71"/>
      <c r="B67" s="175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71"/>
      <c r="B68" s="172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71"/>
      <c r="B69" s="175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71"/>
      <c r="B70" s="172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71"/>
      <c r="B71" s="175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71"/>
      <c r="B72" s="172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71"/>
      <c r="B73" s="175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71"/>
      <c r="B74" s="172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71"/>
      <c r="B75" s="175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71"/>
      <c r="B76" s="172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71"/>
      <c r="B77" s="172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71"/>
      <c r="B78" s="175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71"/>
      <c r="B79" s="172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71"/>
      <c r="B80" s="175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71"/>
      <c r="B81" s="172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71"/>
      <c r="B82" s="175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71"/>
      <c r="B83" s="172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71"/>
      <c r="B84" s="175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71"/>
      <c r="B85" s="172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71"/>
      <c r="B86" s="175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71"/>
      <c r="B87" s="172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71"/>
      <c r="B88" s="175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71"/>
      <c r="B89" s="172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71"/>
      <c r="B90" s="175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71"/>
      <c r="B91" s="172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71"/>
      <c r="B92" s="175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71"/>
      <c r="B93" s="172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71"/>
      <c r="B94" s="175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71"/>
      <c r="B95" s="172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71"/>
      <c r="B96" s="175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71"/>
      <c r="B97" s="172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71"/>
      <c r="B98" s="175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71"/>
      <c r="B99" s="172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71"/>
      <c r="B100" s="175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71"/>
      <c r="B101" s="172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71"/>
      <c r="B102" s="175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71"/>
      <c r="B103" s="172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71"/>
      <c r="B104" s="175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71"/>
      <c r="B105" s="172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71"/>
      <c r="B106" s="175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71"/>
      <c r="B107" s="172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71"/>
      <c r="B108" s="175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71"/>
      <c r="B109" s="172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71"/>
      <c r="B110" s="175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71"/>
      <c r="B111" s="172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71"/>
      <c r="B112" s="175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71"/>
      <c r="B113" s="172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71"/>
      <c r="B114" s="172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71"/>
      <c r="B115" s="175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71"/>
      <c r="B116" s="172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71"/>
      <c r="B117" s="175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71"/>
      <c r="B118" s="172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71"/>
      <c r="B119" s="175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71"/>
      <c r="B120" s="172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71"/>
      <c r="B121" s="175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71"/>
      <c r="B122" s="172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71"/>
      <c r="B123" s="175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71"/>
      <c r="B124" s="172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71"/>
      <c r="B125" s="175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71"/>
      <c r="B126" s="172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71"/>
      <c r="B127" s="175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71"/>
      <c r="B128" s="172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71"/>
      <c r="B129" s="175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71"/>
      <c r="B130" s="172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71"/>
      <c r="B131" s="175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71"/>
      <c r="B132" s="172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71"/>
      <c r="B133" s="175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71"/>
      <c r="B134" s="172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71"/>
      <c r="B135" s="175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71"/>
      <c r="B136" s="172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71"/>
      <c r="B137" s="175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71"/>
      <c r="B138" s="172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71"/>
      <c r="B139" s="175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71"/>
      <c r="B140" s="172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71"/>
      <c r="B141" s="175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71"/>
      <c r="B142" s="172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71"/>
      <c r="B143" s="175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71"/>
      <c r="B144" s="172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71"/>
      <c r="B145" s="175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71"/>
      <c r="B146" s="172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71"/>
      <c r="B147" s="175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71"/>
      <c r="B148" s="172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71"/>
      <c r="B149" s="175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71"/>
      <c r="B150" s="172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4.75"/>
    <col customWidth="1" min="3" max="3" width="4.5"/>
    <col customWidth="1" min="4" max="4" width="4.63"/>
    <col customWidth="1" min="5" max="6" width="5.25"/>
    <col customWidth="1" min="7" max="8" width="5.0"/>
    <col customWidth="1" min="9" max="10" width="5.25"/>
    <col customWidth="1" min="11" max="11" width="4.38"/>
    <col customWidth="1" min="12" max="12" width="9.25"/>
    <col customWidth="1" min="13" max="13" width="3.75"/>
    <col customWidth="1" min="14" max="14" width="7.75"/>
    <col customWidth="1" min="15" max="15" width="16.0"/>
    <col customWidth="1" min="16" max="16" width="5.38"/>
    <col customWidth="1" min="17" max="17" width="3.38"/>
    <col customWidth="1" min="18" max="19" width="6.0"/>
    <col customWidth="1" min="20" max="20" width="4.63"/>
    <col customWidth="1" min="21" max="21" width="6.75"/>
    <col customWidth="1" min="22" max="23" width="6.13"/>
    <col customWidth="1" min="25" max="25" width="6.63"/>
    <col customWidth="1" min="26" max="33" width="5.13"/>
  </cols>
  <sheetData>
    <row r="1">
      <c r="B1" s="179" t="s">
        <v>1177</v>
      </c>
    </row>
    <row r="2">
      <c r="Z2" s="3" t="s">
        <v>93</v>
      </c>
      <c r="AA2" s="180"/>
      <c r="AB2" s="3" t="s">
        <v>87</v>
      </c>
    </row>
    <row r="3">
      <c r="B3" s="2" t="s">
        <v>1178</v>
      </c>
      <c r="E3" s="2"/>
      <c r="F3" s="2"/>
      <c r="N3" s="2"/>
      <c r="O3" s="2"/>
      <c r="P3" s="8" t="s">
        <v>1179</v>
      </c>
      <c r="Q3" s="2"/>
      <c r="R3" s="2">
        <v>10.0</v>
      </c>
      <c r="S3" s="2" t="s">
        <v>211</v>
      </c>
      <c r="T3" s="2">
        <f>R3*60*60/1000</f>
        <v>36</v>
      </c>
      <c r="U3" s="2" t="s">
        <v>1180</v>
      </c>
      <c r="Z3" s="8">
        <v>1.5</v>
      </c>
      <c r="AB3" s="8">
        <v>1.0</v>
      </c>
    </row>
    <row r="4">
      <c r="B4" s="179" t="s">
        <v>1181</v>
      </c>
      <c r="E4" s="2"/>
      <c r="F4" s="2"/>
      <c r="G4" s="2"/>
      <c r="H4" s="2"/>
      <c r="I4" s="2"/>
      <c r="J4" s="2"/>
      <c r="K4" s="2"/>
      <c r="L4" s="2"/>
      <c r="M4" s="2"/>
      <c r="P4" s="8" t="s">
        <v>1179</v>
      </c>
      <c r="Q4" s="2"/>
      <c r="R4" s="2">
        <f>R3/(1000)</f>
        <v>0.01</v>
      </c>
      <c r="S4" s="2" t="s">
        <v>1182</v>
      </c>
      <c r="Z4" s="8">
        <v>5.0</v>
      </c>
      <c r="AB4" s="8">
        <v>3.0</v>
      </c>
      <c r="AD4" s="8"/>
    </row>
    <row r="5">
      <c r="B5" s="52" t="s">
        <v>1183</v>
      </c>
      <c r="C5" s="52" t="s">
        <v>321</v>
      </c>
      <c r="D5" s="52" t="s">
        <v>1184</v>
      </c>
      <c r="E5" s="3" t="s">
        <v>1185</v>
      </c>
      <c r="F5" s="3" t="s">
        <v>375</v>
      </c>
      <c r="G5" s="3"/>
      <c r="H5" s="3"/>
      <c r="I5" s="3" t="s">
        <v>1186</v>
      </c>
      <c r="J5" s="3" t="s">
        <v>1187</v>
      </c>
      <c r="K5" s="3"/>
      <c r="M5" s="2"/>
      <c r="N5" s="2"/>
      <c r="O5" s="2"/>
      <c r="P5" s="8" t="s">
        <v>1188</v>
      </c>
      <c r="Q5" s="181"/>
      <c r="R5" s="181">
        <f>R4*60</f>
        <v>0.6</v>
      </c>
      <c r="S5" s="2" t="s">
        <v>1189</v>
      </c>
      <c r="T5" s="2">
        <v>36.0</v>
      </c>
      <c r="U5" s="2" t="s">
        <v>295</v>
      </c>
      <c r="Y5" s="2" t="s">
        <v>1190</v>
      </c>
      <c r="Z5" s="8">
        <v>10.0</v>
      </c>
      <c r="AB5" s="8">
        <v>6.0</v>
      </c>
    </row>
    <row r="6">
      <c r="C6" s="2">
        <v>0.12</v>
      </c>
      <c r="D6" s="2">
        <v>15.0</v>
      </c>
      <c r="E6" s="8"/>
      <c r="F6" s="8">
        <v>1.0</v>
      </c>
      <c r="G6" s="52"/>
      <c r="H6" s="52" t="s">
        <v>189</v>
      </c>
      <c r="N6" s="6"/>
      <c r="O6" s="2"/>
      <c r="P6" s="8" t="s">
        <v>1191</v>
      </c>
      <c r="R6">
        <f>R4*60*60</f>
        <v>36</v>
      </c>
      <c r="S6" s="2" t="s">
        <v>1192</v>
      </c>
      <c r="T6" s="182">
        <f>W6/(1000)</f>
        <v>129.6</v>
      </c>
      <c r="U6" s="2" t="s">
        <v>1193</v>
      </c>
      <c r="W6">
        <f>T3*60*60</f>
        <v>129600</v>
      </c>
      <c r="X6" s="2" t="s">
        <v>1194</v>
      </c>
      <c r="Z6" s="8">
        <v>20.0</v>
      </c>
      <c r="AB6" s="8">
        <v>12.0</v>
      </c>
    </row>
    <row r="7">
      <c r="B7" s="2" t="s">
        <v>1195</v>
      </c>
      <c r="C7" s="2">
        <v>1.0</v>
      </c>
      <c r="D7" s="2">
        <v>150.0</v>
      </c>
      <c r="E7" s="37"/>
      <c r="F7" s="37">
        <f>C7/$R$43</f>
        <v>8.333333333</v>
      </c>
      <c r="G7" s="52"/>
      <c r="H7" s="52"/>
      <c r="I7" s="183" t="str">
        <f t="shared" ref="I7:I8" si="1">F7/#REF!</f>
        <v>#REF!</v>
      </c>
      <c r="J7" s="183"/>
      <c r="K7" s="184"/>
      <c r="N7" s="2"/>
      <c r="O7" s="2"/>
      <c r="P7" s="8" t="s">
        <v>1196</v>
      </c>
      <c r="R7">
        <f>R6*24</f>
        <v>864</v>
      </c>
      <c r="S7" s="2" t="s">
        <v>355</v>
      </c>
      <c r="T7" s="185">
        <f>W7/150000000</f>
        <v>0.497664</v>
      </c>
      <c r="U7" s="2" t="s">
        <v>1197</v>
      </c>
      <c r="W7">
        <f>W6*24*24</f>
        <v>74649600</v>
      </c>
      <c r="X7" s="2" t="s">
        <v>1198</v>
      </c>
      <c r="Z7" s="8">
        <v>50.0</v>
      </c>
      <c r="AB7" s="8">
        <v>30.0</v>
      </c>
    </row>
    <row r="8">
      <c r="B8" s="2" t="s">
        <v>1199</v>
      </c>
      <c r="C8" s="2">
        <v>10.0</v>
      </c>
      <c r="D8">
        <f t="shared" ref="D8:D11" si="2">C8*D$7</f>
        <v>1500</v>
      </c>
      <c r="E8" s="37"/>
      <c r="F8" s="37">
        <f t="shared" ref="F8:F11" si="3">C8/$R$44</f>
        <v>1.388888889</v>
      </c>
      <c r="G8" s="52"/>
      <c r="H8" s="52" t="s">
        <v>115</v>
      </c>
      <c r="I8" s="183" t="str">
        <f t="shared" si="1"/>
        <v>#REF!</v>
      </c>
      <c r="J8" s="186">
        <f t="shared" ref="J8:J11" si="4">F8*1/$R$19</f>
        <v>2.314814815</v>
      </c>
      <c r="K8" s="39"/>
      <c r="L8" s="52" t="s">
        <v>1200</v>
      </c>
      <c r="M8" s="187" t="s">
        <v>1201</v>
      </c>
      <c r="N8" s="5"/>
      <c r="P8" s="29"/>
      <c r="Z8" s="8">
        <v>100.0</v>
      </c>
      <c r="AB8" s="8">
        <v>60.0</v>
      </c>
    </row>
    <row r="9">
      <c r="B9" s="2" t="s">
        <v>639</v>
      </c>
      <c r="C9" s="2">
        <v>20.0</v>
      </c>
      <c r="D9">
        <f t="shared" si="2"/>
        <v>3000</v>
      </c>
      <c r="E9" s="184"/>
      <c r="F9" s="184">
        <f t="shared" si="3"/>
        <v>2.777777778</v>
      </c>
      <c r="G9" s="183"/>
      <c r="H9" s="183"/>
      <c r="I9" s="183" t="str">
        <f t="shared" ref="I9:I11" si="5">F9*1/#REF!</f>
        <v>#REF!</v>
      </c>
      <c r="J9" s="186">
        <f t="shared" si="4"/>
        <v>4.62962963</v>
      </c>
      <c r="K9" s="39"/>
      <c r="L9" s="2"/>
      <c r="M9" s="187" t="s">
        <v>1202</v>
      </c>
      <c r="N9" s="2"/>
    </row>
    <row r="10">
      <c r="B10" s="2" t="s">
        <v>1203</v>
      </c>
      <c r="C10" s="2">
        <v>23.0</v>
      </c>
      <c r="D10">
        <f t="shared" si="2"/>
        <v>3450</v>
      </c>
      <c r="E10" s="184"/>
      <c r="F10" s="184">
        <f t="shared" si="3"/>
        <v>3.194444444</v>
      </c>
      <c r="G10" s="183"/>
      <c r="H10" s="183"/>
      <c r="I10" s="183" t="str">
        <f t="shared" si="5"/>
        <v>#REF!</v>
      </c>
      <c r="J10" s="186">
        <f t="shared" si="4"/>
        <v>5.324074074</v>
      </c>
      <c r="K10" s="39"/>
      <c r="M10" s="2"/>
      <c r="O10" s="188"/>
      <c r="U10" s="2">
        <v>1000.0</v>
      </c>
    </row>
    <row r="11">
      <c r="B11" s="2" t="s">
        <v>1204</v>
      </c>
      <c r="C11" s="2">
        <v>25.0</v>
      </c>
      <c r="D11">
        <f t="shared" si="2"/>
        <v>3750</v>
      </c>
      <c r="E11" s="184"/>
      <c r="F11" s="184">
        <f t="shared" si="3"/>
        <v>3.472222222</v>
      </c>
      <c r="G11" s="183"/>
      <c r="H11" s="183"/>
      <c r="I11" s="183" t="str">
        <f t="shared" si="5"/>
        <v>#REF!</v>
      </c>
      <c r="J11" s="186">
        <f t="shared" si="4"/>
        <v>5.787037037</v>
      </c>
      <c r="K11" s="39"/>
      <c r="N11" s="2"/>
      <c r="O11" s="5" t="s">
        <v>1205</v>
      </c>
      <c r="P11" s="8" t="s">
        <v>120</v>
      </c>
      <c r="Z11" s="3" t="s">
        <v>93</v>
      </c>
      <c r="AA11" s="3" t="s">
        <v>1206</v>
      </c>
      <c r="AC11" s="3" t="s">
        <v>1207</v>
      </c>
      <c r="AD11" s="3" t="s">
        <v>1208</v>
      </c>
      <c r="AE11" s="29"/>
    </row>
    <row r="12">
      <c r="C12" s="52" t="s">
        <v>321</v>
      </c>
      <c r="D12" s="3" t="s">
        <v>719</v>
      </c>
      <c r="E12" s="3" t="s">
        <v>375</v>
      </c>
      <c r="F12" s="3" t="s">
        <v>1187</v>
      </c>
      <c r="G12" s="3" t="s">
        <v>1209</v>
      </c>
      <c r="H12" s="3" t="s">
        <v>1210</v>
      </c>
      <c r="I12" s="27" t="s">
        <v>1211</v>
      </c>
      <c r="J12" s="3" t="s">
        <v>1212</v>
      </c>
      <c r="K12" s="27" t="s">
        <v>1213</v>
      </c>
      <c r="M12" s="2"/>
      <c r="N12" s="5"/>
      <c r="O12" s="188"/>
      <c r="Z12" s="8">
        <v>1.0</v>
      </c>
      <c r="AA12" s="5"/>
      <c r="AB12" s="2" t="s">
        <v>189</v>
      </c>
      <c r="AC12" s="29"/>
      <c r="AD12" s="8"/>
      <c r="AE12" s="6"/>
    </row>
    <row r="13">
      <c r="B13" s="2" t="s">
        <v>1214</v>
      </c>
      <c r="C13" s="2" t="s">
        <v>1215</v>
      </c>
      <c r="D13" s="8">
        <v>0.24</v>
      </c>
      <c r="E13" s="56">
        <f>D13*12</f>
        <v>2.88</v>
      </c>
      <c r="F13" s="186">
        <f t="shared" ref="F13:F16" si="6">E13*1/$R$19</f>
        <v>4.8</v>
      </c>
      <c r="G13" s="39">
        <f t="shared" ref="G13:G16" si="7">F13*S$20</f>
        <v>3.84</v>
      </c>
      <c r="H13" s="186">
        <f t="shared" ref="H13:H16" si="8">E13*1/$R$21</f>
        <v>4.114285714</v>
      </c>
      <c r="I13" s="39">
        <f t="shared" ref="I13:I16" si="9">H13*S$21</f>
        <v>2.88</v>
      </c>
      <c r="J13" s="186">
        <f t="shared" ref="J13:J16" si="10">E13*1/$R$22</f>
        <v>3.6</v>
      </c>
      <c r="K13" s="39">
        <f t="shared" ref="K13:K16" si="11">H13*$S$22</f>
        <v>2.468571429</v>
      </c>
      <c r="L13" s="52" t="s">
        <v>1216</v>
      </c>
      <c r="M13" s="6"/>
      <c r="Q13" s="2"/>
      <c r="R13" s="2" t="s">
        <v>1217</v>
      </c>
      <c r="X13" s="2">
        <v>1.0</v>
      </c>
      <c r="Y13" s="2" t="s">
        <v>87</v>
      </c>
      <c r="Z13" s="8">
        <v>10.0</v>
      </c>
      <c r="AA13" s="5"/>
      <c r="AB13" s="2" t="s">
        <v>189</v>
      </c>
      <c r="AC13" s="29"/>
      <c r="AD13" s="8"/>
      <c r="AE13" s="2"/>
    </row>
    <row r="14">
      <c r="B14" s="2"/>
      <c r="D14" s="8">
        <v>3.0</v>
      </c>
      <c r="E14" s="56">
        <f t="shared" ref="E14:E16" si="12">D14</f>
        <v>3</v>
      </c>
      <c r="F14" s="186">
        <f t="shared" si="6"/>
        <v>5</v>
      </c>
      <c r="G14" s="39">
        <f t="shared" si="7"/>
        <v>4</v>
      </c>
      <c r="H14" s="186">
        <f t="shared" si="8"/>
        <v>4.285714286</v>
      </c>
      <c r="I14" s="39">
        <f t="shared" si="9"/>
        <v>3</v>
      </c>
      <c r="J14" s="186">
        <f t="shared" si="10"/>
        <v>3.75</v>
      </c>
      <c r="K14" s="39">
        <f t="shared" si="11"/>
        <v>2.571428571</v>
      </c>
      <c r="L14" s="52" t="s">
        <v>1218</v>
      </c>
      <c r="M14" s="2"/>
      <c r="O14" s="4" t="s">
        <v>1219</v>
      </c>
      <c r="Z14" s="8">
        <v>20.0</v>
      </c>
      <c r="AA14" s="5"/>
      <c r="AB14" s="2" t="s">
        <v>189</v>
      </c>
      <c r="AC14" s="29"/>
      <c r="AD14" s="8"/>
      <c r="AE14" s="6"/>
    </row>
    <row r="15">
      <c r="B15" s="2" t="s">
        <v>1220</v>
      </c>
      <c r="D15" s="8">
        <v>4.0</v>
      </c>
      <c r="E15" s="56">
        <f t="shared" si="12"/>
        <v>4</v>
      </c>
      <c r="F15" s="186">
        <f t="shared" si="6"/>
        <v>6.666666667</v>
      </c>
      <c r="G15" s="39">
        <f t="shared" si="7"/>
        <v>5.333333333</v>
      </c>
      <c r="H15" s="186">
        <f t="shared" si="8"/>
        <v>5.714285714</v>
      </c>
      <c r="I15" s="39">
        <f t="shared" si="9"/>
        <v>4</v>
      </c>
      <c r="J15" s="186">
        <f t="shared" si="10"/>
        <v>5</v>
      </c>
      <c r="K15" s="39">
        <f t="shared" si="11"/>
        <v>3.428571429</v>
      </c>
      <c r="M15" s="5"/>
      <c r="N15" s="5"/>
      <c r="O15" s="5"/>
      <c r="P15" s="8"/>
      <c r="Q15" s="2"/>
      <c r="R15" s="2"/>
      <c r="S15" s="2"/>
      <c r="Z15" s="8">
        <v>20.0</v>
      </c>
      <c r="AA15" s="5"/>
      <c r="AB15" s="2" t="s">
        <v>189</v>
      </c>
      <c r="AC15" s="29"/>
      <c r="AD15" s="8"/>
      <c r="AE15" s="6"/>
    </row>
    <row r="16">
      <c r="B16" s="2" t="s">
        <v>1221</v>
      </c>
      <c r="D16" s="8">
        <v>5.0</v>
      </c>
      <c r="E16" s="56">
        <f t="shared" si="12"/>
        <v>5</v>
      </c>
      <c r="F16" s="186">
        <f t="shared" si="6"/>
        <v>8.333333333</v>
      </c>
      <c r="G16" s="39">
        <f t="shared" si="7"/>
        <v>6.666666667</v>
      </c>
      <c r="H16" s="186">
        <f t="shared" si="8"/>
        <v>7.142857143</v>
      </c>
      <c r="I16" s="39">
        <f t="shared" si="9"/>
        <v>5</v>
      </c>
      <c r="J16" s="186">
        <f t="shared" si="10"/>
        <v>6.25</v>
      </c>
      <c r="K16" s="39">
        <f t="shared" si="11"/>
        <v>4.285714286</v>
      </c>
      <c r="M16" s="2"/>
      <c r="N16" s="5"/>
      <c r="O16" s="5" t="s">
        <v>1222</v>
      </c>
      <c r="P16" s="8" t="s">
        <v>1185</v>
      </c>
      <c r="Q16" s="2"/>
      <c r="R16" s="2">
        <v>1.0</v>
      </c>
      <c r="S16" s="2" t="s">
        <v>87</v>
      </c>
    </row>
    <row r="17">
      <c r="B17" s="2"/>
      <c r="M17" s="5"/>
      <c r="N17" s="5"/>
      <c r="O17" s="5" t="s">
        <v>1223</v>
      </c>
      <c r="P17" s="8" t="s">
        <v>1224</v>
      </c>
      <c r="Q17" s="2"/>
      <c r="R17" s="2">
        <v>1000.0</v>
      </c>
      <c r="S17" s="2" t="s">
        <v>87</v>
      </c>
      <c r="Z17" s="3" t="s">
        <v>93</v>
      </c>
      <c r="AA17" s="3" t="s">
        <v>1206</v>
      </c>
      <c r="AC17" s="3" t="s">
        <v>1207</v>
      </c>
      <c r="AD17" s="3" t="s">
        <v>1208</v>
      </c>
      <c r="AE17" s="29"/>
    </row>
    <row r="18">
      <c r="B18" s="179" t="s">
        <v>1225</v>
      </c>
      <c r="M18" s="2"/>
      <c r="N18" s="5"/>
      <c r="O18" s="4" t="s">
        <v>1226</v>
      </c>
      <c r="Q18" s="3"/>
      <c r="R18" s="3" t="s">
        <v>375</v>
      </c>
      <c r="S18" s="3" t="s">
        <v>291</v>
      </c>
      <c r="Z18" s="8">
        <v>1.0</v>
      </c>
      <c r="AA18" s="5">
        <v>20.0</v>
      </c>
      <c r="AB18" s="2" t="s">
        <v>189</v>
      </c>
      <c r="AC18" s="29">
        <f t="shared" ref="AC18:AC20" si="13">AD18/2</f>
        <v>0</v>
      </c>
      <c r="AD18" s="8"/>
      <c r="AE18" s="6"/>
    </row>
    <row r="19">
      <c r="B19" s="52" t="s">
        <v>1220</v>
      </c>
      <c r="C19" s="3" t="s">
        <v>719</v>
      </c>
      <c r="D19" s="3" t="s">
        <v>47</v>
      </c>
      <c r="E19" s="3"/>
      <c r="F19" s="3" t="s">
        <v>1227</v>
      </c>
      <c r="G19" s="27"/>
      <c r="H19" s="27"/>
      <c r="I19" s="27" t="s">
        <v>1228</v>
      </c>
      <c r="J19" s="3" t="s">
        <v>1229</v>
      </c>
      <c r="K19" s="27" t="s">
        <v>1230</v>
      </c>
      <c r="L19" s="52" t="s">
        <v>1231</v>
      </c>
      <c r="M19" s="52" t="s">
        <v>1232</v>
      </c>
      <c r="O19" s="5" t="s">
        <v>1233</v>
      </c>
      <c r="P19" s="8" t="s">
        <v>1186</v>
      </c>
      <c r="Q19" s="8"/>
      <c r="R19" s="8">
        <v>0.6</v>
      </c>
      <c r="S19" s="8">
        <v>1.0</v>
      </c>
      <c r="X19" s="2">
        <v>10.0</v>
      </c>
      <c r="Y19" s="2" t="s">
        <v>87</v>
      </c>
      <c r="Z19" s="8">
        <v>10.0</v>
      </c>
      <c r="AA19" s="5">
        <v>2.0</v>
      </c>
      <c r="AB19" s="2" t="s">
        <v>189</v>
      </c>
      <c r="AC19" s="29">
        <f t="shared" si="13"/>
        <v>0</v>
      </c>
      <c r="AD19" s="8"/>
      <c r="AE19" s="2"/>
    </row>
    <row r="20">
      <c r="B20" s="2" t="s">
        <v>1234</v>
      </c>
      <c r="C20" s="8" t="s">
        <v>1235</v>
      </c>
      <c r="D20" s="8" t="s">
        <v>1236</v>
      </c>
      <c r="E20" s="186"/>
      <c r="F20" s="186"/>
      <c r="G20" s="39"/>
      <c r="H20" s="39"/>
      <c r="I20" s="39"/>
      <c r="J20" s="186">
        <f>20000/$R$22</f>
        <v>25000</v>
      </c>
      <c r="K20" s="39">
        <f t="shared" ref="K20:K36" si="14">J20*$S$22</f>
        <v>15000</v>
      </c>
      <c r="L20" s="189" t="s">
        <v>1237</v>
      </c>
      <c r="M20" s="2">
        <v>-30.0</v>
      </c>
      <c r="O20" s="5" t="s">
        <v>1238</v>
      </c>
      <c r="P20" s="8" t="s">
        <v>1187</v>
      </c>
      <c r="S20" s="190">
        <v>0.8</v>
      </c>
      <c r="Z20" s="8">
        <v>20.0</v>
      </c>
      <c r="AA20" s="5">
        <v>1.0</v>
      </c>
      <c r="AB20" s="2" t="s">
        <v>189</v>
      </c>
      <c r="AC20" s="29">
        <f t="shared" si="13"/>
        <v>180</v>
      </c>
      <c r="AD20" s="8">
        <v>360.0</v>
      </c>
      <c r="AE20" s="6" t="s">
        <v>295</v>
      </c>
    </row>
    <row r="21">
      <c r="B21" s="2" t="s">
        <v>1239</v>
      </c>
      <c r="C21" s="8">
        <v>4.0</v>
      </c>
      <c r="D21" s="8" t="s">
        <v>1240</v>
      </c>
      <c r="E21" s="56" t="s">
        <v>1241</v>
      </c>
      <c r="F21" s="186">
        <f t="shared" ref="F21:F36" si="15">C21/$R$19</f>
        <v>6.666666667</v>
      </c>
      <c r="G21" s="39"/>
      <c r="H21" s="39"/>
      <c r="I21" s="39">
        <f t="shared" ref="I21:I36" si="16">F21*$S$20</f>
        <v>5.333333333</v>
      </c>
      <c r="J21" s="186">
        <f t="shared" ref="J21:J36" si="17">C21/$R$22</f>
        <v>5</v>
      </c>
      <c r="K21" s="39">
        <f t="shared" si="14"/>
        <v>3</v>
      </c>
      <c r="L21" s="189" t="s">
        <v>1242</v>
      </c>
      <c r="M21" s="2">
        <v>-62.0</v>
      </c>
      <c r="O21" s="5" t="s">
        <v>1243</v>
      </c>
      <c r="P21" s="8" t="s">
        <v>1210</v>
      </c>
      <c r="Q21" s="8"/>
      <c r="R21" s="8">
        <v>0.7</v>
      </c>
      <c r="S21" s="8">
        <v>0.7</v>
      </c>
      <c r="AB21" s="29"/>
      <c r="AC21" s="8"/>
      <c r="AD21" s="29"/>
      <c r="AE21" s="29"/>
      <c r="AF21" s="29"/>
    </row>
    <row r="22">
      <c r="B22" s="2" t="s">
        <v>1244</v>
      </c>
      <c r="C22" s="8">
        <v>6.0</v>
      </c>
      <c r="D22" s="56" t="s">
        <v>1245</v>
      </c>
      <c r="E22" s="189" t="s">
        <v>1246</v>
      </c>
      <c r="F22" s="186">
        <f t="shared" si="15"/>
        <v>10</v>
      </c>
      <c r="G22" s="39"/>
      <c r="H22" s="39"/>
      <c r="I22" s="39">
        <f t="shared" si="16"/>
        <v>8</v>
      </c>
      <c r="J22" s="186">
        <f t="shared" si="17"/>
        <v>7.5</v>
      </c>
      <c r="K22" s="39">
        <f t="shared" si="14"/>
        <v>4.5</v>
      </c>
      <c r="L22" s="8" t="s">
        <v>1247</v>
      </c>
      <c r="M22" s="2">
        <v>4.0</v>
      </c>
      <c r="O22" s="5" t="s">
        <v>1248</v>
      </c>
      <c r="P22" s="8" t="s">
        <v>1212</v>
      </c>
      <c r="Q22" s="190"/>
      <c r="R22" s="190">
        <v>0.8</v>
      </c>
      <c r="S22" s="8">
        <v>0.6</v>
      </c>
      <c r="X22" s="25"/>
      <c r="Y22" s="2"/>
      <c r="Z22" s="3" t="s">
        <v>93</v>
      </c>
      <c r="AA22" s="3" t="s">
        <v>1206</v>
      </c>
      <c r="AC22" s="3" t="s">
        <v>1207</v>
      </c>
      <c r="AD22" s="3" t="s">
        <v>1208</v>
      </c>
      <c r="AE22" s="29"/>
      <c r="AF22" s="29"/>
    </row>
    <row r="23">
      <c r="B23" s="2" t="s">
        <v>1249</v>
      </c>
      <c r="C23" s="8">
        <v>7.0</v>
      </c>
      <c r="D23" s="56" t="s">
        <v>1250</v>
      </c>
      <c r="E23" s="189" t="s">
        <v>1251</v>
      </c>
      <c r="F23" s="186">
        <f t="shared" si="15"/>
        <v>11.66666667</v>
      </c>
      <c r="G23" s="39"/>
      <c r="H23" s="39"/>
      <c r="I23" s="39">
        <f t="shared" si="16"/>
        <v>9.333333333</v>
      </c>
      <c r="J23" s="186">
        <f t="shared" si="17"/>
        <v>8.75</v>
      </c>
      <c r="K23" s="39">
        <f t="shared" si="14"/>
        <v>5.25</v>
      </c>
      <c r="L23" s="8" t="s">
        <v>1252</v>
      </c>
      <c r="M23" s="2">
        <v>-60.0</v>
      </c>
      <c r="O23" s="5"/>
      <c r="Q23" s="2"/>
      <c r="R23" s="2"/>
      <c r="U23" s="25">
        <f>20000/60</f>
        <v>333.3333333</v>
      </c>
      <c r="X23" s="25">
        <f>1000</f>
        <v>1000</v>
      </c>
      <c r="Y23" s="2" t="s">
        <v>87</v>
      </c>
      <c r="Z23" s="8">
        <v>1.0</v>
      </c>
      <c r="AA23" s="5">
        <v>1.0</v>
      </c>
      <c r="AB23" s="2" t="s">
        <v>326</v>
      </c>
      <c r="AC23" s="29">
        <f t="shared" ref="AC23:AC25" si="18">AD23/2</f>
        <v>0.15</v>
      </c>
      <c r="AD23" s="8">
        <v>0.3</v>
      </c>
      <c r="AE23" s="6" t="s">
        <v>321</v>
      </c>
      <c r="AF23" s="29"/>
    </row>
    <row r="24">
      <c r="B24" s="2" t="s">
        <v>1221</v>
      </c>
      <c r="C24" s="8">
        <v>8.0</v>
      </c>
      <c r="D24" s="56" t="s">
        <v>378</v>
      </c>
      <c r="E24" s="189" t="s">
        <v>1253</v>
      </c>
      <c r="F24" s="186">
        <f t="shared" si="15"/>
        <v>13.33333333</v>
      </c>
      <c r="G24" s="39"/>
      <c r="H24" s="39"/>
      <c r="I24" s="39">
        <f t="shared" si="16"/>
        <v>10.66666667</v>
      </c>
      <c r="J24" s="186">
        <f t="shared" si="17"/>
        <v>10</v>
      </c>
      <c r="K24" s="39">
        <f t="shared" si="14"/>
        <v>6</v>
      </c>
      <c r="L24" s="8" t="s">
        <v>1252</v>
      </c>
      <c r="M24">
        <f>7</f>
        <v>7</v>
      </c>
      <c r="O24" s="188"/>
      <c r="X24" s="191">
        <f>X23*24*3600/150000000</f>
        <v>0.576</v>
      </c>
      <c r="Y24" s="2" t="s">
        <v>349</v>
      </c>
      <c r="Z24" s="8">
        <v>25.0</v>
      </c>
      <c r="AA24" s="5">
        <v>1.0</v>
      </c>
      <c r="AB24" s="2" t="s">
        <v>115</v>
      </c>
      <c r="AC24" s="29">
        <f t="shared" si="18"/>
        <v>0.5</v>
      </c>
      <c r="AD24" s="8">
        <v>1.0</v>
      </c>
      <c r="AE24" s="2" t="s">
        <v>1184</v>
      </c>
      <c r="AF24" s="2"/>
    </row>
    <row r="25">
      <c r="B25" s="2" t="s">
        <v>1254</v>
      </c>
      <c r="C25" s="8">
        <v>8.0</v>
      </c>
      <c r="D25" s="56" t="s">
        <v>1255</v>
      </c>
      <c r="E25" s="186"/>
      <c r="F25" s="186">
        <f t="shared" si="15"/>
        <v>13.33333333</v>
      </c>
      <c r="G25" s="39"/>
      <c r="H25" s="39"/>
      <c r="I25" s="39">
        <f t="shared" si="16"/>
        <v>10.66666667</v>
      </c>
      <c r="J25" s="186">
        <f t="shared" si="17"/>
        <v>10</v>
      </c>
      <c r="K25" s="39">
        <f t="shared" si="14"/>
        <v>6</v>
      </c>
      <c r="L25" s="8" t="s">
        <v>1256</v>
      </c>
      <c r="M25" s="2">
        <v>-16.0</v>
      </c>
      <c r="O25" s="4" t="s">
        <v>1257</v>
      </c>
      <c r="X25" s="192">
        <f>X24*7</f>
        <v>4.032</v>
      </c>
      <c r="Y25" s="2" t="s">
        <v>1258</v>
      </c>
      <c r="Z25" s="8">
        <v>50.0</v>
      </c>
      <c r="AA25" s="5">
        <v>30.0</v>
      </c>
      <c r="AB25" s="2" t="s">
        <v>189</v>
      </c>
      <c r="AC25" s="29">
        <f t="shared" si="18"/>
        <v>300</v>
      </c>
      <c r="AD25" s="8">
        <v>600.0</v>
      </c>
      <c r="AE25" s="6" t="s">
        <v>1259</v>
      </c>
      <c r="AF25" s="6"/>
    </row>
    <row r="26">
      <c r="B26" s="2" t="s">
        <v>1260</v>
      </c>
      <c r="C26" s="8">
        <v>8.0</v>
      </c>
      <c r="D26" s="56" t="s">
        <v>639</v>
      </c>
      <c r="E26" s="186"/>
      <c r="F26" s="186">
        <f t="shared" si="15"/>
        <v>13.33333333</v>
      </c>
      <c r="G26" s="39"/>
      <c r="H26" s="39"/>
      <c r="I26" s="39">
        <f t="shared" si="16"/>
        <v>10.66666667</v>
      </c>
      <c r="J26" s="186">
        <f t="shared" si="17"/>
        <v>10</v>
      </c>
      <c r="K26" s="39">
        <f t="shared" si="14"/>
        <v>6</v>
      </c>
      <c r="L26" s="8"/>
      <c r="M26" s="5"/>
      <c r="O26" s="5" t="s">
        <v>1261</v>
      </c>
      <c r="P26" s="8" t="s">
        <v>1236</v>
      </c>
      <c r="Q26" s="189"/>
      <c r="R26" s="189">
        <v>18.0</v>
      </c>
      <c r="S26" s="8">
        <v>-30.0</v>
      </c>
    </row>
    <row r="27">
      <c r="B27" s="2" t="s">
        <v>1262</v>
      </c>
      <c r="C27" s="8">
        <v>9.0</v>
      </c>
      <c r="D27" s="56" t="s">
        <v>1263</v>
      </c>
      <c r="E27" s="189" t="s">
        <v>1246</v>
      </c>
      <c r="F27" s="186">
        <f t="shared" si="15"/>
        <v>15</v>
      </c>
      <c r="G27" s="39"/>
      <c r="H27" s="39"/>
      <c r="I27" s="39">
        <f t="shared" si="16"/>
        <v>12</v>
      </c>
      <c r="J27" s="186">
        <f t="shared" si="17"/>
        <v>11.25</v>
      </c>
      <c r="K27" s="39">
        <f t="shared" si="14"/>
        <v>6.75</v>
      </c>
      <c r="L27" s="8" t="s">
        <v>1252</v>
      </c>
      <c r="M27" s="5">
        <v>35.0</v>
      </c>
      <c r="O27" s="5" t="s">
        <v>1264</v>
      </c>
      <c r="P27" s="8" t="s">
        <v>639</v>
      </c>
      <c r="Q27" s="8"/>
      <c r="R27" s="8">
        <v>6.0</v>
      </c>
      <c r="S27" s="8">
        <v>30.0</v>
      </c>
      <c r="AA27" s="29"/>
      <c r="AB27" s="29"/>
      <c r="AC27" s="29"/>
    </row>
    <row r="28">
      <c r="B28" s="2" t="s">
        <v>1265</v>
      </c>
      <c r="C28" s="8">
        <v>10.0</v>
      </c>
      <c r="D28" s="56" t="s">
        <v>1236</v>
      </c>
      <c r="E28" s="189" t="s">
        <v>1253</v>
      </c>
      <c r="F28" s="186">
        <f t="shared" si="15"/>
        <v>16.66666667</v>
      </c>
      <c r="G28" s="39"/>
      <c r="H28" s="39"/>
      <c r="I28" s="39">
        <f t="shared" si="16"/>
        <v>13.33333333</v>
      </c>
      <c r="J28" s="186">
        <f t="shared" si="17"/>
        <v>12.5</v>
      </c>
      <c r="K28" s="39">
        <f t="shared" si="14"/>
        <v>7.5</v>
      </c>
      <c r="L28" s="8" t="s">
        <v>1266</v>
      </c>
      <c r="M28" s="2">
        <v>-24.0</v>
      </c>
      <c r="O28" s="5" t="s">
        <v>1267</v>
      </c>
      <c r="P28" s="8" t="s">
        <v>378</v>
      </c>
      <c r="Q28" s="8"/>
      <c r="R28" s="8">
        <v>12.0</v>
      </c>
      <c r="S28" s="8">
        <v>0.0</v>
      </c>
      <c r="AG28" s="29"/>
    </row>
    <row r="29">
      <c r="B29" s="2" t="s">
        <v>1268</v>
      </c>
      <c r="C29" s="8">
        <v>10.0</v>
      </c>
      <c r="D29" s="56" t="s">
        <v>125</v>
      </c>
      <c r="E29" s="186"/>
      <c r="F29" s="186">
        <f t="shared" si="15"/>
        <v>16.66666667</v>
      </c>
      <c r="G29" s="39"/>
      <c r="H29" s="39"/>
      <c r="I29" s="39">
        <f t="shared" si="16"/>
        <v>13.33333333</v>
      </c>
      <c r="J29" s="186">
        <f t="shared" si="17"/>
        <v>12.5</v>
      </c>
      <c r="K29" s="39">
        <f t="shared" si="14"/>
        <v>7.5</v>
      </c>
      <c r="L29" s="8" t="s">
        <v>1269</v>
      </c>
      <c r="M29" s="2">
        <v>44.0</v>
      </c>
      <c r="O29" s="5" t="s">
        <v>1270</v>
      </c>
      <c r="P29" s="8" t="s">
        <v>125</v>
      </c>
      <c r="Q29" s="8"/>
      <c r="R29" s="8">
        <v>0.0</v>
      </c>
      <c r="S29" s="8">
        <v>0.0</v>
      </c>
      <c r="Y29" s="8" t="s">
        <v>1271</v>
      </c>
      <c r="Z29" s="3" t="s">
        <v>1272</v>
      </c>
      <c r="AA29" s="29"/>
      <c r="AB29" s="8" t="s">
        <v>1273</v>
      </c>
      <c r="AC29" s="29"/>
      <c r="AD29" s="3" t="s">
        <v>1274</v>
      </c>
      <c r="AE29" s="8" t="s">
        <v>1275</v>
      </c>
      <c r="AG29" s="29"/>
    </row>
    <row r="30">
      <c r="B30" s="2" t="s">
        <v>1276</v>
      </c>
      <c r="C30" s="8">
        <v>10.0</v>
      </c>
      <c r="D30" s="56" t="s">
        <v>1277</v>
      </c>
      <c r="E30" s="186"/>
      <c r="F30" s="186">
        <f t="shared" si="15"/>
        <v>16.66666667</v>
      </c>
      <c r="G30" s="39"/>
      <c r="H30" s="39"/>
      <c r="I30" s="39">
        <f t="shared" si="16"/>
        <v>13.33333333</v>
      </c>
      <c r="J30" s="186">
        <f t="shared" si="17"/>
        <v>12.5</v>
      </c>
      <c r="K30" s="39">
        <f t="shared" si="14"/>
        <v>7.5</v>
      </c>
      <c r="L30" s="8" t="s">
        <v>1278</v>
      </c>
      <c r="M30" s="2">
        <v>-10.0</v>
      </c>
      <c r="O30" s="5" t="s">
        <v>1279</v>
      </c>
      <c r="P30" s="8" t="s">
        <v>483</v>
      </c>
      <c r="Q30" s="29"/>
      <c r="R30" s="29"/>
      <c r="S30" s="29"/>
      <c r="Z30" s="180"/>
      <c r="AA30" s="193" t="s">
        <v>1280</v>
      </c>
      <c r="AB30" s="3" t="s">
        <v>125</v>
      </c>
      <c r="AC30" s="8" t="s">
        <v>1281</v>
      </c>
      <c r="AD30" s="180"/>
      <c r="AG30" s="29"/>
    </row>
    <row r="31">
      <c r="B31" s="2" t="s">
        <v>1282</v>
      </c>
      <c r="C31" s="8">
        <v>10.0</v>
      </c>
      <c r="D31" s="56" t="s">
        <v>1283</v>
      </c>
      <c r="E31" s="186"/>
      <c r="F31" s="186">
        <f t="shared" si="15"/>
        <v>16.66666667</v>
      </c>
      <c r="G31" s="39"/>
      <c r="H31" s="39"/>
      <c r="I31" s="39">
        <f t="shared" si="16"/>
        <v>13.33333333</v>
      </c>
      <c r="J31" s="186">
        <f t="shared" si="17"/>
        <v>12.5</v>
      </c>
      <c r="K31" s="39">
        <f t="shared" si="14"/>
        <v>7.5</v>
      </c>
      <c r="L31" s="8" t="s">
        <v>1284</v>
      </c>
      <c r="M31" s="2">
        <v>-35.0</v>
      </c>
      <c r="O31" s="5" t="s">
        <v>1285</v>
      </c>
      <c r="P31" s="8" t="s">
        <v>1286</v>
      </c>
      <c r="Y31" s="8" t="s">
        <v>1247</v>
      </c>
      <c r="Z31" s="3" t="s">
        <v>1236</v>
      </c>
      <c r="AA31" s="193" t="s">
        <v>1241</v>
      </c>
      <c r="AB31" s="29"/>
      <c r="AC31" s="8" t="s">
        <v>1246</v>
      </c>
      <c r="AD31" s="3" t="s">
        <v>639</v>
      </c>
      <c r="AE31" s="8" t="s">
        <v>1287</v>
      </c>
      <c r="AG31" s="29"/>
    </row>
    <row r="32">
      <c r="B32" s="2" t="s">
        <v>1288</v>
      </c>
      <c r="C32" s="8">
        <v>11.0</v>
      </c>
      <c r="D32" s="56" t="s">
        <v>378</v>
      </c>
      <c r="E32" s="189" t="s">
        <v>1253</v>
      </c>
      <c r="F32" s="186">
        <f t="shared" si="15"/>
        <v>18.33333333</v>
      </c>
      <c r="G32" s="39"/>
      <c r="H32" s="39"/>
      <c r="I32" s="39">
        <f t="shared" si="16"/>
        <v>14.66666667</v>
      </c>
      <c r="J32" s="186">
        <f t="shared" si="17"/>
        <v>13.75</v>
      </c>
      <c r="K32" s="39">
        <f t="shared" si="14"/>
        <v>8.25</v>
      </c>
      <c r="L32" s="8" t="s">
        <v>1289</v>
      </c>
      <c r="M32" s="2">
        <v>0.0</v>
      </c>
      <c r="O32" s="5"/>
      <c r="P32" s="8"/>
      <c r="Q32" s="29"/>
      <c r="R32" s="29"/>
      <c r="S32" s="29"/>
      <c r="Z32" s="180"/>
      <c r="AB32" s="3" t="s">
        <v>378</v>
      </c>
      <c r="AD32" s="180"/>
      <c r="AG32" s="29"/>
    </row>
    <row r="33">
      <c r="B33" s="2" t="s">
        <v>1290</v>
      </c>
      <c r="C33" s="8">
        <v>11.0</v>
      </c>
      <c r="D33" s="56" t="s">
        <v>125</v>
      </c>
      <c r="E33" s="186"/>
      <c r="F33" s="186">
        <f t="shared" si="15"/>
        <v>18.33333333</v>
      </c>
      <c r="G33" s="39"/>
      <c r="H33" s="39"/>
      <c r="I33" s="39">
        <f t="shared" si="16"/>
        <v>14.66666667</v>
      </c>
      <c r="J33" s="186">
        <f t="shared" si="17"/>
        <v>13.75</v>
      </c>
      <c r="K33" s="39">
        <f t="shared" si="14"/>
        <v>8.25</v>
      </c>
      <c r="L33" s="8" t="s">
        <v>1284</v>
      </c>
      <c r="M33" s="2">
        <v>-15.0</v>
      </c>
      <c r="O33" s="5" t="s">
        <v>1291</v>
      </c>
      <c r="P33" s="8" t="s">
        <v>321</v>
      </c>
      <c r="Q33" s="2"/>
      <c r="R33" s="2">
        <v>150.0</v>
      </c>
      <c r="S33" s="2" t="s">
        <v>1184</v>
      </c>
      <c r="Y33" s="8" t="s">
        <v>1292</v>
      </c>
      <c r="Z33" s="3" t="s">
        <v>1293</v>
      </c>
      <c r="AA33" s="29"/>
      <c r="AB33" s="8" t="s">
        <v>1289</v>
      </c>
      <c r="AC33" s="29"/>
      <c r="AD33" s="3" t="s">
        <v>1294</v>
      </c>
      <c r="AE33" s="8" t="s">
        <v>1295</v>
      </c>
      <c r="AF33" s="29"/>
      <c r="AG33" s="29"/>
    </row>
    <row r="34">
      <c r="B34" s="2" t="s">
        <v>1296</v>
      </c>
      <c r="C34" s="8">
        <v>11.0</v>
      </c>
      <c r="D34" s="56" t="s">
        <v>1255</v>
      </c>
      <c r="E34" s="186"/>
      <c r="F34" s="186">
        <f t="shared" si="15"/>
        <v>18.33333333</v>
      </c>
      <c r="G34" s="39"/>
      <c r="H34" s="39"/>
      <c r="I34" s="39">
        <f t="shared" si="16"/>
        <v>14.66666667</v>
      </c>
      <c r="J34" s="186">
        <f t="shared" si="17"/>
        <v>13.75</v>
      </c>
      <c r="K34" s="39">
        <f t="shared" si="14"/>
        <v>8.25</v>
      </c>
      <c r="L34" s="8" t="s">
        <v>1297</v>
      </c>
      <c r="M34" s="2">
        <v>5.0</v>
      </c>
      <c r="O34" s="5"/>
      <c r="P34" s="8" t="s">
        <v>1298</v>
      </c>
      <c r="Q34" s="185"/>
      <c r="R34" s="185">
        <v>0.1</v>
      </c>
      <c r="S34" s="2" t="s">
        <v>321</v>
      </c>
      <c r="X34">
        <f>sum(Sheet27!C5:C19)</f>
        <v>360</v>
      </c>
      <c r="AF34" s="29"/>
      <c r="AG34" s="29"/>
    </row>
    <row r="35">
      <c r="B35" s="2" t="s">
        <v>1299</v>
      </c>
      <c r="C35" s="8">
        <v>11.0</v>
      </c>
      <c r="D35" s="56" t="s">
        <v>1300</v>
      </c>
      <c r="E35" s="186"/>
      <c r="F35" s="186">
        <f t="shared" si="15"/>
        <v>18.33333333</v>
      </c>
      <c r="G35" s="39"/>
      <c r="H35" s="39"/>
      <c r="I35" s="39">
        <f t="shared" si="16"/>
        <v>14.66666667</v>
      </c>
      <c r="J35" s="186">
        <f t="shared" si="17"/>
        <v>13.75</v>
      </c>
      <c r="K35" s="39">
        <f t="shared" si="14"/>
        <v>8.25</v>
      </c>
      <c r="L35" s="8" t="s">
        <v>1271</v>
      </c>
      <c r="M35" s="2">
        <v>40.0</v>
      </c>
      <c r="N35" s="194"/>
      <c r="O35" s="5" t="s">
        <v>1301</v>
      </c>
      <c r="P35" s="8" t="s">
        <v>1302</v>
      </c>
      <c r="Q35" s="195"/>
      <c r="R35" s="195">
        <f>R39*3600*24/R33</f>
        <v>172.8</v>
      </c>
      <c r="S35" s="2" t="s">
        <v>321</v>
      </c>
      <c r="AF35" s="29"/>
      <c r="AG35" s="29"/>
    </row>
    <row r="36">
      <c r="B36" s="2" t="s">
        <v>1303</v>
      </c>
      <c r="C36" s="8">
        <v>11.0</v>
      </c>
      <c r="D36" s="8" t="s">
        <v>1245</v>
      </c>
      <c r="E36" s="186"/>
      <c r="F36" s="186">
        <f t="shared" si="15"/>
        <v>18.33333333</v>
      </c>
      <c r="G36" s="39"/>
      <c r="H36" s="39"/>
      <c r="I36" s="39">
        <f t="shared" si="16"/>
        <v>14.66666667</v>
      </c>
      <c r="J36" s="186">
        <f t="shared" si="17"/>
        <v>13.75</v>
      </c>
      <c r="K36" s="39">
        <f t="shared" si="14"/>
        <v>8.25</v>
      </c>
      <c r="L36" s="8" t="s">
        <v>1266</v>
      </c>
      <c r="M36" s="2">
        <v>60.0</v>
      </c>
      <c r="O36" s="5" t="s">
        <v>1304</v>
      </c>
      <c r="P36" s="8" t="s">
        <v>719</v>
      </c>
      <c r="Q36" s="192"/>
      <c r="R36" s="192">
        <f>R35*365/1000</f>
        <v>63.072</v>
      </c>
      <c r="S36" s="2" t="s">
        <v>1305</v>
      </c>
      <c r="AG36" s="29"/>
    </row>
    <row r="37">
      <c r="D37" s="29"/>
      <c r="AF37" s="29"/>
      <c r="AG37" s="29"/>
    </row>
    <row r="38">
      <c r="B38" s="2" t="s">
        <v>1306</v>
      </c>
      <c r="C38" s="8">
        <v>11.0</v>
      </c>
      <c r="D38" s="8" t="s">
        <v>1307</v>
      </c>
      <c r="E38" s="186"/>
      <c r="F38" s="186">
        <f t="shared" ref="F38:F46" si="19">C38/$R$19</f>
        <v>18.33333333</v>
      </c>
      <c r="G38" s="39"/>
      <c r="H38" s="39"/>
      <c r="I38" s="39">
        <f t="shared" ref="I38:I46" si="20">F38*$S$20</f>
        <v>14.66666667</v>
      </c>
      <c r="J38" s="186">
        <f t="shared" ref="J38:J46" si="21">C38/$R$22</f>
        <v>13.75</v>
      </c>
      <c r="K38" s="39">
        <f t="shared" ref="K38:K46" si="22">J38*$S$22</f>
        <v>8.25</v>
      </c>
      <c r="L38" s="8" t="s">
        <v>1308</v>
      </c>
      <c r="M38" s="2">
        <v>44.0</v>
      </c>
      <c r="P38" s="29"/>
      <c r="AF38" s="29"/>
      <c r="AG38" s="29"/>
    </row>
    <row r="39">
      <c r="B39" s="2" t="s">
        <v>1309</v>
      </c>
      <c r="C39" s="8">
        <v>12.0</v>
      </c>
      <c r="D39" s="8" t="s">
        <v>1310</v>
      </c>
      <c r="E39" s="186"/>
      <c r="F39" s="186">
        <f t="shared" si="19"/>
        <v>20</v>
      </c>
      <c r="G39" s="39"/>
      <c r="H39" s="39"/>
      <c r="I39" s="39">
        <f t="shared" si="20"/>
        <v>16</v>
      </c>
      <c r="J39" s="186">
        <f t="shared" si="21"/>
        <v>15</v>
      </c>
      <c r="K39" s="39">
        <f t="shared" si="22"/>
        <v>9</v>
      </c>
      <c r="L39" s="8" t="s">
        <v>1311</v>
      </c>
      <c r="M39" s="2">
        <v>-56.0</v>
      </c>
      <c r="O39" s="5" t="s">
        <v>1312</v>
      </c>
      <c r="P39" s="8" t="s">
        <v>375</v>
      </c>
      <c r="Q39" s="2"/>
      <c r="R39" s="2">
        <f> 300000 / 1000000</f>
        <v>0.3</v>
      </c>
      <c r="S39" s="2" t="s">
        <v>1313</v>
      </c>
      <c r="Z39" s="3" t="s">
        <v>93</v>
      </c>
      <c r="AA39" s="3" t="s">
        <v>1206</v>
      </c>
      <c r="AC39" s="3" t="s">
        <v>1207</v>
      </c>
      <c r="AD39" s="3" t="s">
        <v>1208</v>
      </c>
      <c r="AE39" s="29"/>
      <c r="AF39" s="29"/>
      <c r="AG39" s="29"/>
    </row>
    <row r="40">
      <c r="B40" s="2" t="s">
        <v>1314</v>
      </c>
      <c r="C40" s="8">
        <v>12.0</v>
      </c>
      <c r="D40" s="8" t="s">
        <v>1277</v>
      </c>
      <c r="E40" s="186"/>
      <c r="F40" s="186">
        <f t="shared" si="19"/>
        <v>20</v>
      </c>
      <c r="G40" s="39"/>
      <c r="H40" s="39"/>
      <c r="I40" s="39">
        <f t="shared" si="20"/>
        <v>16</v>
      </c>
      <c r="J40" s="186">
        <f t="shared" si="21"/>
        <v>15</v>
      </c>
      <c r="K40" s="39">
        <f t="shared" si="22"/>
        <v>9</v>
      </c>
      <c r="L40" s="8" t="s">
        <v>1315</v>
      </c>
      <c r="M40" s="2">
        <v>-15.0</v>
      </c>
      <c r="N40" s="2"/>
      <c r="X40" s="25">
        <f>1800</f>
        <v>1800</v>
      </c>
      <c r="Y40" s="2" t="s">
        <v>87</v>
      </c>
      <c r="Z40" s="8">
        <v>1.0</v>
      </c>
      <c r="AA40" s="5">
        <v>2.0</v>
      </c>
      <c r="AB40" s="2" t="s">
        <v>326</v>
      </c>
      <c r="AC40" s="29">
        <f t="shared" ref="AC40:AC43" si="23">AD40/2</f>
        <v>0.15</v>
      </c>
      <c r="AD40" s="8">
        <v>0.3</v>
      </c>
      <c r="AE40" s="6" t="s">
        <v>321</v>
      </c>
      <c r="AF40" s="29"/>
    </row>
    <row r="41">
      <c r="B41" s="2" t="s">
        <v>1316</v>
      </c>
      <c r="C41" s="8">
        <v>12.0</v>
      </c>
      <c r="D41" s="56" t="s">
        <v>1300</v>
      </c>
      <c r="E41" s="186"/>
      <c r="F41" s="186">
        <f t="shared" si="19"/>
        <v>20</v>
      </c>
      <c r="H41" s="39"/>
      <c r="I41" s="39">
        <f t="shared" si="20"/>
        <v>16</v>
      </c>
      <c r="J41" s="186">
        <f t="shared" si="21"/>
        <v>15</v>
      </c>
      <c r="K41" s="39">
        <f t="shared" si="22"/>
        <v>9</v>
      </c>
      <c r="L41" s="8" t="s">
        <v>1317</v>
      </c>
      <c r="M41" s="2">
        <v>9.0</v>
      </c>
      <c r="P41" s="29"/>
      <c r="Q41" s="52"/>
      <c r="R41" s="52" t="s">
        <v>375</v>
      </c>
      <c r="X41" s="196">
        <f>X40*3600/150000000</f>
        <v>0.0432</v>
      </c>
      <c r="Y41" s="2" t="s">
        <v>1318</v>
      </c>
      <c r="Z41" s="8">
        <v>20.0</v>
      </c>
      <c r="AA41" s="5"/>
      <c r="AB41" s="2" t="s">
        <v>326</v>
      </c>
      <c r="AC41" s="29">
        <f t="shared" si="23"/>
        <v>0</v>
      </c>
      <c r="AD41" s="8"/>
      <c r="AE41" s="6" t="s">
        <v>321</v>
      </c>
    </row>
    <row r="42">
      <c r="B42" s="2" t="s">
        <v>1319</v>
      </c>
      <c r="C42" s="8">
        <v>12.0</v>
      </c>
      <c r="D42" s="56" t="s">
        <v>1294</v>
      </c>
      <c r="E42" s="186"/>
      <c r="F42" s="186">
        <f t="shared" si="19"/>
        <v>20</v>
      </c>
      <c r="G42" s="39"/>
      <c r="H42" s="39"/>
      <c r="I42" s="39">
        <f t="shared" si="20"/>
        <v>16</v>
      </c>
      <c r="J42" s="186">
        <f t="shared" si="21"/>
        <v>15</v>
      </c>
      <c r="K42" s="39">
        <f t="shared" si="22"/>
        <v>9</v>
      </c>
      <c r="L42" s="8" t="s">
        <v>1320</v>
      </c>
      <c r="M42" s="5">
        <v>5.0</v>
      </c>
      <c r="P42" s="8" t="s">
        <v>1321</v>
      </c>
      <c r="R42">
        <f>R39/R33</f>
        <v>0.002</v>
      </c>
      <c r="S42" s="2" t="s">
        <v>321</v>
      </c>
      <c r="X42" s="191">
        <f>X41*24</f>
        <v>1.0368</v>
      </c>
      <c r="Y42" s="2" t="s">
        <v>349</v>
      </c>
      <c r="Z42" s="8">
        <v>30.0</v>
      </c>
      <c r="AA42" s="5"/>
      <c r="AB42" s="2" t="s">
        <v>115</v>
      </c>
      <c r="AC42" s="29">
        <f t="shared" si="23"/>
        <v>0</v>
      </c>
      <c r="AD42" s="8"/>
      <c r="AE42" s="2" t="s">
        <v>1184</v>
      </c>
    </row>
    <row r="43">
      <c r="B43" s="2" t="s">
        <v>1322</v>
      </c>
      <c r="C43" s="8">
        <v>12.0</v>
      </c>
      <c r="D43" s="56" t="s">
        <v>1274</v>
      </c>
      <c r="E43" s="186"/>
      <c r="F43" s="186">
        <f t="shared" si="19"/>
        <v>20</v>
      </c>
      <c r="G43" s="39"/>
      <c r="H43" s="39"/>
      <c r="I43" s="39">
        <f t="shared" si="20"/>
        <v>16</v>
      </c>
      <c r="J43" s="186">
        <f t="shared" si="21"/>
        <v>15</v>
      </c>
      <c r="K43" s="39">
        <f t="shared" si="22"/>
        <v>9</v>
      </c>
      <c r="L43" s="8" t="s">
        <v>1275</v>
      </c>
      <c r="M43" s="5">
        <v>16.0</v>
      </c>
      <c r="P43" s="8" t="s">
        <v>1298</v>
      </c>
      <c r="Q43" s="191"/>
      <c r="R43" s="191">
        <f>R39*60/R33</f>
        <v>0.12</v>
      </c>
      <c r="S43" s="2" t="s">
        <v>321</v>
      </c>
      <c r="X43" s="192">
        <f>X42*7</f>
        <v>7.2576</v>
      </c>
      <c r="Y43" s="2" t="s">
        <v>1258</v>
      </c>
      <c r="Z43" s="8">
        <v>50.0</v>
      </c>
      <c r="AA43" s="5">
        <v>1.0</v>
      </c>
      <c r="AB43" s="2" t="s">
        <v>115</v>
      </c>
      <c r="AC43" s="29">
        <f t="shared" si="23"/>
        <v>0</v>
      </c>
      <c r="AD43" s="8"/>
      <c r="AE43" s="6" t="s">
        <v>1259</v>
      </c>
    </row>
    <row r="44">
      <c r="B44" s="2" t="s">
        <v>1323</v>
      </c>
      <c r="C44" s="8">
        <v>13.0</v>
      </c>
      <c r="D44" s="56" t="s">
        <v>1324</v>
      </c>
      <c r="E44" s="186"/>
      <c r="F44" s="186">
        <f t="shared" si="19"/>
        <v>21.66666667</v>
      </c>
      <c r="G44" s="39"/>
      <c r="H44" s="39"/>
      <c r="I44" s="39">
        <f t="shared" si="20"/>
        <v>17.33333333</v>
      </c>
      <c r="J44" s="186">
        <f t="shared" si="21"/>
        <v>16.25</v>
      </c>
      <c r="K44" s="39">
        <f t="shared" si="22"/>
        <v>9.75</v>
      </c>
      <c r="L44" s="8" t="s">
        <v>1325</v>
      </c>
      <c r="M44" s="5">
        <v>-45.0</v>
      </c>
      <c r="P44" s="8" t="s">
        <v>1326</v>
      </c>
      <c r="R44">
        <f>R39*3600/R33</f>
        <v>7.2</v>
      </c>
      <c r="S44" s="2" t="s">
        <v>321</v>
      </c>
    </row>
    <row r="45">
      <c r="B45" s="2" t="s">
        <v>1327</v>
      </c>
      <c r="C45" s="8">
        <v>14.0</v>
      </c>
      <c r="D45" s="56" t="s">
        <v>1255</v>
      </c>
      <c r="E45" s="186"/>
      <c r="F45" s="186">
        <f t="shared" si="19"/>
        <v>23.33333333</v>
      </c>
      <c r="G45" s="39"/>
      <c r="H45" s="39"/>
      <c r="I45" s="39">
        <f t="shared" si="20"/>
        <v>18.66666667</v>
      </c>
      <c r="J45" s="186">
        <f t="shared" si="21"/>
        <v>17.5</v>
      </c>
      <c r="K45" s="39">
        <f t="shared" si="22"/>
        <v>10.5</v>
      </c>
      <c r="L45" s="8" t="s">
        <v>1325</v>
      </c>
      <c r="M45" s="5">
        <v>5.0</v>
      </c>
      <c r="P45" s="8" t="s">
        <v>1302</v>
      </c>
      <c r="Q45" s="192"/>
      <c r="R45" s="192">
        <f>R39*3600*24/R33</f>
        <v>172.8</v>
      </c>
      <c r="S45" s="2" t="s">
        <v>321</v>
      </c>
      <c r="V45" s="2"/>
    </row>
    <row r="46">
      <c r="B46" s="2" t="s">
        <v>1328</v>
      </c>
      <c r="C46" s="8">
        <v>16.0</v>
      </c>
      <c r="D46" s="56" t="s">
        <v>1300</v>
      </c>
      <c r="E46" s="186"/>
      <c r="F46" s="186">
        <f t="shared" si="19"/>
        <v>26.66666667</v>
      </c>
      <c r="G46" s="39"/>
      <c r="H46" s="39"/>
      <c r="I46" s="39">
        <f t="shared" si="20"/>
        <v>21.33333333</v>
      </c>
      <c r="J46" s="186">
        <f t="shared" si="21"/>
        <v>20</v>
      </c>
      <c r="K46" s="39">
        <f t="shared" si="22"/>
        <v>12</v>
      </c>
      <c r="L46" s="8" t="s">
        <v>1317</v>
      </c>
      <c r="M46" s="8">
        <v>9.0</v>
      </c>
      <c r="P46" s="2" t="s">
        <v>1329</v>
      </c>
      <c r="Q46" s="5"/>
      <c r="R46" s="5" t="s">
        <v>1330</v>
      </c>
      <c r="S46" s="2" t="s">
        <v>321</v>
      </c>
    </row>
    <row r="47">
      <c r="B47" s="2" t="s">
        <v>1331</v>
      </c>
      <c r="C47" s="8">
        <v>13.0</v>
      </c>
      <c r="D47" s="8" t="s">
        <v>1332</v>
      </c>
      <c r="E47" s="56" t="s">
        <v>1241</v>
      </c>
      <c r="F47" s="56"/>
      <c r="G47" s="2" t="s">
        <v>1333</v>
      </c>
      <c r="L47" s="8" t="s">
        <v>1266</v>
      </c>
      <c r="M47" s="194">
        <v>-63.0</v>
      </c>
      <c r="P47" s="8" t="s">
        <v>719</v>
      </c>
      <c r="Q47" s="5"/>
      <c r="R47" s="5" t="s">
        <v>1334</v>
      </c>
      <c r="S47" s="2" t="s">
        <v>321</v>
      </c>
      <c r="X47" s="2">
        <v>0.014</v>
      </c>
      <c r="Y47" s="2" t="s">
        <v>375</v>
      </c>
      <c r="Z47" s="3" t="s">
        <v>93</v>
      </c>
      <c r="AA47" s="3" t="s">
        <v>1206</v>
      </c>
      <c r="AC47" s="3" t="s">
        <v>1207</v>
      </c>
      <c r="AD47" s="3" t="s">
        <v>1208</v>
      </c>
      <c r="AE47" s="29"/>
    </row>
    <row r="48">
      <c r="B48" s="2" t="s">
        <v>1335</v>
      </c>
      <c r="C48" s="8">
        <v>14.0</v>
      </c>
      <c r="D48" s="8" t="s">
        <v>1293</v>
      </c>
      <c r="E48" s="189" t="s">
        <v>1253</v>
      </c>
      <c r="G48" s="2" t="s">
        <v>1336</v>
      </c>
      <c r="L48" s="8" t="s">
        <v>1337</v>
      </c>
      <c r="M48" s="2">
        <v>-12.0</v>
      </c>
      <c r="X48" s="2">
        <v>0.1</v>
      </c>
      <c r="Y48" s="2" t="s">
        <v>1318</v>
      </c>
      <c r="Z48" s="8">
        <v>20.0</v>
      </c>
      <c r="AA48" s="5">
        <v>6.0</v>
      </c>
      <c r="AB48" s="2" t="s">
        <v>115</v>
      </c>
      <c r="AC48" s="29">
        <f t="shared" ref="AC48:AC50" si="24">AD48/2</f>
        <v>50</v>
      </c>
      <c r="AD48" s="8">
        <v>100.0</v>
      </c>
      <c r="AE48" s="2" t="s">
        <v>1259</v>
      </c>
    </row>
    <row r="49">
      <c r="C49" s="8">
        <v>14.0</v>
      </c>
      <c r="D49" s="8" t="s">
        <v>1338</v>
      </c>
      <c r="E49" s="56" t="s">
        <v>1241</v>
      </c>
      <c r="G49" s="2" t="s">
        <v>1339</v>
      </c>
      <c r="L49" s="8" t="s">
        <v>1340</v>
      </c>
      <c r="M49" s="2">
        <v>-50.0</v>
      </c>
      <c r="X49">
        <f>X48*24</f>
        <v>2.4</v>
      </c>
      <c r="Y49" s="2" t="s">
        <v>349</v>
      </c>
      <c r="Z49" s="8">
        <v>30.0</v>
      </c>
      <c r="AA49" s="5">
        <v>4.0</v>
      </c>
      <c r="AB49" s="2" t="s">
        <v>115</v>
      </c>
      <c r="AC49" s="29">
        <f t="shared" si="24"/>
        <v>0.1</v>
      </c>
      <c r="AD49" s="8">
        <v>0.2</v>
      </c>
      <c r="AE49" s="6" t="s">
        <v>321</v>
      </c>
    </row>
    <row r="50">
      <c r="C50" s="29"/>
      <c r="D50" s="29"/>
      <c r="L50" s="29"/>
      <c r="V50" s="2" t="s">
        <v>1341</v>
      </c>
      <c r="X50" s="192">
        <f>X49*7</f>
        <v>16.8</v>
      </c>
      <c r="Y50" s="2" t="s">
        <v>1258</v>
      </c>
      <c r="Z50" s="8">
        <v>50.0</v>
      </c>
      <c r="AA50" s="5">
        <v>2.0</v>
      </c>
      <c r="AB50" s="2" t="s">
        <v>115</v>
      </c>
      <c r="AC50" s="29">
        <f t="shared" si="24"/>
        <v>0.1</v>
      </c>
      <c r="AD50" s="8">
        <v>0.2</v>
      </c>
      <c r="AE50" s="6" t="s">
        <v>321</v>
      </c>
    </row>
    <row r="51">
      <c r="C51" s="29"/>
      <c r="D51" s="29"/>
      <c r="L51" s="29"/>
      <c r="O51" s="5">
        <v>1.0</v>
      </c>
      <c r="P51" s="2" t="s">
        <v>93</v>
      </c>
      <c r="Q51" s="2"/>
      <c r="R51" s="2">
        <f>O51*10</f>
        <v>10</v>
      </c>
      <c r="S51" s="2" t="s">
        <v>211</v>
      </c>
      <c r="T51" s="2">
        <f>R51*60/1000</f>
        <v>0.6</v>
      </c>
      <c r="U51" s="2" t="s">
        <v>1180</v>
      </c>
    </row>
    <row r="52">
      <c r="B52" s="2" t="s">
        <v>87</v>
      </c>
      <c r="C52" s="6" t="s">
        <v>1342</v>
      </c>
      <c r="D52" s="29"/>
      <c r="H52" s="2" t="s">
        <v>1182</v>
      </c>
      <c r="I52" s="2" t="s">
        <v>789</v>
      </c>
      <c r="K52" s="2" t="s">
        <v>639</v>
      </c>
      <c r="L52">
        <f>60*60*24</f>
        <v>86400</v>
      </c>
      <c r="P52" s="8"/>
      <c r="Q52" s="2"/>
      <c r="R52" s="2">
        <f>R51/(1000)</f>
        <v>0.01</v>
      </c>
      <c r="S52" s="2" t="s">
        <v>1182</v>
      </c>
      <c r="AE52" s="29"/>
    </row>
    <row r="53">
      <c r="B53" s="2" t="s">
        <v>321</v>
      </c>
      <c r="C53" s="6" t="s">
        <v>1343</v>
      </c>
      <c r="D53" s="29"/>
      <c r="H53" s="2" t="s">
        <v>87</v>
      </c>
      <c r="I53" s="2" t="s">
        <v>789</v>
      </c>
      <c r="K53" s="2" t="s">
        <v>634</v>
      </c>
      <c r="L53" s="197">
        <f>1/149597870.691*60*60*24</f>
        <v>0.0005775483274</v>
      </c>
      <c r="P53" s="8" t="s">
        <v>1188</v>
      </c>
      <c r="Q53" s="181"/>
      <c r="R53" s="181">
        <f>R52*60</f>
        <v>0.6</v>
      </c>
      <c r="S53" s="2" t="s">
        <v>87</v>
      </c>
      <c r="T53" s="2">
        <f>R53*60</f>
        <v>36</v>
      </c>
      <c r="U53" s="2" t="s">
        <v>1344</v>
      </c>
      <c r="V53" s="2">
        <f>R53/2*60</f>
        <v>18</v>
      </c>
      <c r="W53" s="2">
        <f>T51</f>
        <v>0.6</v>
      </c>
      <c r="Z53" s="3" t="s">
        <v>93</v>
      </c>
      <c r="AA53" s="3" t="s">
        <v>1206</v>
      </c>
      <c r="AC53" s="3" t="s">
        <v>1207</v>
      </c>
      <c r="AD53" s="3" t="s">
        <v>1208</v>
      </c>
      <c r="AE53" s="29"/>
    </row>
    <row r="54">
      <c r="C54" s="6" t="s">
        <v>1345</v>
      </c>
      <c r="D54" s="29"/>
      <c r="P54" s="8">
        <v>2.0</v>
      </c>
      <c r="R54">
        <f t="shared" ref="R54:R58" si="25">$R$53*P54</f>
        <v>1.2</v>
      </c>
      <c r="S54" s="2" t="s">
        <v>87</v>
      </c>
      <c r="T54" s="182">
        <f t="shared" ref="T54:T58" si="26">T$53*P54^2</f>
        <v>144</v>
      </c>
      <c r="U54" s="2" t="s">
        <v>1346</v>
      </c>
      <c r="V54">
        <f t="shared" ref="V54:V72" si="27">R54/2*P54*60</f>
        <v>72</v>
      </c>
      <c r="X54" s="5" t="s">
        <v>1347</v>
      </c>
      <c r="Z54" s="8">
        <v>20.0</v>
      </c>
      <c r="AA54" s="29"/>
      <c r="AB54" s="29"/>
      <c r="AD54" s="29"/>
    </row>
    <row r="55">
      <c r="B55" s="2" t="s">
        <v>789</v>
      </c>
      <c r="C55" s="6" t="s">
        <v>1348</v>
      </c>
      <c r="D55" s="29"/>
      <c r="H55" s="2" t="s">
        <v>321</v>
      </c>
      <c r="I55" s="2" t="s">
        <v>1182</v>
      </c>
      <c r="L55" s="29"/>
      <c r="P55" s="8">
        <v>3.0</v>
      </c>
      <c r="R55">
        <f t="shared" si="25"/>
        <v>1.8</v>
      </c>
      <c r="S55" s="2" t="s">
        <v>87</v>
      </c>
      <c r="T55" s="182">
        <f t="shared" si="26"/>
        <v>324</v>
      </c>
      <c r="U55" s="2" t="s">
        <v>1346</v>
      </c>
      <c r="V55">
        <f t="shared" si="27"/>
        <v>162</v>
      </c>
      <c r="X55" s="2" t="s">
        <v>1318</v>
      </c>
    </row>
    <row r="56">
      <c r="B56" s="2" t="s">
        <v>789</v>
      </c>
      <c r="C56" s="6" t="s">
        <v>1349</v>
      </c>
      <c r="D56" s="29"/>
      <c r="J56" s="2" t="s">
        <v>321</v>
      </c>
      <c r="K56" s="2" t="s">
        <v>349</v>
      </c>
      <c r="L56" s="29"/>
      <c r="P56" s="8">
        <v>4.0</v>
      </c>
      <c r="R56">
        <f t="shared" si="25"/>
        <v>2.4</v>
      </c>
      <c r="S56" s="2" t="s">
        <v>87</v>
      </c>
      <c r="T56" s="182">
        <f t="shared" si="26"/>
        <v>576</v>
      </c>
      <c r="U56" s="2" t="s">
        <v>1346</v>
      </c>
      <c r="V56">
        <f t="shared" si="27"/>
        <v>288</v>
      </c>
      <c r="X56" s="2" t="s">
        <v>1318</v>
      </c>
    </row>
    <row r="57">
      <c r="C57" s="123"/>
      <c r="E57" s="8"/>
      <c r="F57" s="29"/>
      <c r="G57" s="29"/>
      <c r="H57" s="29"/>
      <c r="I57" s="8"/>
      <c r="L57" s="29"/>
      <c r="P57" s="8">
        <v>5.0</v>
      </c>
      <c r="R57">
        <f t="shared" si="25"/>
        <v>3</v>
      </c>
      <c r="S57" s="2" t="s">
        <v>87</v>
      </c>
      <c r="T57" s="182">
        <f t="shared" si="26"/>
        <v>900</v>
      </c>
      <c r="U57" s="2" t="s">
        <v>1346</v>
      </c>
      <c r="V57">
        <f t="shared" si="27"/>
        <v>450</v>
      </c>
      <c r="X57" s="2" t="s">
        <v>1318</v>
      </c>
    </row>
    <row r="58">
      <c r="O58" s="3" t="s">
        <v>375</v>
      </c>
      <c r="P58" s="8">
        <v>6.0</v>
      </c>
      <c r="R58">
        <f t="shared" si="25"/>
        <v>3.6</v>
      </c>
      <c r="S58" s="2" t="s">
        <v>87</v>
      </c>
      <c r="T58" s="182">
        <f t="shared" si="26"/>
        <v>1296</v>
      </c>
      <c r="U58" s="2" t="s">
        <v>1346</v>
      </c>
      <c r="V58">
        <f t="shared" si="27"/>
        <v>648</v>
      </c>
      <c r="X58" s="2" t="s">
        <v>1318</v>
      </c>
    </row>
    <row r="59">
      <c r="O59">
        <f t="shared" ref="O59:O83" si="28">R59/300000</f>
        <v>0.00012</v>
      </c>
      <c r="P59" s="8" t="s">
        <v>1191</v>
      </c>
      <c r="R59">
        <f>R52*60*60</f>
        <v>36</v>
      </c>
      <c r="S59" s="2" t="s">
        <v>87</v>
      </c>
      <c r="T59" s="74">
        <f t="shared" ref="T59:T91" si="29">R59/149597870.691*60*60*24</f>
        <v>0.02079173979</v>
      </c>
      <c r="U59" s="2" t="s">
        <v>349</v>
      </c>
      <c r="V59" t="str">
        <f t="shared" si="27"/>
        <v>#VALUE!</v>
      </c>
      <c r="X59" s="2" t="s">
        <v>1318</v>
      </c>
      <c r="Y59" s="74"/>
      <c r="AA59" s="29"/>
      <c r="AB59" s="198">
        <f>200/30000</f>
        <v>0.006666666667</v>
      </c>
    </row>
    <row r="60">
      <c r="E60" s="2" t="s">
        <v>1350</v>
      </c>
      <c r="K60" s="2">
        <f>1/2*3</f>
        <v>1.5</v>
      </c>
      <c r="O60">
        <f t="shared" si="28"/>
        <v>0.00024</v>
      </c>
      <c r="P60" s="8">
        <v>2.0</v>
      </c>
      <c r="R60">
        <f>R59*2</f>
        <v>72</v>
      </c>
      <c r="S60" s="2" t="s">
        <v>87</v>
      </c>
      <c r="T60" s="74">
        <f t="shared" si="29"/>
        <v>0.04158347957</v>
      </c>
      <c r="U60" s="2" t="s">
        <v>349</v>
      </c>
      <c r="V60">
        <f t="shared" si="27"/>
        <v>4320</v>
      </c>
      <c r="X60" s="2" t="s">
        <v>1318</v>
      </c>
      <c r="Y60" s="74"/>
      <c r="AA60" s="29"/>
      <c r="AB60" s="29"/>
      <c r="AD60" s="29"/>
      <c r="AE60" s="29"/>
    </row>
    <row r="61">
      <c r="B61" s="5" t="s">
        <v>1351</v>
      </c>
      <c r="C61" s="52" t="s">
        <v>1219</v>
      </c>
      <c r="E61" s="52" t="s">
        <v>1352</v>
      </c>
      <c r="F61" s="52" t="s">
        <v>1353</v>
      </c>
      <c r="O61">
        <f t="shared" si="28"/>
        <v>0.00036</v>
      </c>
      <c r="P61" s="8">
        <v>3.0</v>
      </c>
      <c r="R61">
        <f t="shared" ref="R61:R83" si="30">R$59*P61</f>
        <v>108</v>
      </c>
      <c r="S61" s="2" t="s">
        <v>87</v>
      </c>
      <c r="T61" s="74">
        <f t="shared" si="29"/>
        <v>0.06237521936</v>
      </c>
      <c r="U61" s="2" t="s">
        <v>349</v>
      </c>
      <c r="V61">
        <f t="shared" si="27"/>
        <v>9720</v>
      </c>
      <c r="X61" s="2" t="s">
        <v>1318</v>
      </c>
      <c r="Y61" s="87" t="s">
        <v>93</v>
      </c>
      <c r="Z61" s="2" t="s">
        <v>1354</v>
      </c>
      <c r="AA61" s="8" t="s">
        <v>1355</v>
      </c>
      <c r="AB61" s="8"/>
      <c r="AD61" s="8"/>
      <c r="AE61" s="29"/>
    </row>
    <row r="62">
      <c r="B62" s="4" t="s">
        <v>1356</v>
      </c>
      <c r="C62">
        <f>R5</f>
        <v>0.6</v>
      </c>
      <c r="D62" s="2" t="s">
        <v>87</v>
      </c>
      <c r="E62" s="25">
        <f>C62/2*60</f>
        <v>18</v>
      </c>
      <c r="F62" s="25">
        <f t="shared" ref="F62:F65" si="31">E62/2</f>
        <v>9</v>
      </c>
      <c r="G62" s="2"/>
      <c r="H62" s="2" t="s">
        <v>295</v>
      </c>
      <c r="M62" s="2"/>
      <c r="O62">
        <f t="shared" si="28"/>
        <v>0.00048</v>
      </c>
      <c r="P62" s="8">
        <v>4.0</v>
      </c>
      <c r="R62">
        <f t="shared" si="30"/>
        <v>144</v>
      </c>
      <c r="S62" s="2" t="s">
        <v>87</v>
      </c>
      <c r="T62" s="74">
        <f t="shared" si="29"/>
        <v>0.08316695915</v>
      </c>
      <c r="U62" s="2" t="s">
        <v>349</v>
      </c>
      <c r="V62">
        <f t="shared" si="27"/>
        <v>17280</v>
      </c>
      <c r="X62" s="2" t="s">
        <v>1318</v>
      </c>
      <c r="Y62" s="87">
        <v>1.0</v>
      </c>
      <c r="Z62">
        <f>Y62*36</f>
        <v>36</v>
      </c>
      <c r="AA62" s="29">
        <f>Z62/36</f>
        <v>1</v>
      </c>
      <c r="AB62" s="8"/>
      <c r="AD62" s="8"/>
      <c r="AE62" s="29"/>
    </row>
    <row r="63">
      <c r="B63" s="4" t="s">
        <v>320</v>
      </c>
      <c r="C63" s="25">
        <f>R5*10</f>
        <v>6</v>
      </c>
      <c r="D63" s="2" t="s">
        <v>87</v>
      </c>
      <c r="E63" s="25">
        <f>C63/2*60*10</f>
        <v>1800</v>
      </c>
      <c r="F63" s="25">
        <f t="shared" si="31"/>
        <v>900</v>
      </c>
      <c r="G63" s="2"/>
      <c r="H63" s="2" t="s">
        <v>295</v>
      </c>
      <c r="M63" s="2"/>
      <c r="N63" s="2"/>
      <c r="O63">
        <f t="shared" si="28"/>
        <v>0.0006</v>
      </c>
      <c r="P63" s="8">
        <v>5.0</v>
      </c>
      <c r="R63">
        <f t="shared" si="30"/>
        <v>180</v>
      </c>
      <c r="S63" s="2" t="s">
        <v>87</v>
      </c>
      <c r="T63" s="74">
        <f t="shared" si="29"/>
        <v>0.1039586989</v>
      </c>
      <c r="U63" s="2" t="s">
        <v>349</v>
      </c>
      <c r="V63">
        <f t="shared" si="27"/>
        <v>27000</v>
      </c>
      <c r="X63" s="2" t="s">
        <v>1318</v>
      </c>
      <c r="Y63" s="87">
        <v>8.0</v>
      </c>
      <c r="Z63" s="2">
        <f>Y63*60</f>
        <v>480</v>
      </c>
      <c r="AA63" s="39">
        <f>Z63/20</f>
        <v>24</v>
      </c>
      <c r="AB63" s="29"/>
      <c r="AD63" s="29"/>
      <c r="AE63" s="8"/>
    </row>
    <row r="64">
      <c r="B64" s="4" t="s">
        <v>1357</v>
      </c>
      <c r="C64" s="25">
        <f t="shared" ref="C64:C65" si="32">R6</f>
        <v>36</v>
      </c>
      <c r="D64" s="2" t="s">
        <v>87</v>
      </c>
      <c r="E64" s="25">
        <f>C64/2*3600/1000</f>
        <v>64.8</v>
      </c>
      <c r="F64" s="25">
        <f t="shared" si="31"/>
        <v>32.4</v>
      </c>
      <c r="G64" s="2"/>
      <c r="H64" s="2" t="s">
        <v>1259</v>
      </c>
      <c r="M64" s="2"/>
      <c r="N64" s="2"/>
      <c r="O64">
        <f t="shared" si="28"/>
        <v>0.00072</v>
      </c>
      <c r="P64" s="8">
        <v>6.0</v>
      </c>
      <c r="R64">
        <f t="shared" si="30"/>
        <v>216</v>
      </c>
      <c r="S64" s="2" t="s">
        <v>87</v>
      </c>
      <c r="T64" s="74">
        <f t="shared" si="29"/>
        <v>0.1247504387</v>
      </c>
      <c r="U64" s="2" t="s">
        <v>349</v>
      </c>
      <c r="V64">
        <f t="shared" si="27"/>
        <v>38880</v>
      </c>
      <c r="X64" s="2" t="s">
        <v>1318</v>
      </c>
      <c r="Y64" s="87" t="s">
        <v>87</v>
      </c>
      <c r="Z64" s="2" t="s">
        <v>1354</v>
      </c>
      <c r="AA64" s="8" t="s">
        <v>1358</v>
      </c>
      <c r="AB64" s="29"/>
      <c r="AD64" s="29"/>
      <c r="AE64" s="8"/>
    </row>
    <row r="65">
      <c r="B65" s="4" t="s">
        <v>1359</v>
      </c>
      <c r="C65" s="25">
        <f t="shared" si="32"/>
        <v>864</v>
      </c>
      <c r="D65" s="2" t="s">
        <v>87</v>
      </c>
      <c r="E65" s="25">
        <f>C65/2*3600*24/1000000</f>
        <v>37.3248</v>
      </c>
      <c r="F65" s="25">
        <f t="shared" si="31"/>
        <v>18.6624</v>
      </c>
      <c r="G65" s="2"/>
      <c r="H65" s="2" t="s">
        <v>1184</v>
      </c>
      <c r="M65" s="2"/>
      <c r="N65" s="2"/>
      <c r="O65">
        <f t="shared" si="28"/>
        <v>0.00084</v>
      </c>
      <c r="P65" s="8">
        <v>7.0</v>
      </c>
      <c r="R65">
        <f t="shared" si="30"/>
        <v>252</v>
      </c>
      <c r="S65" s="2" t="s">
        <v>87</v>
      </c>
      <c r="T65" s="74">
        <f t="shared" si="29"/>
        <v>0.1455421785</v>
      </c>
      <c r="U65" s="2" t="s">
        <v>349</v>
      </c>
      <c r="V65">
        <f t="shared" si="27"/>
        <v>52920</v>
      </c>
      <c r="X65" s="2" t="s">
        <v>1318</v>
      </c>
      <c r="Y65" s="74"/>
      <c r="AA65">
        <f>Y63*1.5</f>
        <v>12</v>
      </c>
    </row>
    <row r="66">
      <c r="B66" s="4" t="s">
        <v>1360</v>
      </c>
      <c r="C66" s="25">
        <f>1000</f>
        <v>1000</v>
      </c>
      <c r="D66" s="2" t="s">
        <v>87</v>
      </c>
      <c r="E66" s="191">
        <f>(E65*2 + C66*3600*24*5) /150000000</f>
        <v>2.880000498</v>
      </c>
      <c r="F66" s="191">
        <f>(E65*4 +C66*3600*24*3) /150000000</f>
        <v>1.728000995</v>
      </c>
      <c r="G66" s="2"/>
      <c r="H66" s="2" t="s">
        <v>321</v>
      </c>
      <c r="M66" s="2"/>
      <c r="N66" s="2"/>
      <c r="O66">
        <f t="shared" si="28"/>
        <v>0.00096</v>
      </c>
      <c r="P66" s="8">
        <v>8.0</v>
      </c>
      <c r="R66">
        <f t="shared" si="30"/>
        <v>288</v>
      </c>
      <c r="S66" s="2" t="s">
        <v>87</v>
      </c>
      <c r="T66" s="74">
        <f t="shared" si="29"/>
        <v>0.1663339183</v>
      </c>
      <c r="U66" s="2" t="s">
        <v>349</v>
      </c>
      <c r="V66">
        <f t="shared" si="27"/>
        <v>69120</v>
      </c>
      <c r="X66" s="2" t="s">
        <v>1318</v>
      </c>
      <c r="Y66" s="74"/>
    </row>
    <row r="67">
      <c r="G67" s="2"/>
      <c r="H67" s="2" t="s">
        <v>1350</v>
      </c>
      <c r="M67" s="2"/>
      <c r="N67" s="2"/>
      <c r="O67">
        <f t="shared" si="28"/>
        <v>0.00108</v>
      </c>
      <c r="P67" s="8">
        <v>9.0</v>
      </c>
      <c r="R67">
        <f t="shared" si="30"/>
        <v>324</v>
      </c>
      <c r="S67" s="2" t="s">
        <v>87</v>
      </c>
      <c r="T67" s="74">
        <f t="shared" si="29"/>
        <v>0.1871256581</v>
      </c>
      <c r="U67" s="2" t="s">
        <v>349</v>
      </c>
      <c r="V67">
        <f t="shared" si="27"/>
        <v>87480</v>
      </c>
      <c r="X67" s="2" t="s">
        <v>1318</v>
      </c>
      <c r="Y67" s="74"/>
    </row>
    <row r="68">
      <c r="B68" s="5">
        <f>O51</f>
        <v>1</v>
      </c>
      <c r="C68" s="2" t="s">
        <v>93</v>
      </c>
      <c r="D68" s="52" t="s">
        <v>1219</v>
      </c>
      <c r="G68" s="52"/>
      <c r="H68" s="52" t="s">
        <v>1352</v>
      </c>
      <c r="I68" s="52" t="s">
        <v>1353</v>
      </c>
      <c r="O68">
        <f t="shared" si="28"/>
        <v>0.0012</v>
      </c>
      <c r="P68" s="8">
        <v>10.0</v>
      </c>
      <c r="R68">
        <f t="shared" si="30"/>
        <v>360</v>
      </c>
      <c r="S68" s="2" t="s">
        <v>87</v>
      </c>
      <c r="T68" s="74">
        <f t="shared" si="29"/>
        <v>0.2079173979</v>
      </c>
      <c r="U68" s="2" t="s">
        <v>349</v>
      </c>
      <c r="V68">
        <f t="shared" si="27"/>
        <v>108000</v>
      </c>
      <c r="X68" s="2" t="s">
        <v>1318</v>
      </c>
      <c r="Y68" s="74"/>
      <c r="Z68" s="2" t="s">
        <v>1361</v>
      </c>
    </row>
    <row r="69">
      <c r="B69" s="4" t="s">
        <v>1362</v>
      </c>
      <c r="C69">
        <f t="shared" ref="C69:C70" si="33">R52</f>
        <v>0.01</v>
      </c>
      <c r="D69" s="2" t="s">
        <v>87</v>
      </c>
      <c r="E69" s="2"/>
      <c r="F69" s="2"/>
      <c r="G69" s="182"/>
      <c r="H69" s="182">
        <f t="shared" ref="H69:H70" si="34">C69/2*60</f>
        <v>0.3</v>
      </c>
      <c r="I69" s="192">
        <f t="shared" ref="I69:I78" si="35">H69/2</f>
        <v>0.15</v>
      </c>
      <c r="J69" s="2" t="s">
        <v>295</v>
      </c>
      <c r="M69" s="2" t="s">
        <v>349</v>
      </c>
      <c r="O69">
        <f t="shared" si="28"/>
        <v>0.00132</v>
      </c>
      <c r="P69" s="8">
        <v>11.0</v>
      </c>
      <c r="R69">
        <f t="shared" si="30"/>
        <v>396</v>
      </c>
      <c r="S69" s="2" t="s">
        <v>87</v>
      </c>
      <c r="T69" s="74">
        <f t="shared" si="29"/>
        <v>0.2287091376</v>
      </c>
      <c r="U69" s="2" t="s">
        <v>349</v>
      </c>
      <c r="V69">
        <f t="shared" si="27"/>
        <v>130680</v>
      </c>
      <c r="X69" s="2" t="s">
        <v>1318</v>
      </c>
      <c r="Y69" s="74"/>
      <c r="AA69" s="2"/>
    </row>
    <row r="70">
      <c r="B70" s="4" t="s">
        <v>1363</v>
      </c>
      <c r="C70">
        <f t="shared" si="33"/>
        <v>0.6</v>
      </c>
      <c r="D70" s="2" t="s">
        <v>87</v>
      </c>
      <c r="E70" s="2"/>
      <c r="F70" s="2"/>
      <c r="G70" s="182"/>
      <c r="H70" s="182">
        <f t="shared" si="34"/>
        <v>18</v>
      </c>
      <c r="I70" s="192">
        <f t="shared" si="35"/>
        <v>9</v>
      </c>
      <c r="J70" s="2" t="s">
        <v>295</v>
      </c>
      <c r="M70" s="2" t="s">
        <v>349</v>
      </c>
      <c r="O70">
        <f t="shared" si="28"/>
        <v>0.00144</v>
      </c>
      <c r="P70" s="8">
        <v>12.0</v>
      </c>
      <c r="R70">
        <f t="shared" si="30"/>
        <v>432</v>
      </c>
      <c r="S70" s="2" t="s">
        <v>87</v>
      </c>
      <c r="T70" s="74">
        <f t="shared" si="29"/>
        <v>0.2495008774</v>
      </c>
      <c r="U70" s="2" t="s">
        <v>349</v>
      </c>
      <c r="V70">
        <f t="shared" si="27"/>
        <v>155520</v>
      </c>
      <c r="X70" s="2" t="s">
        <v>1318</v>
      </c>
      <c r="Y70" s="74"/>
      <c r="Z70" s="5" t="s">
        <v>1364</v>
      </c>
      <c r="AA70" s="2">
        <v>30.0</v>
      </c>
    </row>
    <row r="71">
      <c r="B71" s="4" t="s">
        <v>1365</v>
      </c>
      <c r="C71" s="2">
        <f>R59</f>
        <v>36</v>
      </c>
      <c r="D71" s="2" t="s">
        <v>87</v>
      </c>
      <c r="E71" t="str">
        <f>#REF!</f>
        <v>#REF!</v>
      </c>
      <c r="F71" s="2" t="s">
        <v>1318</v>
      </c>
      <c r="G71" s="185"/>
      <c r="H71" s="185">
        <f>C71*60*60 /1000000 /2</f>
        <v>0.0648</v>
      </c>
      <c r="I71" s="191">
        <f t="shared" si="35"/>
        <v>0.0324</v>
      </c>
      <c r="J71" s="2" t="s">
        <v>1184</v>
      </c>
      <c r="L71" s="191" t="str">
        <f t="shared" ref="L71:L78" si="36">E71*24</f>
        <v>#REF!</v>
      </c>
      <c r="M71" s="2" t="s">
        <v>349</v>
      </c>
      <c r="O71">
        <f t="shared" si="28"/>
        <v>0.00156</v>
      </c>
      <c r="P71" s="8">
        <v>13.0</v>
      </c>
      <c r="R71">
        <f t="shared" si="30"/>
        <v>468</v>
      </c>
      <c r="S71" s="2" t="s">
        <v>87</v>
      </c>
      <c r="T71" s="74">
        <f t="shared" si="29"/>
        <v>0.2702926172</v>
      </c>
      <c r="U71" s="2" t="s">
        <v>349</v>
      </c>
      <c r="V71">
        <f t="shared" si="27"/>
        <v>182520</v>
      </c>
      <c r="X71" s="2" t="s">
        <v>1318</v>
      </c>
      <c r="Y71" s="74"/>
      <c r="Z71" s="2" t="s">
        <v>1366</v>
      </c>
      <c r="AA71" s="2">
        <v>5.0</v>
      </c>
    </row>
    <row r="72">
      <c r="B72" s="4" t="s">
        <v>1367</v>
      </c>
      <c r="C72" s="2">
        <f t="shared" ref="C72:C73" si="37">O60</f>
        <v>0.00024</v>
      </c>
      <c r="D72" s="2" t="s">
        <v>375</v>
      </c>
      <c r="E72" s="199" t="str">
        <f t="shared" ref="E72:E73" si="38">W60</f>
        <v/>
      </c>
      <c r="F72" s="2" t="s">
        <v>1318</v>
      </c>
      <c r="G72" s="191"/>
      <c r="H72" s="191" t="str">
        <f t="shared" ref="H72:H78" si="39">#REF!/2</f>
        <v>#REF!</v>
      </c>
      <c r="I72" s="191" t="str">
        <f t="shared" si="35"/>
        <v>#REF!</v>
      </c>
      <c r="J72" s="2" t="s">
        <v>321</v>
      </c>
      <c r="L72" s="191">
        <f t="shared" si="36"/>
        <v>0</v>
      </c>
      <c r="M72" s="2" t="s">
        <v>349</v>
      </c>
      <c r="O72">
        <f t="shared" si="28"/>
        <v>0.00168</v>
      </c>
      <c r="P72" s="8">
        <v>14.0</v>
      </c>
      <c r="R72">
        <f t="shared" si="30"/>
        <v>504</v>
      </c>
      <c r="S72" s="2" t="s">
        <v>87</v>
      </c>
      <c r="T72" s="74">
        <f t="shared" si="29"/>
        <v>0.291084357</v>
      </c>
      <c r="U72" s="2" t="s">
        <v>349</v>
      </c>
      <c r="V72">
        <f t="shared" si="27"/>
        <v>211680</v>
      </c>
      <c r="X72" s="2" t="s">
        <v>1318</v>
      </c>
      <c r="Y72" s="74"/>
      <c r="Z72" s="2" t="s">
        <v>93</v>
      </c>
      <c r="AA72">
        <f>1120*AA70*(AA71/1000)^2</f>
        <v>0.84</v>
      </c>
    </row>
    <row r="73">
      <c r="B73" s="4" t="s">
        <v>1368</v>
      </c>
      <c r="C73" s="2">
        <f t="shared" si="37"/>
        <v>0.00036</v>
      </c>
      <c r="D73" s="2" t="s">
        <v>375</v>
      </c>
      <c r="E73" s="199" t="str">
        <f t="shared" si="38"/>
        <v/>
      </c>
      <c r="F73" s="2" t="s">
        <v>1318</v>
      </c>
      <c r="G73" s="191"/>
      <c r="H73" s="191" t="str">
        <f t="shared" si="39"/>
        <v>#REF!</v>
      </c>
      <c r="I73" s="191" t="str">
        <f t="shared" si="35"/>
        <v>#REF!</v>
      </c>
      <c r="J73" s="2" t="s">
        <v>321</v>
      </c>
      <c r="L73" s="191">
        <f t="shared" si="36"/>
        <v>0</v>
      </c>
      <c r="M73" s="2" t="s">
        <v>349</v>
      </c>
      <c r="O73">
        <f t="shared" si="28"/>
        <v>0.0018</v>
      </c>
      <c r="P73" s="8">
        <v>15.0</v>
      </c>
      <c r="R73">
        <f t="shared" si="30"/>
        <v>540</v>
      </c>
      <c r="S73" s="2" t="s">
        <v>87</v>
      </c>
      <c r="T73" s="74">
        <f t="shared" si="29"/>
        <v>0.3118760968</v>
      </c>
      <c r="U73" s="2" t="s">
        <v>349</v>
      </c>
      <c r="X73" s="2" t="s">
        <v>1318</v>
      </c>
      <c r="Y73" s="74"/>
    </row>
    <row r="74">
      <c r="B74" s="4" t="s">
        <v>1369</v>
      </c>
      <c r="C74" s="2">
        <f>O64</f>
        <v>0.00072</v>
      </c>
      <c r="D74" s="2" t="s">
        <v>375</v>
      </c>
      <c r="E74" s="199" t="str">
        <f>W64</f>
        <v/>
      </c>
      <c r="F74" s="2" t="s">
        <v>1318</v>
      </c>
      <c r="G74" s="191"/>
      <c r="H74" s="191" t="str">
        <f t="shared" si="39"/>
        <v>#REF!</v>
      </c>
      <c r="I74" s="191" t="str">
        <f t="shared" si="35"/>
        <v>#REF!</v>
      </c>
      <c r="J74" s="2" t="s">
        <v>321</v>
      </c>
      <c r="L74" s="191">
        <f t="shared" si="36"/>
        <v>0</v>
      </c>
      <c r="M74" s="2" t="s">
        <v>349</v>
      </c>
      <c r="O74">
        <f t="shared" si="28"/>
        <v>0.00192</v>
      </c>
      <c r="P74" s="8">
        <v>16.0</v>
      </c>
      <c r="R74">
        <f t="shared" si="30"/>
        <v>576</v>
      </c>
      <c r="S74" s="2" t="s">
        <v>87</v>
      </c>
      <c r="T74" s="74">
        <f t="shared" si="29"/>
        <v>0.3326678366</v>
      </c>
      <c r="U74" s="2" t="s">
        <v>349</v>
      </c>
      <c r="X74" s="2" t="s">
        <v>1318</v>
      </c>
      <c r="Y74" s="74"/>
    </row>
    <row r="75">
      <c r="B75" s="4" t="s">
        <v>1370</v>
      </c>
      <c r="C75" s="2">
        <f>O66</f>
        <v>0.00096</v>
      </c>
      <c r="D75" s="2" t="s">
        <v>375</v>
      </c>
      <c r="E75" s="199" t="str">
        <f>W66</f>
        <v/>
      </c>
      <c r="F75" s="2" t="s">
        <v>1318</v>
      </c>
      <c r="G75" s="191"/>
      <c r="H75" s="191" t="str">
        <f t="shared" si="39"/>
        <v>#REF!</v>
      </c>
      <c r="I75" s="191" t="str">
        <f t="shared" si="35"/>
        <v>#REF!</v>
      </c>
      <c r="J75" s="2" t="s">
        <v>321</v>
      </c>
      <c r="K75" s="3"/>
      <c r="L75" s="191">
        <f t="shared" si="36"/>
        <v>0</v>
      </c>
      <c r="M75" s="2" t="s">
        <v>349</v>
      </c>
      <c r="O75">
        <f t="shared" si="28"/>
        <v>0.00204</v>
      </c>
      <c r="P75" s="8">
        <v>17.0</v>
      </c>
      <c r="R75">
        <f t="shared" si="30"/>
        <v>612</v>
      </c>
      <c r="S75" s="2" t="s">
        <v>87</v>
      </c>
      <c r="T75" s="74">
        <f t="shared" si="29"/>
        <v>0.3534595764</v>
      </c>
      <c r="U75" s="2" t="s">
        <v>349</v>
      </c>
      <c r="X75" s="2" t="s">
        <v>1318</v>
      </c>
      <c r="Y75" s="74"/>
    </row>
    <row r="76">
      <c r="B76" s="4" t="s">
        <v>1371</v>
      </c>
      <c r="C76" s="200">
        <f>O70</f>
        <v>0.00144</v>
      </c>
      <c r="D76" s="2" t="s">
        <v>375</v>
      </c>
      <c r="E76" s="199" t="str">
        <f>W70</f>
        <v/>
      </c>
      <c r="F76" s="2" t="s">
        <v>1318</v>
      </c>
      <c r="G76" s="191"/>
      <c r="H76" s="191" t="str">
        <f t="shared" si="39"/>
        <v>#REF!</v>
      </c>
      <c r="I76" s="191" t="str">
        <f t="shared" si="35"/>
        <v>#REF!</v>
      </c>
      <c r="J76" s="2" t="s">
        <v>321</v>
      </c>
      <c r="L76" s="191">
        <f t="shared" si="36"/>
        <v>0</v>
      </c>
      <c r="M76" s="2" t="s">
        <v>349</v>
      </c>
      <c r="O76">
        <f t="shared" si="28"/>
        <v>0.00216</v>
      </c>
      <c r="P76" s="8">
        <v>18.0</v>
      </c>
      <c r="R76">
        <f t="shared" si="30"/>
        <v>648</v>
      </c>
      <c r="S76" s="2" t="s">
        <v>87</v>
      </c>
      <c r="T76" s="74">
        <f t="shared" si="29"/>
        <v>0.3742513162</v>
      </c>
      <c r="U76" s="2" t="s">
        <v>349</v>
      </c>
      <c r="X76" s="2" t="s">
        <v>1318</v>
      </c>
      <c r="Y76" s="74"/>
      <c r="AB76">
        <f>6*7</f>
        <v>42</v>
      </c>
    </row>
    <row r="77">
      <c r="B77" s="4" t="s">
        <v>1372</v>
      </c>
      <c r="C77" s="199">
        <f t="shared" ref="C77:C78" si="40">O82</f>
        <v>0.00288</v>
      </c>
      <c r="D77" s="2" t="s">
        <v>375</v>
      </c>
      <c r="E77" s="199" t="str">
        <f t="shared" ref="E77:E78" si="41">W82</f>
        <v/>
      </c>
      <c r="F77" s="2" t="s">
        <v>1318</v>
      </c>
      <c r="G77" s="191"/>
      <c r="H77" s="191" t="str">
        <f t="shared" si="39"/>
        <v>#REF!</v>
      </c>
      <c r="I77" s="191" t="str">
        <f t="shared" si="35"/>
        <v>#REF!</v>
      </c>
      <c r="J77" s="2" t="s">
        <v>321</v>
      </c>
      <c r="L77" s="191">
        <f t="shared" si="36"/>
        <v>0</v>
      </c>
      <c r="M77" s="2" t="s">
        <v>349</v>
      </c>
      <c r="O77">
        <f t="shared" si="28"/>
        <v>0.00228</v>
      </c>
      <c r="P77" s="8">
        <v>19.0</v>
      </c>
      <c r="R77">
        <f t="shared" si="30"/>
        <v>684</v>
      </c>
      <c r="S77" s="2" t="s">
        <v>87</v>
      </c>
      <c r="T77" s="74">
        <f t="shared" si="29"/>
        <v>0.3950430559</v>
      </c>
      <c r="U77" s="2" t="s">
        <v>349</v>
      </c>
      <c r="X77" s="2" t="s">
        <v>1318</v>
      </c>
      <c r="Y77" s="74"/>
    </row>
    <row r="78">
      <c r="B78" s="4" t="s">
        <v>1373</v>
      </c>
      <c r="C78" s="199">
        <f t="shared" si="40"/>
        <v>0.00576</v>
      </c>
      <c r="D78" s="2" t="s">
        <v>375</v>
      </c>
      <c r="E78" s="199" t="str">
        <f t="shared" si="41"/>
        <v/>
      </c>
      <c r="F78" s="2" t="s">
        <v>1318</v>
      </c>
      <c r="G78" s="191"/>
      <c r="H78" s="191" t="str">
        <f t="shared" si="39"/>
        <v>#REF!</v>
      </c>
      <c r="I78" s="191" t="str">
        <f t="shared" si="35"/>
        <v>#REF!</v>
      </c>
      <c r="J78" s="2" t="s">
        <v>321</v>
      </c>
      <c r="L78" s="191">
        <f t="shared" si="36"/>
        <v>0</v>
      </c>
      <c r="M78" s="2" t="s">
        <v>349</v>
      </c>
      <c r="O78">
        <f t="shared" si="28"/>
        <v>0.0024</v>
      </c>
      <c r="P78" s="8">
        <v>20.0</v>
      </c>
      <c r="R78">
        <f t="shared" si="30"/>
        <v>720</v>
      </c>
      <c r="S78" s="2" t="s">
        <v>87</v>
      </c>
      <c r="T78" s="74">
        <f t="shared" si="29"/>
        <v>0.4158347957</v>
      </c>
      <c r="U78" s="2" t="s">
        <v>349</v>
      </c>
      <c r="X78" s="2" t="s">
        <v>1318</v>
      </c>
      <c r="Y78" s="74"/>
    </row>
    <row r="79">
      <c r="O79">
        <f t="shared" si="28"/>
        <v>0.00252</v>
      </c>
      <c r="P79" s="8">
        <v>21.0</v>
      </c>
      <c r="R79">
        <f t="shared" si="30"/>
        <v>756</v>
      </c>
      <c r="S79" s="2" t="s">
        <v>87</v>
      </c>
      <c r="T79" s="74">
        <f t="shared" si="29"/>
        <v>0.4366265355</v>
      </c>
      <c r="U79" s="2" t="s">
        <v>349</v>
      </c>
      <c r="X79" s="2" t="s">
        <v>1318</v>
      </c>
      <c r="Y79" s="74"/>
    </row>
    <row r="80">
      <c r="O80">
        <f t="shared" si="28"/>
        <v>0.00264</v>
      </c>
      <c r="P80" s="8">
        <v>22.0</v>
      </c>
      <c r="R80">
        <f t="shared" si="30"/>
        <v>792</v>
      </c>
      <c r="S80" s="2" t="s">
        <v>87</v>
      </c>
      <c r="T80" s="74">
        <f t="shared" si="29"/>
        <v>0.4574182753</v>
      </c>
      <c r="U80" s="2" t="s">
        <v>349</v>
      </c>
      <c r="X80" s="2" t="s">
        <v>1318</v>
      </c>
      <c r="Y80" s="74"/>
    </row>
    <row r="81">
      <c r="O81">
        <f t="shared" si="28"/>
        <v>0.00276</v>
      </c>
      <c r="P81" s="8">
        <v>23.0</v>
      </c>
      <c r="R81">
        <f t="shared" si="30"/>
        <v>828</v>
      </c>
      <c r="S81" s="2" t="s">
        <v>87</v>
      </c>
      <c r="T81" s="74">
        <f t="shared" si="29"/>
        <v>0.4782100151</v>
      </c>
      <c r="U81" s="2" t="s">
        <v>349</v>
      </c>
      <c r="X81" s="2" t="s">
        <v>1318</v>
      </c>
      <c r="Y81" s="74"/>
    </row>
    <row r="82">
      <c r="F82" s="2"/>
      <c r="I82" s="8" t="s">
        <v>1374</v>
      </c>
      <c r="O82">
        <f t="shared" si="28"/>
        <v>0.00288</v>
      </c>
      <c r="P82" s="8">
        <v>24.0</v>
      </c>
      <c r="Q82" s="2" t="s">
        <v>115</v>
      </c>
      <c r="R82">
        <f t="shared" si="30"/>
        <v>864</v>
      </c>
      <c r="S82" s="2" t="s">
        <v>87</v>
      </c>
      <c r="T82" s="74">
        <f t="shared" si="29"/>
        <v>0.4990017549</v>
      </c>
      <c r="U82" s="2" t="s">
        <v>349</v>
      </c>
      <c r="X82" s="2" t="s">
        <v>1318</v>
      </c>
      <c r="Y82" s="74"/>
    </row>
    <row r="83">
      <c r="B83" s="4"/>
      <c r="G83" s="52"/>
      <c r="H83" s="52" t="s">
        <v>1375</v>
      </c>
      <c r="I83" s="52" t="s">
        <v>1376</v>
      </c>
      <c r="J83" s="52" t="s">
        <v>1377</v>
      </c>
      <c r="O83">
        <f t="shared" si="28"/>
        <v>0.00576</v>
      </c>
      <c r="P83" s="8">
        <v>48.0</v>
      </c>
      <c r="Q83" s="2" t="s">
        <v>115</v>
      </c>
      <c r="R83">
        <f t="shared" si="30"/>
        <v>1728</v>
      </c>
      <c r="S83" s="2" t="s">
        <v>87</v>
      </c>
      <c r="T83" s="74">
        <f t="shared" si="29"/>
        <v>0.9980035097</v>
      </c>
      <c r="U83" s="2" t="s">
        <v>349</v>
      </c>
      <c r="X83" s="2" t="s">
        <v>1318</v>
      </c>
      <c r="Y83" s="74"/>
    </row>
    <row r="84">
      <c r="B84" s="4" t="s">
        <v>1196</v>
      </c>
      <c r="C84" s="25">
        <f>1000</f>
        <v>1000</v>
      </c>
      <c r="D84" s="2" t="s">
        <v>87</v>
      </c>
      <c r="E84" s="201">
        <f>C84*3600/150000000</f>
        <v>0.024</v>
      </c>
      <c r="F84" s="2" t="s">
        <v>1318</v>
      </c>
      <c r="G84" s="202"/>
      <c r="H84" s="202">
        <f>E84*24</f>
        <v>0.576</v>
      </c>
      <c r="I84" s="203">
        <f t="shared" ref="I84:J84" si="42">H84/2</f>
        <v>0.288</v>
      </c>
      <c r="J84" s="203">
        <f t="shared" si="42"/>
        <v>0.144</v>
      </c>
      <c r="P84" s="8">
        <v>3.0</v>
      </c>
      <c r="R84">
        <f t="shared" ref="R84:R91" si="43">R$59*P84*24</f>
        <v>2592</v>
      </c>
      <c r="S84" s="2" t="s">
        <v>87</v>
      </c>
      <c r="T84" s="74">
        <f t="shared" si="29"/>
        <v>1.497005265</v>
      </c>
      <c r="U84" s="2" t="s">
        <v>349</v>
      </c>
      <c r="X84" s="2" t="s">
        <v>1318</v>
      </c>
      <c r="Y84" s="74"/>
    </row>
    <row r="85">
      <c r="B85" s="4"/>
      <c r="C85" s="2"/>
      <c r="D85" s="2"/>
      <c r="E85" s="191"/>
      <c r="F85" s="191"/>
      <c r="G85" s="2"/>
      <c r="H85" s="2"/>
      <c r="P85" s="8">
        <v>4.0</v>
      </c>
      <c r="R85">
        <f t="shared" si="43"/>
        <v>3456</v>
      </c>
      <c r="S85" s="2" t="s">
        <v>87</v>
      </c>
      <c r="T85" s="74">
        <f t="shared" si="29"/>
        <v>1.996007019</v>
      </c>
      <c r="U85" s="2" t="s">
        <v>349</v>
      </c>
      <c r="X85" s="2" t="s">
        <v>1318</v>
      </c>
      <c r="Y85" s="74"/>
    </row>
    <row r="86">
      <c r="B86" s="4"/>
      <c r="C86" s="2"/>
      <c r="D86" s="2"/>
      <c r="E86" s="191"/>
      <c r="F86" s="191"/>
      <c r="G86" s="2"/>
      <c r="H86" s="2"/>
      <c r="P86" s="8">
        <v>5.0</v>
      </c>
      <c r="R86">
        <f t="shared" si="43"/>
        <v>4320</v>
      </c>
      <c r="S86" s="2" t="s">
        <v>87</v>
      </c>
      <c r="T86" s="74">
        <f t="shared" si="29"/>
        <v>2.495008774</v>
      </c>
      <c r="U86" s="2" t="s">
        <v>349</v>
      </c>
      <c r="X86" s="2" t="s">
        <v>1318</v>
      </c>
      <c r="Y86" s="74"/>
      <c r="AA86" s="2" t="s">
        <v>201</v>
      </c>
      <c r="AB86" s="2" t="s">
        <v>28</v>
      </c>
    </row>
    <row r="87">
      <c r="P87" s="29">
        <f t="shared" ref="P87:P91" si="44">P86*2</f>
        <v>10</v>
      </c>
      <c r="R87">
        <f t="shared" si="43"/>
        <v>8640</v>
      </c>
      <c r="S87" s="2" t="s">
        <v>87</v>
      </c>
      <c r="T87" s="74">
        <f t="shared" si="29"/>
        <v>4.990017549</v>
      </c>
      <c r="U87" s="2" t="s">
        <v>349</v>
      </c>
      <c r="X87" s="2" t="s">
        <v>1318</v>
      </c>
      <c r="Y87" s="74"/>
      <c r="AA87" s="2">
        <v>70.0</v>
      </c>
      <c r="AB87">
        <f>AA87/1000*60*60</f>
        <v>252</v>
      </c>
    </row>
    <row r="88">
      <c r="B88" s="2"/>
      <c r="D88" s="8"/>
      <c r="E88" s="56"/>
      <c r="F88" s="56"/>
      <c r="G88" s="186"/>
      <c r="H88" s="186"/>
      <c r="I88" s="186"/>
      <c r="J88" s="186"/>
      <c r="K88" s="39"/>
      <c r="L88" s="52"/>
      <c r="P88" s="29">
        <f t="shared" si="44"/>
        <v>20</v>
      </c>
      <c r="R88">
        <f t="shared" si="43"/>
        <v>17280</v>
      </c>
      <c r="S88" s="2" t="s">
        <v>87</v>
      </c>
      <c r="T88" s="74">
        <f t="shared" si="29"/>
        <v>9.980035097</v>
      </c>
      <c r="U88" s="2" t="s">
        <v>349</v>
      </c>
      <c r="X88" s="2" t="s">
        <v>1318</v>
      </c>
      <c r="Y88" s="74"/>
    </row>
    <row r="89">
      <c r="B89" s="52" t="s">
        <v>1183</v>
      </c>
      <c r="C89" s="52" t="s">
        <v>321</v>
      </c>
      <c r="D89" s="52" t="s">
        <v>1184</v>
      </c>
      <c r="E89" s="3"/>
      <c r="F89" s="3" t="s">
        <v>375</v>
      </c>
      <c r="J89" s="3" t="s">
        <v>1186</v>
      </c>
      <c r="K89" s="3" t="s">
        <v>1187</v>
      </c>
      <c r="L89" s="3"/>
      <c r="P89" s="29">
        <f t="shared" si="44"/>
        <v>40</v>
      </c>
      <c r="R89">
        <f t="shared" si="43"/>
        <v>34560</v>
      </c>
      <c r="S89" s="2" t="s">
        <v>87</v>
      </c>
      <c r="T89" s="74">
        <f t="shared" si="29"/>
        <v>19.96007019</v>
      </c>
      <c r="U89" s="2" t="s">
        <v>349</v>
      </c>
      <c r="X89" s="2" t="s">
        <v>1318</v>
      </c>
      <c r="Y89" s="74"/>
    </row>
    <row r="90">
      <c r="C90" s="2">
        <v>0.12</v>
      </c>
      <c r="D90" s="2">
        <v>15.0</v>
      </c>
      <c r="E90" s="5"/>
      <c r="F90" s="5">
        <v>1.0</v>
      </c>
      <c r="G90" s="2"/>
      <c r="H90" s="2"/>
      <c r="I90" s="2" t="s">
        <v>85</v>
      </c>
      <c r="P90" s="29">
        <f t="shared" si="44"/>
        <v>80</v>
      </c>
      <c r="R90">
        <f t="shared" si="43"/>
        <v>69120</v>
      </c>
      <c r="S90" s="2" t="s">
        <v>87</v>
      </c>
      <c r="T90" s="74">
        <f t="shared" si="29"/>
        <v>39.92014039</v>
      </c>
      <c r="U90" s="2" t="s">
        <v>349</v>
      </c>
      <c r="X90" s="2" t="s">
        <v>1318</v>
      </c>
      <c r="Y90" s="74"/>
    </row>
    <row r="91">
      <c r="B91" s="2" t="s">
        <v>1378</v>
      </c>
      <c r="C91" s="2">
        <v>1.0</v>
      </c>
      <c r="D91" s="2">
        <v>150.0</v>
      </c>
      <c r="E91" s="85"/>
      <c r="F91" s="85">
        <f>C91/$R$43</f>
        <v>8.333333333</v>
      </c>
      <c r="G91" s="2"/>
      <c r="H91" s="2"/>
      <c r="I91" s="2" t="s">
        <v>85</v>
      </c>
      <c r="J91" s="52"/>
      <c r="K91" s="183"/>
      <c r="L91" s="184"/>
      <c r="P91" s="29">
        <f t="shared" si="44"/>
        <v>160</v>
      </c>
      <c r="R91">
        <f t="shared" si="43"/>
        <v>138240</v>
      </c>
      <c r="S91" s="2" t="s">
        <v>87</v>
      </c>
      <c r="T91" s="74">
        <f t="shared" si="29"/>
        <v>79.84028078</v>
      </c>
      <c r="U91" s="2" t="s">
        <v>349</v>
      </c>
      <c r="X91" s="2" t="s">
        <v>1318</v>
      </c>
      <c r="Y91" s="74"/>
    </row>
    <row r="92">
      <c r="B92" s="2" t="s">
        <v>1379</v>
      </c>
      <c r="C92" s="2"/>
      <c r="E92" s="85"/>
      <c r="F92" s="85"/>
      <c r="J92" s="183"/>
      <c r="K92" s="186"/>
      <c r="L92" s="39"/>
      <c r="M92" s="52" t="s">
        <v>1200</v>
      </c>
      <c r="O92" s="3" t="s">
        <v>375</v>
      </c>
      <c r="S92" s="2"/>
      <c r="T92" s="199"/>
      <c r="U92" s="2"/>
      <c r="X92" s="2"/>
    </row>
    <row r="93">
      <c r="B93" s="2" t="s">
        <v>1380</v>
      </c>
      <c r="C93" s="2">
        <v>1.5</v>
      </c>
      <c r="D93">
        <f t="shared" ref="D93:D96" si="45">C93*D$7</f>
        <v>225</v>
      </c>
      <c r="E93" s="204"/>
      <c r="F93" s="204">
        <f t="shared" ref="F93:F96" si="46">C93/$R$44</f>
        <v>0.2083333333</v>
      </c>
      <c r="G93" s="2"/>
      <c r="H93" s="2"/>
      <c r="I93" s="2" t="s">
        <v>85</v>
      </c>
      <c r="J93" s="183" t="str">
        <f t="shared" ref="J93:J96" si="47">F93*1/#REF!</f>
        <v>#REF!</v>
      </c>
      <c r="K93" s="186">
        <f t="shared" ref="K93:K96" si="48">F93*1/$R$19</f>
        <v>0.3472222222</v>
      </c>
      <c r="L93" s="39"/>
      <c r="M93" s="2"/>
      <c r="O93">
        <f t="shared" ref="O93:O99" si="49">R93/300000</f>
        <v>0.0864</v>
      </c>
      <c r="P93" s="8" t="s">
        <v>1381</v>
      </c>
      <c r="R93">
        <f>R82*30</f>
        <v>25920</v>
      </c>
      <c r="S93" s="2" t="s">
        <v>87</v>
      </c>
    </row>
    <row r="94">
      <c r="B94" s="2" t="s">
        <v>1382</v>
      </c>
      <c r="C94" s="2"/>
      <c r="D94">
        <f t="shared" si="45"/>
        <v>0</v>
      </c>
      <c r="E94" s="204"/>
      <c r="F94" s="204">
        <f t="shared" si="46"/>
        <v>0</v>
      </c>
      <c r="J94" s="183" t="str">
        <f t="shared" si="47"/>
        <v>#REF!</v>
      </c>
      <c r="K94" s="186">
        <f t="shared" si="48"/>
        <v>0</v>
      </c>
      <c r="L94" s="39"/>
      <c r="O94">
        <f t="shared" si="49"/>
        <v>0.1728</v>
      </c>
      <c r="P94" s="8" t="s">
        <v>1383</v>
      </c>
      <c r="R94">
        <f>R93*2</f>
        <v>51840</v>
      </c>
      <c r="S94" s="2" t="s">
        <v>87</v>
      </c>
    </row>
    <row r="95">
      <c r="B95" s="2" t="s">
        <v>1384</v>
      </c>
      <c r="C95" s="2"/>
      <c r="D95">
        <f t="shared" si="45"/>
        <v>0</v>
      </c>
      <c r="E95" s="204"/>
      <c r="F95" s="204">
        <f t="shared" si="46"/>
        <v>0</v>
      </c>
      <c r="J95" s="183" t="str">
        <f t="shared" si="47"/>
        <v>#REF!</v>
      </c>
      <c r="K95" s="186">
        <f t="shared" si="48"/>
        <v>0</v>
      </c>
      <c r="L95" s="39"/>
      <c r="O95">
        <f t="shared" si="49"/>
        <v>0.2592</v>
      </c>
      <c r="P95" s="2">
        <v>3.0</v>
      </c>
      <c r="R95">
        <f t="shared" ref="R95:R97" si="50">R$93*P95</f>
        <v>77760</v>
      </c>
      <c r="S95" s="2" t="s">
        <v>87</v>
      </c>
    </row>
    <row r="96">
      <c r="B96" s="2" t="s">
        <v>1385</v>
      </c>
      <c r="C96" s="2">
        <v>30.0</v>
      </c>
      <c r="D96">
        <f t="shared" si="45"/>
        <v>4500</v>
      </c>
      <c r="E96" s="204"/>
      <c r="F96" s="204">
        <f t="shared" si="46"/>
        <v>4.166666667</v>
      </c>
      <c r="G96" s="2"/>
      <c r="H96" s="2"/>
      <c r="I96" s="2" t="s">
        <v>326</v>
      </c>
      <c r="J96" s="183" t="str">
        <f t="shared" si="47"/>
        <v>#REF!</v>
      </c>
      <c r="K96" s="186">
        <f t="shared" si="48"/>
        <v>6.944444444</v>
      </c>
      <c r="L96" s="27"/>
      <c r="O96">
        <f t="shared" si="49"/>
        <v>0.3456</v>
      </c>
      <c r="P96" s="2">
        <v>4.0</v>
      </c>
      <c r="R96">
        <f t="shared" si="50"/>
        <v>103680</v>
      </c>
      <c r="S96" s="2" t="s">
        <v>87</v>
      </c>
    </row>
    <row r="97">
      <c r="O97">
        <f t="shared" si="49"/>
        <v>0.432</v>
      </c>
      <c r="P97" s="2">
        <v>5.0</v>
      </c>
      <c r="R97">
        <f t="shared" si="50"/>
        <v>129600</v>
      </c>
      <c r="S97" s="2" t="s">
        <v>87</v>
      </c>
      <c r="Y97" s="2">
        <v>300000.0</v>
      </c>
      <c r="Z97" s="2" t="s">
        <v>87</v>
      </c>
    </row>
    <row r="98">
      <c r="O98">
        <f t="shared" si="49"/>
        <v>0.5184</v>
      </c>
      <c r="P98" s="8" t="s">
        <v>1386</v>
      </c>
      <c r="R98">
        <f>R93*6</f>
        <v>155520</v>
      </c>
      <c r="S98" s="2" t="s">
        <v>87</v>
      </c>
    </row>
    <row r="99">
      <c r="O99">
        <f t="shared" si="49"/>
        <v>1.0368</v>
      </c>
      <c r="P99" s="8" t="s">
        <v>1387</v>
      </c>
      <c r="R99">
        <f>R98*2</f>
        <v>311040</v>
      </c>
      <c r="S99" s="2" t="s">
        <v>87</v>
      </c>
    </row>
    <row r="100">
      <c r="P100" s="29"/>
    </row>
    <row r="101">
      <c r="P101" s="29"/>
      <c r="X101">
        <f>((1/sqrt(1-0.14*Y97^2/Y97^2))-1)*300</f>
        <v>23.49831961</v>
      </c>
    </row>
    <row r="102">
      <c r="P102" s="29"/>
    </row>
    <row r="103">
      <c r="P103" s="29"/>
    </row>
    <row r="104">
      <c r="P104" s="29"/>
    </row>
    <row r="105">
      <c r="L105">
        <f>155324540.283528/150000000</f>
        <v>1.035496935</v>
      </c>
      <c r="O105" s="122">
        <v>1.5E8</v>
      </c>
      <c r="P105" s="29"/>
    </row>
    <row r="106">
      <c r="P106" s="29"/>
    </row>
    <row r="107">
      <c r="P107" s="29"/>
    </row>
    <row r="108">
      <c r="P108" s="29"/>
    </row>
    <row r="109">
      <c r="P109" s="29"/>
    </row>
    <row r="110">
      <c r="P110" s="29"/>
    </row>
    <row r="111">
      <c r="P111" s="29"/>
    </row>
    <row r="112">
      <c r="P112" s="29"/>
    </row>
    <row r="113">
      <c r="P113" s="29"/>
    </row>
    <row r="114">
      <c r="P114" s="29"/>
    </row>
    <row r="115">
      <c r="P115" s="29"/>
    </row>
    <row r="116">
      <c r="P116" s="29"/>
    </row>
    <row r="117">
      <c r="P117" s="29"/>
    </row>
    <row r="118">
      <c r="P118" s="29"/>
    </row>
    <row r="119">
      <c r="P119" s="29"/>
    </row>
    <row r="120">
      <c r="P120" s="29"/>
    </row>
    <row r="121">
      <c r="P121" s="29"/>
    </row>
    <row r="122">
      <c r="P122" s="29"/>
    </row>
    <row r="123">
      <c r="P123" s="29"/>
    </row>
    <row r="124">
      <c r="P124" s="29"/>
    </row>
    <row r="125">
      <c r="P125" s="29"/>
    </row>
    <row r="126">
      <c r="P126" s="29"/>
    </row>
    <row r="127">
      <c r="P127" s="29"/>
    </row>
    <row r="128">
      <c r="P128" s="29"/>
    </row>
    <row r="129">
      <c r="P129" s="29"/>
    </row>
    <row r="130">
      <c r="P130" s="29"/>
    </row>
    <row r="131">
      <c r="P131" s="29"/>
    </row>
    <row r="132">
      <c r="P132" s="29"/>
    </row>
    <row r="133">
      <c r="P133" s="29"/>
    </row>
    <row r="134">
      <c r="P134" s="29"/>
    </row>
    <row r="135">
      <c r="P135" s="29"/>
    </row>
    <row r="136">
      <c r="P136" s="29"/>
    </row>
    <row r="137">
      <c r="P137" s="29"/>
    </row>
    <row r="138">
      <c r="P138" s="29"/>
    </row>
    <row r="139">
      <c r="P139" s="29"/>
    </row>
    <row r="140">
      <c r="P140" s="29"/>
    </row>
    <row r="141">
      <c r="P141" s="29"/>
    </row>
    <row r="142">
      <c r="P142" s="29"/>
    </row>
    <row r="143">
      <c r="P143" s="29"/>
    </row>
    <row r="144">
      <c r="P144" s="29"/>
    </row>
    <row r="145">
      <c r="P145" s="29"/>
    </row>
    <row r="146">
      <c r="P146" s="29"/>
    </row>
    <row r="147">
      <c r="P147" s="29"/>
    </row>
    <row r="148">
      <c r="P148" s="29"/>
    </row>
    <row r="149">
      <c r="P149" s="29"/>
    </row>
    <row r="150">
      <c r="P150" s="29"/>
    </row>
    <row r="151">
      <c r="P151" s="29"/>
    </row>
    <row r="152">
      <c r="P152" s="29"/>
    </row>
    <row r="153">
      <c r="P153" s="29"/>
    </row>
    <row r="154">
      <c r="P154" s="29"/>
    </row>
    <row r="155">
      <c r="P155" s="29"/>
    </row>
    <row r="156">
      <c r="P156" s="29"/>
    </row>
    <row r="157">
      <c r="P157" s="29"/>
    </row>
    <row r="158">
      <c r="P158" s="29"/>
    </row>
    <row r="159">
      <c r="P159" s="29"/>
    </row>
    <row r="160">
      <c r="P160" s="29"/>
    </row>
    <row r="161">
      <c r="P161" s="29"/>
    </row>
    <row r="162">
      <c r="P162" s="29"/>
    </row>
    <row r="163">
      <c r="P163" s="29"/>
    </row>
    <row r="164">
      <c r="P164" s="29"/>
    </row>
    <row r="165">
      <c r="P165" s="29"/>
    </row>
    <row r="166">
      <c r="P166" s="29"/>
    </row>
    <row r="167">
      <c r="P167" s="29"/>
    </row>
    <row r="168">
      <c r="P168" s="29"/>
    </row>
    <row r="169">
      <c r="P169" s="29"/>
    </row>
    <row r="170">
      <c r="P170" s="29"/>
    </row>
    <row r="171">
      <c r="P171" s="29"/>
    </row>
    <row r="172">
      <c r="P172" s="29"/>
    </row>
    <row r="173">
      <c r="P173" s="29"/>
    </row>
    <row r="174">
      <c r="P174" s="29"/>
    </row>
    <row r="175">
      <c r="P175" s="29"/>
    </row>
    <row r="176">
      <c r="P176" s="29"/>
    </row>
    <row r="177">
      <c r="P177" s="29"/>
    </row>
    <row r="178">
      <c r="P178" s="29"/>
    </row>
    <row r="179">
      <c r="P179" s="29"/>
    </row>
    <row r="180">
      <c r="P180" s="29"/>
    </row>
    <row r="181">
      <c r="P181" s="29"/>
    </row>
    <row r="182">
      <c r="P182" s="29"/>
    </row>
    <row r="183">
      <c r="P183" s="29"/>
    </row>
    <row r="184">
      <c r="P184" s="29"/>
    </row>
    <row r="185">
      <c r="P185" s="29"/>
    </row>
    <row r="186">
      <c r="P186" s="29"/>
    </row>
    <row r="187">
      <c r="P187" s="29"/>
    </row>
    <row r="188">
      <c r="P188" s="29"/>
    </row>
    <row r="189">
      <c r="P189" s="29"/>
    </row>
    <row r="190">
      <c r="P190" s="29"/>
    </row>
    <row r="191">
      <c r="P191" s="29"/>
    </row>
    <row r="192">
      <c r="P192" s="29"/>
    </row>
    <row r="193">
      <c r="P193" s="29"/>
    </row>
    <row r="194">
      <c r="P194" s="29"/>
    </row>
    <row r="195">
      <c r="P195" s="29"/>
    </row>
    <row r="196">
      <c r="P196" s="29"/>
    </row>
    <row r="197">
      <c r="P197" s="29"/>
    </row>
    <row r="198">
      <c r="P198" s="29"/>
    </row>
    <row r="199">
      <c r="P199" s="29"/>
    </row>
    <row r="200">
      <c r="P200" s="29"/>
    </row>
    <row r="201">
      <c r="P201" s="29"/>
    </row>
    <row r="202">
      <c r="P202" s="29"/>
    </row>
    <row r="203">
      <c r="P203" s="29"/>
    </row>
    <row r="204">
      <c r="P204" s="29"/>
    </row>
    <row r="205">
      <c r="P205" s="29"/>
    </row>
    <row r="206">
      <c r="P206" s="29"/>
    </row>
    <row r="207">
      <c r="P207" s="29"/>
    </row>
    <row r="208">
      <c r="P208" s="29"/>
    </row>
    <row r="209">
      <c r="P209" s="29"/>
    </row>
    <row r="210">
      <c r="P210" s="29"/>
    </row>
    <row r="211">
      <c r="P211" s="29"/>
    </row>
    <row r="212">
      <c r="P212" s="29"/>
    </row>
    <row r="213">
      <c r="P213" s="29"/>
    </row>
    <row r="214">
      <c r="P214" s="29"/>
    </row>
    <row r="215">
      <c r="P215" s="29"/>
    </row>
    <row r="216">
      <c r="P216" s="29"/>
    </row>
    <row r="217">
      <c r="P217" s="29"/>
    </row>
    <row r="218">
      <c r="P218" s="29"/>
    </row>
    <row r="219">
      <c r="P219" s="29"/>
    </row>
    <row r="220">
      <c r="P220" s="29"/>
    </row>
    <row r="221">
      <c r="P221" s="29"/>
    </row>
    <row r="222">
      <c r="P222" s="29"/>
    </row>
    <row r="223">
      <c r="P223" s="29"/>
    </row>
    <row r="224">
      <c r="P224" s="29"/>
    </row>
    <row r="225">
      <c r="P225" s="29"/>
    </row>
    <row r="226">
      <c r="P226" s="29"/>
    </row>
    <row r="227">
      <c r="P227" s="29"/>
    </row>
    <row r="228">
      <c r="P228" s="29"/>
    </row>
    <row r="229">
      <c r="P229" s="29"/>
    </row>
    <row r="230">
      <c r="P230" s="29"/>
    </row>
    <row r="231">
      <c r="P231" s="29"/>
    </row>
    <row r="232">
      <c r="P232" s="29"/>
    </row>
    <row r="233">
      <c r="P233" s="29"/>
    </row>
    <row r="234">
      <c r="P234" s="29"/>
    </row>
    <row r="235">
      <c r="P235" s="29"/>
    </row>
    <row r="236">
      <c r="P236" s="29"/>
    </row>
    <row r="237">
      <c r="P237" s="29"/>
    </row>
    <row r="238">
      <c r="P238" s="29"/>
    </row>
    <row r="239">
      <c r="P239" s="29"/>
    </row>
    <row r="240">
      <c r="P240" s="29"/>
    </row>
    <row r="241">
      <c r="P241" s="29"/>
    </row>
    <row r="242">
      <c r="P242" s="29"/>
    </row>
    <row r="243">
      <c r="P243" s="29"/>
    </row>
    <row r="244">
      <c r="P244" s="29"/>
    </row>
    <row r="245">
      <c r="P245" s="29"/>
    </row>
    <row r="246">
      <c r="P246" s="29"/>
    </row>
    <row r="247">
      <c r="P247" s="29"/>
    </row>
    <row r="248">
      <c r="P248" s="29"/>
    </row>
    <row r="249">
      <c r="P249" s="29"/>
    </row>
    <row r="250">
      <c r="P250" s="29"/>
    </row>
    <row r="251">
      <c r="P251" s="29"/>
    </row>
    <row r="252">
      <c r="P252" s="29"/>
    </row>
    <row r="253">
      <c r="P253" s="29"/>
    </row>
    <row r="254">
      <c r="P254" s="29"/>
    </row>
    <row r="255">
      <c r="P255" s="29"/>
    </row>
    <row r="256">
      <c r="P256" s="29"/>
    </row>
    <row r="257">
      <c r="P257" s="29"/>
    </row>
    <row r="258">
      <c r="P258" s="29"/>
    </row>
    <row r="259">
      <c r="P259" s="29"/>
    </row>
    <row r="260">
      <c r="P260" s="29"/>
    </row>
    <row r="261">
      <c r="P261" s="29"/>
    </row>
    <row r="262">
      <c r="P262" s="29"/>
    </row>
    <row r="263">
      <c r="P263" s="29"/>
    </row>
    <row r="264">
      <c r="P264" s="29"/>
    </row>
    <row r="265">
      <c r="P265" s="29"/>
    </row>
    <row r="266">
      <c r="P266" s="29"/>
    </row>
    <row r="267">
      <c r="P267" s="29"/>
    </row>
    <row r="268">
      <c r="P268" s="29"/>
    </row>
    <row r="269">
      <c r="P269" s="29"/>
    </row>
    <row r="270">
      <c r="P270" s="29"/>
    </row>
    <row r="271">
      <c r="P271" s="29"/>
    </row>
    <row r="272">
      <c r="P272" s="29"/>
    </row>
    <row r="273">
      <c r="P273" s="29"/>
    </row>
    <row r="274">
      <c r="P274" s="29"/>
    </row>
    <row r="275">
      <c r="P275" s="29"/>
    </row>
    <row r="276">
      <c r="P276" s="29"/>
    </row>
    <row r="277">
      <c r="P277" s="29"/>
    </row>
    <row r="278">
      <c r="P278" s="29"/>
    </row>
    <row r="279">
      <c r="P279" s="29"/>
    </row>
    <row r="280">
      <c r="P280" s="29"/>
    </row>
    <row r="281">
      <c r="P281" s="29"/>
    </row>
    <row r="282">
      <c r="P282" s="29"/>
    </row>
    <row r="283">
      <c r="P283" s="29"/>
    </row>
    <row r="284">
      <c r="P284" s="29"/>
    </row>
    <row r="285">
      <c r="P285" s="29"/>
    </row>
    <row r="286">
      <c r="P286" s="29"/>
    </row>
    <row r="287">
      <c r="P287" s="29"/>
    </row>
    <row r="288">
      <c r="P288" s="29"/>
    </row>
    <row r="289">
      <c r="P289" s="29"/>
    </row>
    <row r="290">
      <c r="P290" s="29"/>
    </row>
    <row r="291">
      <c r="P291" s="29"/>
    </row>
    <row r="292">
      <c r="P292" s="29"/>
    </row>
    <row r="293">
      <c r="P293" s="29"/>
    </row>
    <row r="294">
      <c r="P294" s="29"/>
    </row>
    <row r="295">
      <c r="P295" s="29"/>
    </row>
    <row r="296">
      <c r="P296" s="29"/>
    </row>
    <row r="297">
      <c r="P297" s="29"/>
    </row>
    <row r="298">
      <c r="P298" s="29"/>
    </row>
    <row r="299">
      <c r="P299" s="29"/>
    </row>
    <row r="300">
      <c r="P300" s="29"/>
    </row>
    <row r="301">
      <c r="P301" s="29"/>
    </row>
    <row r="302">
      <c r="P302" s="29"/>
    </row>
    <row r="303">
      <c r="P303" s="29"/>
    </row>
    <row r="304">
      <c r="P304" s="29"/>
    </row>
    <row r="305">
      <c r="P305" s="29"/>
    </row>
    <row r="306">
      <c r="P306" s="29"/>
    </row>
    <row r="307">
      <c r="P307" s="29"/>
    </row>
    <row r="308">
      <c r="P308" s="29"/>
    </row>
    <row r="309">
      <c r="P309" s="29"/>
    </row>
    <row r="310">
      <c r="P310" s="29"/>
    </row>
    <row r="311">
      <c r="P311" s="29"/>
    </row>
    <row r="312">
      <c r="P312" s="29"/>
    </row>
    <row r="313">
      <c r="P313" s="29"/>
    </row>
    <row r="314">
      <c r="P314" s="29"/>
    </row>
    <row r="315">
      <c r="P315" s="29"/>
    </row>
    <row r="316">
      <c r="P316" s="29"/>
    </row>
    <row r="317">
      <c r="P317" s="29"/>
    </row>
    <row r="318">
      <c r="P318" s="29"/>
    </row>
    <row r="319">
      <c r="P319" s="29"/>
    </row>
    <row r="320">
      <c r="P320" s="29"/>
    </row>
    <row r="321">
      <c r="P321" s="29"/>
    </row>
    <row r="322">
      <c r="P322" s="29"/>
    </row>
    <row r="323">
      <c r="P323" s="29"/>
    </row>
    <row r="324">
      <c r="P324" s="29"/>
    </row>
    <row r="325">
      <c r="P325" s="29"/>
    </row>
    <row r="326">
      <c r="P326" s="29"/>
    </row>
    <row r="327">
      <c r="P327" s="29"/>
    </row>
    <row r="328">
      <c r="P328" s="29"/>
    </row>
    <row r="329">
      <c r="P329" s="29"/>
    </row>
    <row r="330">
      <c r="P330" s="29"/>
    </row>
    <row r="331">
      <c r="P331" s="29"/>
    </row>
    <row r="332">
      <c r="P332" s="29"/>
    </row>
    <row r="333">
      <c r="P333" s="29"/>
    </row>
    <row r="334">
      <c r="P334" s="29"/>
    </row>
    <row r="335">
      <c r="P335" s="29"/>
    </row>
    <row r="336">
      <c r="P336" s="29"/>
    </row>
    <row r="337">
      <c r="P337" s="29"/>
    </row>
    <row r="338">
      <c r="P338" s="29"/>
    </row>
    <row r="339">
      <c r="P339" s="29"/>
    </row>
    <row r="340">
      <c r="P340" s="29"/>
    </row>
    <row r="341">
      <c r="P341" s="29"/>
    </row>
    <row r="342">
      <c r="P342" s="29"/>
    </row>
    <row r="343">
      <c r="P343" s="29"/>
    </row>
    <row r="344">
      <c r="P344" s="29"/>
    </row>
    <row r="345">
      <c r="P345" s="29"/>
    </row>
    <row r="346">
      <c r="P346" s="29"/>
    </row>
    <row r="347">
      <c r="P347" s="29"/>
    </row>
    <row r="348">
      <c r="P348" s="29"/>
    </row>
    <row r="349">
      <c r="P349" s="29"/>
    </row>
    <row r="350">
      <c r="P350" s="29"/>
    </row>
    <row r="351">
      <c r="P351" s="29"/>
    </row>
    <row r="352">
      <c r="P352" s="29"/>
    </row>
    <row r="353">
      <c r="P353" s="29"/>
    </row>
    <row r="354">
      <c r="P354" s="29"/>
    </row>
    <row r="355">
      <c r="P355" s="29"/>
    </row>
    <row r="356">
      <c r="P356" s="29"/>
    </row>
    <row r="357">
      <c r="P357" s="29"/>
    </row>
    <row r="358">
      <c r="P358" s="29"/>
    </row>
    <row r="359">
      <c r="P359" s="29"/>
    </row>
    <row r="360">
      <c r="P360" s="29"/>
    </row>
    <row r="361">
      <c r="P361" s="29"/>
    </row>
    <row r="362">
      <c r="P362" s="29"/>
    </row>
    <row r="363">
      <c r="P363" s="29"/>
    </row>
    <row r="364">
      <c r="P364" s="29"/>
    </row>
    <row r="365">
      <c r="P365" s="29"/>
    </row>
    <row r="366">
      <c r="P366" s="29"/>
    </row>
    <row r="367">
      <c r="P367" s="29"/>
    </row>
    <row r="368">
      <c r="P368" s="29"/>
    </row>
    <row r="369">
      <c r="P369" s="29"/>
    </row>
    <row r="370">
      <c r="P370" s="29"/>
    </row>
    <row r="371">
      <c r="P371" s="29"/>
    </row>
    <row r="372">
      <c r="P372" s="29"/>
    </row>
    <row r="373">
      <c r="P373" s="29"/>
    </row>
    <row r="374">
      <c r="P374" s="29"/>
    </row>
    <row r="375">
      <c r="P375" s="29"/>
    </row>
    <row r="376">
      <c r="P376" s="29"/>
    </row>
    <row r="377">
      <c r="P377" s="29"/>
    </row>
    <row r="378">
      <c r="P378" s="29"/>
    </row>
    <row r="379">
      <c r="P379" s="29"/>
    </row>
    <row r="380">
      <c r="P380" s="29"/>
    </row>
    <row r="381">
      <c r="P381" s="29"/>
    </row>
    <row r="382">
      <c r="P382" s="29"/>
    </row>
    <row r="383">
      <c r="P383" s="29"/>
    </row>
    <row r="384">
      <c r="P384" s="29"/>
    </row>
    <row r="385">
      <c r="P385" s="29"/>
    </row>
    <row r="386">
      <c r="P386" s="29"/>
    </row>
    <row r="387">
      <c r="P387" s="29"/>
    </row>
    <row r="388">
      <c r="P388" s="29"/>
    </row>
    <row r="389">
      <c r="P389" s="29"/>
    </row>
    <row r="390">
      <c r="P390" s="29"/>
    </row>
    <row r="391">
      <c r="P391" s="29"/>
    </row>
    <row r="392">
      <c r="P392" s="29"/>
    </row>
    <row r="393">
      <c r="P393" s="29"/>
    </row>
    <row r="394">
      <c r="P394" s="29"/>
    </row>
    <row r="395">
      <c r="P395" s="29"/>
    </row>
    <row r="396">
      <c r="P396" s="29"/>
    </row>
    <row r="397">
      <c r="P397" s="29"/>
    </row>
    <row r="398">
      <c r="P398" s="29"/>
    </row>
    <row r="399">
      <c r="P399" s="29"/>
    </row>
    <row r="400">
      <c r="P400" s="29"/>
    </row>
    <row r="401">
      <c r="P401" s="29"/>
    </row>
    <row r="402">
      <c r="P402" s="29"/>
    </row>
    <row r="403">
      <c r="P403" s="29"/>
    </row>
    <row r="404">
      <c r="P404" s="29"/>
    </row>
    <row r="405">
      <c r="P405" s="29"/>
    </row>
    <row r="406">
      <c r="P406" s="29"/>
    </row>
    <row r="407">
      <c r="P407" s="29"/>
    </row>
    <row r="408">
      <c r="P408" s="29"/>
    </row>
    <row r="409">
      <c r="P409" s="29"/>
    </row>
    <row r="410">
      <c r="P410" s="29"/>
    </row>
    <row r="411">
      <c r="P411" s="29"/>
    </row>
    <row r="412">
      <c r="P412" s="29"/>
    </row>
    <row r="413">
      <c r="P413" s="29"/>
    </row>
    <row r="414">
      <c r="P414" s="29"/>
    </row>
    <row r="415">
      <c r="P415" s="29"/>
    </row>
    <row r="416">
      <c r="P416" s="29"/>
    </row>
    <row r="417">
      <c r="P417" s="29"/>
    </row>
    <row r="418">
      <c r="P418" s="29"/>
    </row>
    <row r="419">
      <c r="P419" s="29"/>
    </row>
    <row r="420">
      <c r="P420" s="29"/>
    </row>
    <row r="421">
      <c r="P421" s="29"/>
    </row>
    <row r="422">
      <c r="P422" s="29"/>
    </row>
    <row r="423">
      <c r="P423" s="29"/>
    </row>
    <row r="424">
      <c r="P424" s="29"/>
    </row>
    <row r="425">
      <c r="P425" s="29"/>
    </row>
    <row r="426">
      <c r="P426" s="29"/>
    </row>
    <row r="427">
      <c r="P427" s="29"/>
    </row>
    <row r="428">
      <c r="P428" s="29"/>
    </row>
    <row r="429">
      <c r="P429" s="29"/>
    </row>
    <row r="430">
      <c r="P430" s="29"/>
    </row>
    <row r="431">
      <c r="P431" s="29"/>
    </row>
    <row r="432">
      <c r="P432" s="29"/>
    </row>
    <row r="433">
      <c r="P433" s="29"/>
    </row>
    <row r="434">
      <c r="P434" s="29"/>
    </row>
    <row r="435">
      <c r="P435" s="29"/>
    </row>
    <row r="436">
      <c r="P436" s="29"/>
    </row>
    <row r="437">
      <c r="P437" s="29"/>
    </row>
    <row r="438">
      <c r="P438" s="29"/>
    </row>
    <row r="439">
      <c r="P439" s="29"/>
    </row>
    <row r="440">
      <c r="P440" s="29"/>
    </row>
    <row r="441">
      <c r="P441" s="29"/>
    </row>
    <row r="442">
      <c r="P442" s="29"/>
    </row>
    <row r="443">
      <c r="P443" s="29"/>
    </row>
    <row r="444">
      <c r="P444" s="29"/>
    </row>
    <row r="445">
      <c r="P445" s="29"/>
    </row>
    <row r="446">
      <c r="P446" s="29"/>
    </row>
    <row r="447">
      <c r="P447" s="29"/>
    </row>
    <row r="448">
      <c r="P448" s="29"/>
    </row>
    <row r="449">
      <c r="P449" s="29"/>
    </row>
    <row r="450">
      <c r="P450" s="29"/>
    </row>
    <row r="451">
      <c r="P451" s="29"/>
    </row>
    <row r="452">
      <c r="P452" s="29"/>
    </row>
    <row r="453">
      <c r="P453" s="29"/>
    </row>
    <row r="454">
      <c r="P454" s="29"/>
    </row>
    <row r="455">
      <c r="P455" s="29"/>
    </row>
    <row r="456">
      <c r="P456" s="29"/>
    </row>
    <row r="457">
      <c r="P457" s="29"/>
    </row>
    <row r="458">
      <c r="P458" s="29"/>
    </row>
    <row r="459">
      <c r="P459" s="29"/>
    </row>
    <row r="460">
      <c r="P460" s="29"/>
    </row>
    <row r="461">
      <c r="P461" s="29"/>
    </row>
    <row r="462">
      <c r="P462" s="29"/>
    </row>
    <row r="463">
      <c r="P463" s="29"/>
    </row>
    <row r="464">
      <c r="P464" s="29"/>
    </row>
    <row r="465">
      <c r="P465" s="29"/>
    </row>
    <row r="466">
      <c r="P466" s="29"/>
    </row>
    <row r="467">
      <c r="P467" s="29"/>
    </row>
    <row r="468">
      <c r="P468" s="29"/>
    </row>
    <row r="469">
      <c r="P469" s="29"/>
    </row>
    <row r="470">
      <c r="P470" s="29"/>
    </row>
    <row r="471">
      <c r="P471" s="29"/>
    </row>
    <row r="472">
      <c r="P472" s="29"/>
    </row>
    <row r="473">
      <c r="P473" s="29"/>
    </row>
    <row r="474">
      <c r="P474" s="29"/>
    </row>
    <row r="475">
      <c r="P475" s="29"/>
    </row>
    <row r="476">
      <c r="P476" s="29"/>
    </row>
    <row r="477">
      <c r="P477" s="29"/>
    </row>
    <row r="478">
      <c r="P478" s="29"/>
    </row>
    <row r="479">
      <c r="P479" s="29"/>
    </row>
    <row r="480">
      <c r="P480" s="29"/>
    </row>
    <row r="481">
      <c r="P481" s="29"/>
    </row>
    <row r="482">
      <c r="P482" s="29"/>
    </row>
    <row r="483">
      <c r="P483" s="29"/>
    </row>
    <row r="484">
      <c r="P484" s="29"/>
    </row>
    <row r="485">
      <c r="P485" s="29"/>
    </row>
    <row r="486">
      <c r="P486" s="29"/>
    </row>
    <row r="487">
      <c r="P487" s="29"/>
    </row>
    <row r="488">
      <c r="P488" s="29"/>
    </row>
    <row r="489">
      <c r="P489" s="29"/>
    </row>
    <row r="490">
      <c r="P490" s="29"/>
    </row>
    <row r="491">
      <c r="P491" s="29"/>
    </row>
    <row r="492">
      <c r="P492" s="29"/>
    </row>
    <row r="493">
      <c r="P493" s="29"/>
    </row>
    <row r="494">
      <c r="P494" s="29"/>
    </row>
    <row r="495">
      <c r="P495" s="29"/>
    </row>
    <row r="496">
      <c r="P496" s="29"/>
    </row>
    <row r="497">
      <c r="P497" s="29"/>
    </row>
    <row r="498">
      <c r="P498" s="29"/>
    </row>
    <row r="499">
      <c r="P499" s="29"/>
    </row>
    <row r="500">
      <c r="P500" s="29"/>
    </row>
    <row r="501">
      <c r="P501" s="29"/>
    </row>
    <row r="502">
      <c r="P502" s="29"/>
    </row>
    <row r="503">
      <c r="P503" s="29"/>
    </row>
    <row r="504">
      <c r="P504" s="29"/>
    </row>
    <row r="505">
      <c r="P505" s="29"/>
    </row>
    <row r="506">
      <c r="P506" s="29"/>
    </row>
    <row r="507">
      <c r="P507" s="29"/>
    </row>
    <row r="508">
      <c r="P508" s="29"/>
    </row>
    <row r="509">
      <c r="P509" s="29"/>
    </row>
    <row r="510">
      <c r="P510" s="29"/>
    </row>
    <row r="511">
      <c r="P511" s="29"/>
    </row>
    <row r="512">
      <c r="P512" s="29"/>
    </row>
    <row r="513">
      <c r="P513" s="29"/>
    </row>
    <row r="514">
      <c r="P514" s="29"/>
    </row>
    <row r="515">
      <c r="P515" s="29"/>
    </row>
    <row r="516">
      <c r="P516" s="29"/>
    </row>
    <row r="517">
      <c r="P517" s="29"/>
    </row>
    <row r="518">
      <c r="P518" s="29"/>
    </row>
    <row r="519">
      <c r="P519" s="29"/>
    </row>
    <row r="520">
      <c r="P520" s="29"/>
    </row>
    <row r="521">
      <c r="P521" s="29"/>
    </row>
    <row r="522">
      <c r="P522" s="29"/>
    </row>
    <row r="523">
      <c r="P523" s="29"/>
    </row>
    <row r="524">
      <c r="P524" s="29"/>
    </row>
    <row r="525">
      <c r="P525" s="29"/>
    </row>
    <row r="526">
      <c r="P526" s="29"/>
    </row>
    <row r="527">
      <c r="P527" s="29"/>
    </row>
    <row r="528">
      <c r="P528" s="29"/>
    </row>
    <row r="529">
      <c r="P529" s="29"/>
    </row>
    <row r="530">
      <c r="P530" s="29"/>
    </row>
    <row r="531">
      <c r="P531" s="29"/>
    </row>
    <row r="532">
      <c r="P532" s="29"/>
    </row>
    <row r="533">
      <c r="P533" s="29"/>
    </row>
    <row r="534">
      <c r="P534" s="29"/>
    </row>
    <row r="535">
      <c r="P535" s="29"/>
    </row>
    <row r="536">
      <c r="P536" s="29"/>
    </row>
    <row r="537">
      <c r="P537" s="29"/>
    </row>
    <row r="538">
      <c r="P538" s="29"/>
    </row>
    <row r="539">
      <c r="P539" s="29"/>
    </row>
    <row r="540">
      <c r="P540" s="29"/>
    </row>
    <row r="541">
      <c r="P541" s="29"/>
    </row>
    <row r="542">
      <c r="P542" s="29"/>
    </row>
    <row r="543">
      <c r="P543" s="29"/>
    </row>
    <row r="544">
      <c r="P544" s="29"/>
    </row>
    <row r="545">
      <c r="P545" s="29"/>
    </row>
    <row r="546">
      <c r="P546" s="29"/>
    </row>
    <row r="547">
      <c r="P547" s="29"/>
    </row>
    <row r="548">
      <c r="P548" s="29"/>
    </row>
    <row r="549">
      <c r="P549" s="29"/>
    </row>
    <row r="550">
      <c r="P550" s="29"/>
    </row>
    <row r="551">
      <c r="P551" s="29"/>
    </row>
    <row r="552">
      <c r="P552" s="29"/>
    </row>
    <row r="553">
      <c r="P553" s="29"/>
    </row>
    <row r="554">
      <c r="P554" s="29"/>
    </row>
    <row r="555">
      <c r="P555" s="29"/>
    </row>
    <row r="556">
      <c r="P556" s="29"/>
    </row>
    <row r="557">
      <c r="P557" s="29"/>
    </row>
    <row r="558">
      <c r="P558" s="29"/>
    </row>
    <row r="559">
      <c r="P559" s="29"/>
    </row>
    <row r="560">
      <c r="P560" s="29"/>
    </row>
    <row r="561">
      <c r="P561" s="29"/>
    </row>
    <row r="562">
      <c r="P562" s="29"/>
    </row>
    <row r="563">
      <c r="P563" s="29"/>
    </row>
    <row r="564">
      <c r="P564" s="29"/>
    </row>
    <row r="565">
      <c r="P565" s="29"/>
    </row>
    <row r="566">
      <c r="P566" s="29"/>
    </row>
    <row r="567">
      <c r="P567" s="29"/>
    </row>
    <row r="568">
      <c r="P568" s="29"/>
    </row>
    <row r="569">
      <c r="P569" s="29"/>
    </row>
    <row r="570">
      <c r="P570" s="29"/>
    </row>
    <row r="571">
      <c r="P571" s="29"/>
    </row>
    <row r="572">
      <c r="P572" s="29"/>
    </row>
    <row r="573">
      <c r="P573" s="29"/>
    </row>
    <row r="574">
      <c r="P574" s="29"/>
    </row>
    <row r="575">
      <c r="P575" s="29"/>
    </row>
    <row r="576">
      <c r="P576" s="29"/>
    </row>
    <row r="577">
      <c r="P577" s="29"/>
    </row>
    <row r="578">
      <c r="P578" s="29"/>
    </row>
    <row r="579">
      <c r="P579" s="29"/>
    </row>
    <row r="580">
      <c r="P580" s="29"/>
    </row>
    <row r="581">
      <c r="P581" s="29"/>
    </row>
    <row r="582">
      <c r="P582" s="29"/>
    </row>
    <row r="583">
      <c r="P583" s="29"/>
    </row>
    <row r="584">
      <c r="P584" s="29"/>
    </row>
    <row r="585">
      <c r="P585" s="29"/>
    </row>
    <row r="586">
      <c r="P586" s="29"/>
    </row>
    <row r="587">
      <c r="P587" s="29"/>
    </row>
    <row r="588">
      <c r="P588" s="29"/>
    </row>
    <row r="589">
      <c r="P589" s="29"/>
    </row>
    <row r="590">
      <c r="P590" s="29"/>
    </row>
    <row r="591">
      <c r="P591" s="29"/>
    </row>
    <row r="592">
      <c r="P592" s="29"/>
    </row>
    <row r="593">
      <c r="P593" s="29"/>
    </row>
    <row r="594">
      <c r="P594" s="29"/>
    </row>
    <row r="595">
      <c r="P595" s="29"/>
    </row>
    <row r="596">
      <c r="P596" s="29"/>
    </row>
    <row r="597">
      <c r="P597" s="29"/>
    </row>
    <row r="598">
      <c r="P598" s="29"/>
    </row>
    <row r="599">
      <c r="P599" s="29"/>
    </row>
    <row r="600">
      <c r="P600" s="29"/>
    </row>
    <row r="601">
      <c r="P601" s="29"/>
    </row>
    <row r="602">
      <c r="P602" s="29"/>
    </row>
    <row r="603">
      <c r="P603" s="29"/>
    </row>
    <row r="604">
      <c r="P604" s="29"/>
    </row>
    <row r="605">
      <c r="P605" s="29"/>
    </row>
    <row r="606">
      <c r="P606" s="29"/>
    </row>
    <row r="607">
      <c r="P607" s="29"/>
    </row>
    <row r="608">
      <c r="P608" s="29"/>
    </row>
    <row r="609">
      <c r="P609" s="29"/>
    </row>
    <row r="610">
      <c r="P610" s="29"/>
    </row>
    <row r="611">
      <c r="P611" s="29"/>
    </row>
    <row r="612">
      <c r="P612" s="29"/>
    </row>
    <row r="613">
      <c r="P613" s="29"/>
    </row>
    <row r="614">
      <c r="P614" s="29"/>
    </row>
    <row r="615">
      <c r="P615" s="29"/>
    </row>
    <row r="616">
      <c r="P616" s="29"/>
    </row>
    <row r="617">
      <c r="P617" s="29"/>
    </row>
    <row r="618">
      <c r="P618" s="29"/>
    </row>
    <row r="619">
      <c r="P619" s="29"/>
    </row>
    <row r="620">
      <c r="P620" s="29"/>
    </row>
    <row r="621">
      <c r="P621" s="29"/>
    </row>
    <row r="622">
      <c r="P622" s="29"/>
    </row>
    <row r="623">
      <c r="P623" s="29"/>
    </row>
    <row r="624">
      <c r="P624" s="29"/>
    </row>
    <row r="625">
      <c r="P625" s="29"/>
    </row>
    <row r="626">
      <c r="P626" s="29"/>
    </row>
    <row r="627">
      <c r="P627" s="29"/>
    </row>
    <row r="628">
      <c r="P628" s="29"/>
    </row>
    <row r="629">
      <c r="P629" s="29"/>
    </row>
    <row r="630">
      <c r="P630" s="29"/>
    </row>
    <row r="631">
      <c r="P631" s="29"/>
    </row>
    <row r="632">
      <c r="P632" s="29"/>
    </row>
    <row r="633">
      <c r="P633" s="29"/>
    </row>
    <row r="634">
      <c r="P634" s="29"/>
    </row>
    <row r="635">
      <c r="P635" s="29"/>
    </row>
    <row r="636">
      <c r="P636" s="29"/>
    </row>
    <row r="637">
      <c r="P637" s="29"/>
    </row>
    <row r="638">
      <c r="P638" s="29"/>
    </row>
    <row r="639">
      <c r="P639" s="29"/>
    </row>
    <row r="640">
      <c r="P640" s="29"/>
    </row>
    <row r="641">
      <c r="P641" s="29"/>
    </row>
    <row r="642">
      <c r="P642" s="29"/>
    </row>
    <row r="643">
      <c r="P643" s="29"/>
    </row>
    <row r="644">
      <c r="P644" s="29"/>
    </row>
    <row r="645">
      <c r="P645" s="29"/>
    </row>
    <row r="646">
      <c r="P646" s="29"/>
    </row>
    <row r="647">
      <c r="P647" s="29"/>
    </row>
    <row r="648">
      <c r="P648" s="29"/>
    </row>
    <row r="649">
      <c r="P649" s="29"/>
    </row>
    <row r="650">
      <c r="P650" s="29"/>
    </row>
    <row r="651">
      <c r="P651" s="29"/>
    </row>
    <row r="652">
      <c r="P652" s="29"/>
    </row>
    <row r="653">
      <c r="P653" s="29"/>
    </row>
    <row r="654">
      <c r="P654" s="29"/>
    </row>
    <row r="655">
      <c r="P655" s="29"/>
    </row>
    <row r="656">
      <c r="P656" s="29"/>
    </row>
    <row r="657">
      <c r="P657" s="29"/>
    </row>
    <row r="658">
      <c r="P658" s="29"/>
    </row>
    <row r="659">
      <c r="P659" s="29"/>
    </row>
    <row r="660">
      <c r="P660" s="29"/>
    </row>
    <row r="661">
      <c r="P661" s="29"/>
    </row>
    <row r="662">
      <c r="P662" s="29"/>
    </row>
    <row r="663">
      <c r="P663" s="29"/>
    </row>
    <row r="664">
      <c r="P664" s="29"/>
    </row>
    <row r="665">
      <c r="P665" s="29"/>
    </row>
    <row r="666">
      <c r="P666" s="29"/>
    </row>
    <row r="667">
      <c r="P667" s="29"/>
    </row>
    <row r="668">
      <c r="P668" s="29"/>
    </row>
    <row r="669">
      <c r="P669" s="29"/>
    </row>
    <row r="670">
      <c r="P670" s="29"/>
    </row>
    <row r="671">
      <c r="P671" s="29"/>
    </row>
    <row r="672">
      <c r="P672" s="29"/>
    </row>
    <row r="673">
      <c r="P673" s="29"/>
    </row>
    <row r="674">
      <c r="P674" s="29"/>
    </row>
    <row r="675">
      <c r="P675" s="29"/>
    </row>
    <row r="676">
      <c r="P676" s="29"/>
    </row>
    <row r="677">
      <c r="P677" s="29"/>
    </row>
    <row r="678">
      <c r="P678" s="29"/>
    </row>
    <row r="679">
      <c r="P679" s="29"/>
    </row>
    <row r="680">
      <c r="P680" s="29"/>
    </row>
    <row r="681">
      <c r="P681" s="29"/>
    </row>
    <row r="682">
      <c r="P682" s="29"/>
    </row>
    <row r="683">
      <c r="P683" s="29"/>
    </row>
    <row r="684">
      <c r="P684" s="29"/>
    </row>
    <row r="685">
      <c r="P685" s="29"/>
    </row>
    <row r="686">
      <c r="P686" s="29"/>
    </row>
    <row r="687">
      <c r="P687" s="29"/>
    </row>
    <row r="688">
      <c r="P688" s="29"/>
    </row>
    <row r="689">
      <c r="P689" s="29"/>
    </row>
    <row r="690">
      <c r="P690" s="29"/>
    </row>
    <row r="691">
      <c r="P691" s="29"/>
    </row>
    <row r="692">
      <c r="P692" s="29"/>
    </row>
    <row r="693">
      <c r="P693" s="29"/>
    </row>
    <row r="694">
      <c r="P694" s="29"/>
    </row>
    <row r="695">
      <c r="P695" s="29"/>
    </row>
    <row r="696">
      <c r="P696" s="29"/>
    </row>
    <row r="697">
      <c r="P697" s="29"/>
    </row>
    <row r="698">
      <c r="P698" s="29"/>
    </row>
    <row r="699">
      <c r="P699" s="29"/>
    </row>
    <row r="700">
      <c r="P700" s="29"/>
    </row>
    <row r="701">
      <c r="P701" s="29"/>
    </row>
    <row r="702">
      <c r="P702" s="29"/>
    </row>
    <row r="703">
      <c r="P703" s="29"/>
    </row>
    <row r="704">
      <c r="P704" s="29"/>
    </row>
    <row r="705">
      <c r="P705" s="29"/>
    </row>
    <row r="706">
      <c r="P706" s="29"/>
    </row>
    <row r="707">
      <c r="P707" s="29"/>
    </row>
    <row r="708">
      <c r="P708" s="29"/>
    </row>
    <row r="709">
      <c r="P709" s="29"/>
    </row>
    <row r="710">
      <c r="P710" s="29"/>
    </row>
    <row r="711">
      <c r="P711" s="29"/>
    </row>
    <row r="712">
      <c r="P712" s="29"/>
    </row>
    <row r="713">
      <c r="P713" s="29"/>
    </row>
    <row r="714">
      <c r="P714" s="29"/>
    </row>
    <row r="715">
      <c r="P715" s="29"/>
    </row>
    <row r="716">
      <c r="P716" s="29"/>
    </row>
    <row r="717">
      <c r="P717" s="29"/>
    </row>
    <row r="718">
      <c r="P718" s="29"/>
    </row>
    <row r="719">
      <c r="P719" s="29"/>
    </row>
    <row r="720">
      <c r="P720" s="29"/>
    </row>
    <row r="721">
      <c r="P721" s="29"/>
    </row>
    <row r="722">
      <c r="P722" s="29"/>
    </row>
    <row r="723">
      <c r="P723" s="29"/>
    </row>
    <row r="724">
      <c r="P724" s="29"/>
    </row>
    <row r="725">
      <c r="P725" s="29"/>
    </row>
    <row r="726">
      <c r="P726" s="29"/>
    </row>
    <row r="727">
      <c r="P727" s="29"/>
    </row>
    <row r="728">
      <c r="P728" s="29"/>
    </row>
    <row r="729">
      <c r="P729" s="29"/>
    </row>
    <row r="730">
      <c r="P730" s="29"/>
    </row>
    <row r="731">
      <c r="P731" s="29"/>
    </row>
    <row r="732">
      <c r="P732" s="29"/>
    </row>
    <row r="733">
      <c r="P733" s="29"/>
    </row>
    <row r="734">
      <c r="P734" s="29"/>
    </row>
    <row r="735">
      <c r="P735" s="29"/>
    </row>
    <row r="736">
      <c r="P736" s="29"/>
    </row>
    <row r="737">
      <c r="P737" s="29"/>
    </row>
    <row r="738">
      <c r="P738" s="29"/>
    </row>
    <row r="739">
      <c r="P739" s="29"/>
    </row>
    <row r="740">
      <c r="P740" s="29"/>
    </row>
    <row r="741">
      <c r="P741" s="29"/>
    </row>
    <row r="742">
      <c r="P742" s="29"/>
    </row>
    <row r="743">
      <c r="P743" s="29"/>
    </row>
    <row r="744">
      <c r="P744" s="29"/>
    </row>
    <row r="745">
      <c r="P745" s="29"/>
    </row>
    <row r="746">
      <c r="P746" s="29"/>
    </row>
    <row r="747">
      <c r="P747" s="29"/>
    </row>
    <row r="748">
      <c r="P748" s="29"/>
    </row>
    <row r="749">
      <c r="P749" s="29"/>
    </row>
    <row r="750">
      <c r="P750" s="29"/>
    </row>
    <row r="751">
      <c r="P751" s="29"/>
    </row>
    <row r="752">
      <c r="P752" s="29"/>
    </row>
    <row r="753">
      <c r="P753" s="29"/>
    </row>
    <row r="754">
      <c r="P754" s="29"/>
    </row>
    <row r="755">
      <c r="P755" s="29"/>
    </row>
    <row r="756">
      <c r="P756" s="29"/>
    </row>
    <row r="757">
      <c r="P757" s="29"/>
    </row>
    <row r="758">
      <c r="P758" s="29"/>
    </row>
    <row r="759">
      <c r="P759" s="29"/>
    </row>
    <row r="760">
      <c r="P760" s="29"/>
    </row>
    <row r="761">
      <c r="P761" s="29"/>
    </row>
    <row r="762">
      <c r="P762" s="29"/>
    </row>
    <row r="763">
      <c r="P763" s="29"/>
    </row>
    <row r="764">
      <c r="P764" s="29"/>
    </row>
    <row r="765">
      <c r="P765" s="29"/>
    </row>
    <row r="766">
      <c r="P766" s="29"/>
    </row>
    <row r="767">
      <c r="P767" s="29"/>
    </row>
    <row r="768">
      <c r="P768" s="29"/>
    </row>
    <row r="769">
      <c r="P769" s="29"/>
    </row>
    <row r="770">
      <c r="P770" s="29"/>
    </row>
    <row r="771">
      <c r="P771" s="29"/>
    </row>
    <row r="772">
      <c r="P772" s="29"/>
    </row>
    <row r="773">
      <c r="P773" s="29"/>
    </row>
    <row r="774">
      <c r="P774" s="29"/>
    </row>
    <row r="775">
      <c r="P775" s="29"/>
    </row>
    <row r="776">
      <c r="P776" s="29"/>
    </row>
    <row r="777">
      <c r="P777" s="29"/>
    </row>
    <row r="778">
      <c r="P778" s="29"/>
    </row>
    <row r="779">
      <c r="P779" s="29"/>
    </row>
    <row r="780">
      <c r="P780" s="29"/>
    </row>
    <row r="781">
      <c r="P781" s="29"/>
    </row>
    <row r="782">
      <c r="P782" s="29"/>
    </row>
    <row r="783">
      <c r="P783" s="29"/>
    </row>
    <row r="784">
      <c r="P784" s="29"/>
    </row>
    <row r="785">
      <c r="P785" s="29"/>
    </row>
    <row r="786">
      <c r="P786" s="29"/>
    </row>
    <row r="787">
      <c r="P787" s="29"/>
    </row>
    <row r="788">
      <c r="P788" s="29"/>
    </row>
    <row r="789">
      <c r="P789" s="29"/>
    </row>
    <row r="790">
      <c r="P790" s="29"/>
    </row>
    <row r="791">
      <c r="P791" s="29"/>
    </row>
    <row r="792">
      <c r="P792" s="29"/>
    </row>
    <row r="793">
      <c r="P793" s="29"/>
    </row>
    <row r="794">
      <c r="P794" s="29"/>
    </row>
    <row r="795">
      <c r="P795" s="29"/>
    </row>
    <row r="796">
      <c r="P796" s="29"/>
    </row>
    <row r="797">
      <c r="P797" s="29"/>
    </row>
    <row r="798">
      <c r="P798" s="29"/>
    </row>
    <row r="799">
      <c r="P799" s="29"/>
    </row>
    <row r="800">
      <c r="P800" s="29"/>
    </row>
    <row r="801">
      <c r="P801" s="29"/>
    </row>
    <row r="802">
      <c r="P802" s="29"/>
    </row>
    <row r="803">
      <c r="P803" s="29"/>
    </row>
    <row r="804">
      <c r="P804" s="29"/>
    </row>
    <row r="805">
      <c r="P805" s="29"/>
    </row>
    <row r="806">
      <c r="P806" s="29"/>
    </row>
    <row r="807">
      <c r="P807" s="29"/>
    </row>
    <row r="808">
      <c r="P808" s="29"/>
    </row>
    <row r="809">
      <c r="P809" s="29"/>
    </row>
    <row r="810">
      <c r="P810" s="29"/>
    </row>
    <row r="811">
      <c r="P811" s="29"/>
    </row>
    <row r="812">
      <c r="P812" s="29"/>
    </row>
    <row r="813">
      <c r="P813" s="29"/>
    </row>
    <row r="814">
      <c r="P814" s="29"/>
    </row>
    <row r="815">
      <c r="P815" s="29"/>
    </row>
    <row r="816">
      <c r="P816" s="29"/>
    </row>
    <row r="817">
      <c r="P817" s="29"/>
    </row>
    <row r="818">
      <c r="P818" s="29"/>
    </row>
    <row r="819">
      <c r="P819" s="29"/>
    </row>
    <row r="820">
      <c r="P820" s="29"/>
    </row>
    <row r="821">
      <c r="P821" s="29"/>
    </row>
    <row r="822">
      <c r="P822" s="29"/>
    </row>
    <row r="823">
      <c r="P823" s="29"/>
    </row>
    <row r="824">
      <c r="P824" s="29"/>
    </row>
    <row r="825">
      <c r="P825" s="29"/>
    </row>
    <row r="826">
      <c r="P826" s="29"/>
    </row>
    <row r="827">
      <c r="P827" s="29"/>
    </row>
    <row r="828">
      <c r="P828" s="29"/>
    </row>
    <row r="829">
      <c r="P829" s="29"/>
    </row>
    <row r="830">
      <c r="P830" s="29"/>
    </row>
    <row r="831">
      <c r="P831" s="29"/>
    </row>
    <row r="832">
      <c r="P832" s="29"/>
    </row>
    <row r="833">
      <c r="P833" s="29"/>
    </row>
    <row r="834">
      <c r="P834" s="29"/>
    </row>
    <row r="835">
      <c r="P835" s="29"/>
    </row>
    <row r="836">
      <c r="P836" s="29"/>
    </row>
    <row r="837">
      <c r="P837" s="29"/>
    </row>
    <row r="838">
      <c r="P838" s="29"/>
    </row>
    <row r="839">
      <c r="P839" s="29"/>
    </row>
    <row r="840">
      <c r="P840" s="29"/>
    </row>
    <row r="841">
      <c r="P841" s="29"/>
    </row>
    <row r="842">
      <c r="P842" s="29"/>
    </row>
    <row r="843">
      <c r="P843" s="29"/>
    </row>
    <row r="844">
      <c r="P844" s="29"/>
    </row>
    <row r="845">
      <c r="P845" s="29"/>
    </row>
    <row r="846">
      <c r="P846" s="29"/>
    </row>
    <row r="847">
      <c r="P847" s="29"/>
    </row>
    <row r="848">
      <c r="P848" s="29"/>
    </row>
    <row r="849">
      <c r="P849" s="29"/>
    </row>
    <row r="850">
      <c r="P850" s="29"/>
    </row>
    <row r="851">
      <c r="P851" s="29"/>
    </row>
    <row r="852">
      <c r="P852" s="29"/>
    </row>
    <row r="853">
      <c r="P853" s="29"/>
    </row>
    <row r="854">
      <c r="P854" s="29"/>
    </row>
    <row r="855">
      <c r="P855" s="29"/>
    </row>
    <row r="856">
      <c r="P856" s="29"/>
    </row>
    <row r="857">
      <c r="P857" s="29"/>
    </row>
    <row r="858">
      <c r="P858" s="29"/>
    </row>
    <row r="859">
      <c r="P859" s="29"/>
    </row>
    <row r="860">
      <c r="P860" s="29"/>
    </row>
    <row r="861">
      <c r="P861" s="29"/>
    </row>
    <row r="862">
      <c r="P862" s="29"/>
    </row>
    <row r="863">
      <c r="P863" s="29"/>
    </row>
    <row r="864">
      <c r="P864" s="29"/>
    </row>
    <row r="865">
      <c r="P865" s="29"/>
    </row>
    <row r="866">
      <c r="P866" s="29"/>
    </row>
    <row r="867">
      <c r="P867" s="29"/>
    </row>
    <row r="868">
      <c r="P868" s="29"/>
    </row>
    <row r="869">
      <c r="P869" s="29"/>
    </row>
    <row r="870">
      <c r="P870" s="29"/>
    </row>
    <row r="871">
      <c r="P871" s="29"/>
    </row>
    <row r="872">
      <c r="P872" s="29"/>
    </row>
    <row r="873">
      <c r="P873" s="29"/>
    </row>
    <row r="874">
      <c r="P874" s="29"/>
    </row>
    <row r="875">
      <c r="P875" s="29"/>
    </row>
    <row r="876">
      <c r="P876" s="29"/>
    </row>
    <row r="877">
      <c r="P877" s="29"/>
    </row>
    <row r="878">
      <c r="P878" s="29"/>
    </row>
    <row r="879">
      <c r="P879" s="29"/>
    </row>
    <row r="880">
      <c r="P880" s="29"/>
    </row>
    <row r="881">
      <c r="P881" s="29"/>
    </row>
    <row r="882">
      <c r="P882" s="29"/>
    </row>
    <row r="883">
      <c r="P883" s="29"/>
    </row>
    <row r="884">
      <c r="P884" s="29"/>
    </row>
    <row r="885">
      <c r="P885" s="29"/>
    </row>
    <row r="886">
      <c r="P886" s="29"/>
    </row>
    <row r="887">
      <c r="P887" s="29"/>
    </row>
    <row r="888">
      <c r="P888" s="29"/>
    </row>
    <row r="889">
      <c r="P889" s="29"/>
    </row>
    <row r="890">
      <c r="P890" s="29"/>
    </row>
    <row r="891">
      <c r="P891" s="29"/>
    </row>
    <row r="892">
      <c r="P892" s="29"/>
    </row>
    <row r="893">
      <c r="P893" s="29"/>
    </row>
    <row r="894">
      <c r="P894" s="29"/>
    </row>
    <row r="895">
      <c r="P895" s="29"/>
    </row>
    <row r="896">
      <c r="P896" s="29"/>
    </row>
    <row r="897">
      <c r="P897" s="29"/>
    </row>
    <row r="898">
      <c r="P898" s="29"/>
    </row>
    <row r="899">
      <c r="P899" s="29"/>
    </row>
    <row r="900">
      <c r="P900" s="29"/>
    </row>
    <row r="901">
      <c r="P901" s="29"/>
    </row>
    <row r="902">
      <c r="P902" s="29"/>
    </row>
    <row r="903">
      <c r="P903" s="29"/>
    </row>
    <row r="904">
      <c r="P904" s="29"/>
    </row>
    <row r="905">
      <c r="P905" s="29"/>
    </row>
    <row r="906">
      <c r="P906" s="29"/>
    </row>
    <row r="907">
      <c r="P907" s="29"/>
    </row>
    <row r="908">
      <c r="P908" s="29"/>
    </row>
    <row r="909">
      <c r="P909" s="29"/>
    </row>
    <row r="910">
      <c r="P910" s="29"/>
    </row>
    <row r="911">
      <c r="P911" s="29"/>
    </row>
    <row r="912">
      <c r="P912" s="29"/>
    </row>
    <row r="913">
      <c r="P913" s="29"/>
    </row>
    <row r="914">
      <c r="P914" s="29"/>
    </row>
    <row r="915">
      <c r="P915" s="29"/>
    </row>
    <row r="916">
      <c r="P916" s="29"/>
    </row>
    <row r="917">
      <c r="P917" s="29"/>
    </row>
    <row r="918">
      <c r="P918" s="29"/>
    </row>
    <row r="919">
      <c r="P919" s="29"/>
    </row>
    <row r="920">
      <c r="P920" s="29"/>
    </row>
    <row r="921">
      <c r="P921" s="29"/>
    </row>
    <row r="922">
      <c r="P922" s="29"/>
    </row>
    <row r="923">
      <c r="P923" s="29"/>
    </row>
    <row r="924">
      <c r="P924" s="29"/>
    </row>
    <row r="925">
      <c r="P925" s="29"/>
    </row>
    <row r="926">
      <c r="P926" s="29"/>
    </row>
    <row r="927">
      <c r="P927" s="29"/>
    </row>
    <row r="928">
      <c r="P928" s="29"/>
    </row>
    <row r="929">
      <c r="P929" s="29"/>
    </row>
    <row r="930">
      <c r="P930" s="29"/>
    </row>
    <row r="931">
      <c r="P931" s="29"/>
    </row>
    <row r="932">
      <c r="P932" s="29"/>
    </row>
    <row r="933">
      <c r="P933" s="29"/>
    </row>
    <row r="934">
      <c r="P934" s="29"/>
    </row>
    <row r="935">
      <c r="P935" s="29"/>
    </row>
    <row r="936">
      <c r="P936" s="29"/>
    </row>
    <row r="937">
      <c r="P937" s="29"/>
    </row>
    <row r="938">
      <c r="P938" s="29"/>
    </row>
    <row r="939">
      <c r="P939" s="29"/>
    </row>
    <row r="940">
      <c r="P940" s="29"/>
    </row>
    <row r="941">
      <c r="P941" s="29"/>
    </row>
    <row r="942">
      <c r="P942" s="29"/>
    </row>
    <row r="943">
      <c r="P943" s="29"/>
    </row>
    <row r="944">
      <c r="P944" s="29"/>
    </row>
    <row r="945">
      <c r="P945" s="29"/>
    </row>
    <row r="946">
      <c r="P946" s="29"/>
    </row>
    <row r="947">
      <c r="P947" s="29"/>
    </row>
    <row r="948">
      <c r="P948" s="29"/>
    </row>
    <row r="949">
      <c r="P949" s="29"/>
    </row>
    <row r="950">
      <c r="P950" s="29"/>
    </row>
    <row r="951">
      <c r="P951" s="29"/>
    </row>
    <row r="952">
      <c r="P952" s="29"/>
    </row>
    <row r="953">
      <c r="P953" s="29"/>
    </row>
    <row r="954">
      <c r="P954" s="29"/>
    </row>
    <row r="955">
      <c r="P955" s="29"/>
    </row>
    <row r="956">
      <c r="P956" s="29"/>
    </row>
    <row r="957">
      <c r="P957" s="29"/>
    </row>
    <row r="958">
      <c r="P958" s="29"/>
    </row>
    <row r="959">
      <c r="P959" s="29"/>
    </row>
    <row r="960">
      <c r="P960" s="29"/>
    </row>
    <row r="961">
      <c r="P961" s="29"/>
    </row>
    <row r="962">
      <c r="P962" s="29"/>
    </row>
    <row r="963">
      <c r="P963" s="29"/>
    </row>
    <row r="964">
      <c r="P964" s="29"/>
    </row>
    <row r="965">
      <c r="P965" s="29"/>
    </row>
    <row r="966">
      <c r="P966" s="29"/>
    </row>
    <row r="967">
      <c r="P967" s="29"/>
    </row>
    <row r="968">
      <c r="P968" s="29"/>
    </row>
    <row r="969">
      <c r="P969" s="29"/>
    </row>
    <row r="970">
      <c r="P970" s="29"/>
    </row>
    <row r="971">
      <c r="P971" s="29"/>
    </row>
    <row r="972">
      <c r="P972" s="29"/>
    </row>
    <row r="973">
      <c r="P973" s="29"/>
    </row>
    <row r="974">
      <c r="P974" s="29"/>
    </row>
    <row r="975">
      <c r="P975" s="29"/>
    </row>
    <row r="976">
      <c r="P976" s="29"/>
    </row>
    <row r="977">
      <c r="P977" s="29"/>
    </row>
    <row r="978">
      <c r="P978" s="29"/>
    </row>
    <row r="979">
      <c r="P979" s="29"/>
    </row>
    <row r="980">
      <c r="P980" s="29"/>
    </row>
    <row r="981">
      <c r="P981" s="29"/>
    </row>
    <row r="982">
      <c r="P982" s="29"/>
    </row>
    <row r="983">
      <c r="P983" s="29"/>
    </row>
    <row r="984">
      <c r="P984" s="29"/>
    </row>
    <row r="985">
      <c r="P985" s="29"/>
    </row>
    <row r="986">
      <c r="P986" s="29"/>
    </row>
    <row r="987">
      <c r="P987" s="29"/>
    </row>
    <row r="988">
      <c r="P988" s="29"/>
    </row>
    <row r="989">
      <c r="P989" s="29"/>
    </row>
    <row r="990">
      <c r="P990" s="29"/>
    </row>
    <row r="991">
      <c r="P991" s="29"/>
    </row>
    <row r="992">
      <c r="P992" s="29"/>
    </row>
    <row r="993">
      <c r="P993" s="29"/>
    </row>
    <row r="994">
      <c r="P994" s="29"/>
    </row>
    <row r="995">
      <c r="P995" s="29"/>
    </row>
    <row r="996">
      <c r="P996" s="29"/>
    </row>
    <row r="997">
      <c r="P997" s="29"/>
    </row>
    <row r="998">
      <c r="P998" s="29"/>
    </row>
    <row r="999">
      <c r="P999" s="29"/>
    </row>
    <row r="1000">
      <c r="P1000" s="29"/>
    </row>
    <row r="1001">
      <c r="P1001" s="29"/>
    </row>
    <row r="1002">
      <c r="P1002" s="29"/>
    </row>
    <row r="1003">
      <c r="P1003" s="29"/>
    </row>
    <row r="1004">
      <c r="P1004" s="29"/>
    </row>
    <row r="1005">
      <c r="P1005" s="29"/>
    </row>
    <row r="1006">
      <c r="P1006" s="29"/>
    </row>
    <row r="1007">
      <c r="P1007" s="29"/>
    </row>
    <row r="1008">
      <c r="P1008" s="29"/>
    </row>
    <row r="1009">
      <c r="P1009" s="29"/>
    </row>
    <row r="1010">
      <c r="P1010" s="29"/>
    </row>
    <row r="1011">
      <c r="P1011" s="29"/>
    </row>
    <row r="1012">
      <c r="P1012" s="29"/>
    </row>
    <row r="1013">
      <c r="P1013" s="29"/>
    </row>
    <row r="1014">
      <c r="P1014" s="29"/>
    </row>
  </sheetData>
  <mergeCells count="6">
    <mergeCell ref="AA11:AB11"/>
    <mergeCell ref="AA17:AB17"/>
    <mergeCell ref="AA22:AB22"/>
    <mergeCell ref="AA39:AB39"/>
    <mergeCell ref="AA47:AB47"/>
    <mergeCell ref="AA53:AB53"/>
  </mergeCells>
  <hyperlinks>
    <hyperlink r:id="rId1" ref="B1"/>
    <hyperlink r:id="rId2" ref="B4"/>
    <hyperlink r:id="rId3" ref="B18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5"/>
    <col customWidth="1" min="3" max="3" width="8.25"/>
    <col customWidth="1" min="4" max="4" width="7.75"/>
    <col customWidth="1" min="5" max="5" width="11.38"/>
    <col customWidth="1" min="6" max="7" width="10.25"/>
    <col customWidth="1" min="8" max="8" width="5.25"/>
    <col customWidth="1" min="9" max="9" width="5.88"/>
    <col customWidth="1" min="10" max="10" width="6.38"/>
    <col customWidth="1" min="11" max="11" width="5.75"/>
    <col customWidth="1" min="12" max="12" width="5.25"/>
    <col customWidth="1" min="13" max="13" width="6.38"/>
    <col customWidth="1" min="14" max="14" width="5.88"/>
    <col customWidth="1" min="15" max="15" width="7.13"/>
    <col customWidth="1" min="16" max="16" width="7.25"/>
    <col customWidth="1" min="17" max="17" width="6.5"/>
    <col customWidth="1" min="18" max="18" width="5.63"/>
    <col customWidth="1" min="19" max="19" width="6.5"/>
    <col customWidth="1" min="20" max="20" width="7.5"/>
    <col customWidth="1" min="21" max="21" width="6.88"/>
    <col customWidth="1" min="22" max="22" width="5.63"/>
    <col customWidth="1" min="23" max="23" width="5.0"/>
    <col customWidth="1" min="24" max="24" width="5.75"/>
    <col customWidth="1" min="25" max="25" width="6.0"/>
    <col customWidth="1" min="26" max="26" width="8.5"/>
    <col customWidth="1" min="27" max="28" width="6.25"/>
    <col customWidth="1" min="29" max="31" width="7.13"/>
    <col customWidth="1" min="32" max="32" width="8.25"/>
    <col customWidth="1" min="33" max="35" width="6.25"/>
    <col customWidth="1" min="36" max="36" width="3.75"/>
    <col customWidth="1" min="37" max="37" width="3.88"/>
    <col customWidth="1" min="38" max="38" width="6.38"/>
    <col customWidth="1" min="39" max="40" width="5.25"/>
    <col customWidth="1" min="41" max="41" width="6.5"/>
    <col customWidth="1" min="42" max="42" width="4.75"/>
    <col customWidth="1" min="43" max="43" width="9.5"/>
    <col customWidth="1" min="44" max="44" width="4.88"/>
  </cols>
  <sheetData>
    <row r="1">
      <c r="C1" s="179" t="s">
        <v>1388</v>
      </c>
    </row>
    <row r="2">
      <c r="C2" s="179" t="s">
        <v>1389</v>
      </c>
      <c r="Q2" s="2">
        <f>P9*1000</f>
        <v>140000000</v>
      </c>
      <c r="R2" s="2" t="s">
        <v>1390</v>
      </c>
      <c r="S2">
        <f>Q2/1000</f>
        <v>140000</v>
      </c>
      <c r="T2" s="2" t="s">
        <v>1391</v>
      </c>
    </row>
    <row r="3">
      <c r="C3" s="205" t="s">
        <v>1392</v>
      </c>
      <c r="X3" s="5"/>
      <c r="AA3" s="2" t="s">
        <v>724</v>
      </c>
      <c r="AF3" s="2">
        <v>29.6</v>
      </c>
      <c r="AG3" s="2">
        <v>45.3</v>
      </c>
      <c r="AH3" s="2">
        <v>60.0</v>
      </c>
      <c r="AI3" s="2" t="s">
        <v>1393</v>
      </c>
      <c r="AL3" s="2">
        <v>30.0</v>
      </c>
    </row>
    <row r="4">
      <c r="C4" s="179" t="s">
        <v>1394</v>
      </c>
      <c r="Q4" s="2" t="s">
        <v>1395</v>
      </c>
      <c r="AA4" s="2" t="s">
        <v>1396</v>
      </c>
      <c r="AC4" s="2"/>
      <c r="AD4" s="2"/>
      <c r="AE4" s="2">
        <v>0.5</v>
      </c>
      <c r="AF4" s="2" t="s">
        <v>1145</v>
      </c>
      <c r="AQ4" s="25">
        <f>AQ11*10^9</f>
        <v>825078876915095</v>
      </c>
    </row>
    <row r="5">
      <c r="B5" s="52" t="s">
        <v>1397</v>
      </c>
      <c r="C5" s="206">
        <v>5.0</v>
      </c>
      <c r="D5" s="2" t="s">
        <v>189</v>
      </c>
      <c r="E5" s="2">
        <f>C5*10^-3</f>
        <v>0.005</v>
      </c>
      <c r="F5" s="2" t="s">
        <v>295</v>
      </c>
      <c r="H5" s="2" t="s">
        <v>1398</v>
      </c>
      <c r="L5">
        <f>C5*100</f>
        <v>500</v>
      </c>
      <c r="M5" s="2" t="s">
        <v>1399</v>
      </c>
      <c r="Q5" s="2">
        <v>10.0</v>
      </c>
      <c r="R5" s="2" t="s">
        <v>32</v>
      </c>
      <c r="AR5">
        <f>1.55*10^9</f>
        <v>1550000000</v>
      </c>
    </row>
    <row r="6">
      <c r="B6" s="2" t="s">
        <v>740</v>
      </c>
      <c r="C6" s="206">
        <v>30.0</v>
      </c>
      <c r="D6" s="2" t="s">
        <v>295</v>
      </c>
      <c r="E6" s="118">
        <f>C6/(1.5*10^8)</f>
        <v>0.0000002</v>
      </c>
      <c r="F6" s="2" t="s">
        <v>321</v>
      </c>
      <c r="H6">
        <f>C6*1000</f>
        <v>30000</v>
      </c>
      <c r="I6" s="6" t="s">
        <v>189</v>
      </c>
      <c r="J6" s="188"/>
      <c r="K6" s="188"/>
      <c r="L6" s="188">
        <f>C6*10^3</f>
        <v>30000</v>
      </c>
      <c r="M6" s="2" t="s">
        <v>189</v>
      </c>
      <c r="T6" s="38">
        <f>T14/100/1000</f>
        <v>0.00000389424</v>
      </c>
      <c r="U6" s="2" t="s">
        <v>295</v>
      </c>
      <c r="V6" s="2" t="s">
        <v>1400</v>
      </c>
      <c r="X6" s="2" t="s">
        <v>1401</v>
      </c>
      <c r="AA6" s="2" t="s">
        <v>709</v>
      </c>
      <c r="AC6" s="2" t="s">
        <v>711</v>
      </c>
      <c r="AE6" s="2" t="s">
        <v>713</v>
      </c>
    </row>
    <row r="7">
      <c r="A7" s="207"/>
      <c r="B7" s="207" t="s">
        <v>1073</v>
      </c>
      <c r="C7" s="206">
        <v>20.0</v>
      </c>
      <c r="D7" s="2" t="s">
        <v>32</v>
      </c>
      <c r="E7" s="2"/>
      <c r="K7" s="208"/>
      <c r="L7" s="209" t="s">
        <v>1402</v>
      </c>
      <c r="M7" s="2">
        <v>2.4</v>
      </c>
      <c r="N7" s="2" t="s">
        <v>32</v>
      </c>
      <c r="O7" s="2" t="s">
        <v>1403</v>
      </c>
      <c r="V7" s="2" t="s">
        <v>1404</v>
      </c>
      <c r="X7" s="2" t="s">
        <v>1405</v>
      </c>
    </row>
    <row r="8">
      <c r="T8" s="38"/>
      <c r="U8" s="2" t="s">
        <v>1399</v>
      </c>
      <c r="V8" s="2" t="s">
        <v>1406</v>
      </c>
      <c r="X8" s="2" t="s">
        <v>1407</v>
      </c>
    </row>
    <row r="9">
      <c r="A9" s="2" t="s">
        <v>1408</v>
      </c>
      <c r="B9" s="210">
        <f>Y11*100</f>
        <v>206269.7192</v>
      </c>
      <c r="C9" s="67" t="s">
        <v>1409</v>
      </c>
      <c r="J9">
        <f>J14*1000</f>
        <v>10000</v>
      </c>
      <c r="K9" s="2" t="s">
        <v>36</v>
      </c>
      <c r="L9">
        <f>L14*1000</f>
        <v>200000</v>
      </c>
      <c r="M9" s="2" t="s">
        <v>65</v>
      </c>
      <c r="P9">
        <f>P14*1000</f>
        <v>140000</v>
      </c>
      <c r="Q9" s="2" t="s">
        <v>65</v>
      </c>
      <c r="R9">
        <f>R14*1000</f>
        <v>60000</v>
      </c>
      <c r="S9" s="2" t="s">
        <v>65</v>
      </c>
      <c r="AG9" s="8"/>
      <c r="AH9" s="29"/>
    </row>
    <row r="10">
      <c r="A10" s="2" t="s">
        <v>1410</v>
      </c>
      <c r="B10" s="2" t="s">
        <v>1411</v>
      </c>
      <c r="D10" s="52"/>
      <c r="E10" s="52"/>
      <c r="F10" s="52" t="s">
        <v>1412</v>
      </c>
      <c r="G10" s="52"/>
      <c r="H10" s="52"/>
      <c r="I10" s="52"/>
      <c r="J10" s="52" t="s">
        <v>73</v>
      </c>
      <c r="K10" s="52"/>
      <c r="L10" s="52" t="s">
        <v>1073</v>
      </c>
      <c r="N10" s="52" t="s">
        <v>739</v>
      </c>
      <c r="P10" s="52" t="s">
        <v>1413</v>
      </c>
      <c r="R10" s="52" t="s">
        <v>244</v>
      </c>
      <c r="T10" s="52" t="s">
        <v>1414</v>
      </c>
      <c r="V10" s="52" t="s">
        <v>1404</v>
      </c>
      <c r="Y10" s="6" t="s">
        <v>1415</v>
      </c>
      <c r="Z10" s="6"/>
      <c r="AA10" s="6" t="s">
        <v>1416</v>
      </c>
      <c r="AB10" s="6"/>
      <c r="AC10" s="52" t="s">
        <v>67</v>
      </c>
      <c r="AF10" s="211" t="s">
        <v>1417</v>
      </c>
      <c r="AG10" s="6"/>
      <c r="AH10" s="6"/>
      <c r="AI10" s="2" t="s">
        <v>508</v>
      </c>
      <c r="AL10" s="6" t="s">
        <v>1418</v>
      </c>
      <c r="AO10" s="6" t="s">
        <v>1419</v>
      </c>
      <c r="AQ10" s="2" t="s">
        <v>1404</v>
      </c>
      <c r="AS10" s="2" t="s">
        <v>1406</v>
      </c>
      <c r="AV10" s="2" t="s">
        <v>1420</v>
      </c>
      <c r="AY10" s="5"/>
      <c r="AZ10" s="5" t="s">
        <v>1421</v>
      </c>
    </row>
    <row r="11">
      <c r="C11" s="2" t="s">
        <v>1422</v>
      </c>
      <c r="D11" s="2"/>
      <c r="E11" s="2"/>
      <c r="F11" s="2">
        <v>2400.0</v>
      </c>
      <c r="G11" s="2" t="s">
        <v>689</v>
      </c>
      <c r="I11" s="206"/>
      <c r="J11" s="206">
        <v>5.0</v>
      </c>
      <c r="K11" s="2" t="s">
        <v>90</v>
      </c>
      <c r="L11" s="206">
        <f t="shared" ref="L11:L16" si="1">J11*$C$7</f>
        <v>100</v>
      </c>
      <c r="M11" s="2" t="s">
        <v>38</v>
      </c>
      <c r="N11" s="2">
        <v>50.0</v>
      </c>
      <c r="O11" s="2" t="s">
        <v>150</v>
      </c>
      <c r="P11">
        <f t="shared" ref="P11:P16" si="2">L11*N11/100</f>
        <v>50</v>
      </c>
      <c r="Q11" s="2" t="s">
        <v>38</v>
      </c>
      <c r="R11">
        <f t="shared" ref="R11:R16" si="3">L11-P11</f>
        <v>50</v>
      </c>
      <c r="S11" s="2" t="s">
        <v>38</v>
      </c>
      <c r="T11" s="87">
        <f t="shared" ref="T11:T14" si="4">100*1.22*AZ11*$L$6 / ($C$5*2)</f>
        <v>0.8784</v>
      </c>
      <c r="U11" s="2" t="s">
        <v>1399</v>
      </c>
      <c r="V11" s="212">
        <f t="shared" ref="V11:V13" si="5">P11/(PI()*T11^2)</f>
        <v>20.62697192</v>
      </c>
      <c r="W11" s="2" t="s">
        <v>1423</v>
      </c>
      <c r="Y11" s="213">
        <f t="shared" ref="Y11:Y13" si="6">V11/10*1000</f>
        <v>2062.697192</v>
      </c>
      <c r="Z11" s="214" t="s">
        <v>1409</v>
      </c>
      <c r="AA11" s="215">
        <f t="shared" ref="AA11:AA13" si="7">V11/5*1000</f>
        <v>4125.394385</v>
      </c>
      <c r="AG11" s="25"/>
      <c r="AH11" s="25"/>
      <c r="AL11" s="74"/>
      <c r="AO11" s="96">
        <f t="shared" ref="AO11:AO13" si="8">0.305*$L$6*AZ11/($C$5)</f>
        <v>0.004392</v>
      </c>
      <c r="AP11" s="2" t="s">
        <v>189</v>
      </c>
      <c r="AQ11" s="25">
        <f t="shared" ref="AQ11:AQ13" si="9">P11/(PI()*AO11^2)</f>
        <v>825078.8769</v>
      </c>
      <c r="AR11" s="2" t="s">
        <v>1424</v>
      </c>
      <c r="AS11" s="25">
        <f t="shared" ref="AS11:AS13" si="10">P11/(AO11^2)</f>
        <v>2592061.738</v>
      </c>
      <c r="AT11" s="2" t="s">
        <v>1424</v>
      </c>
      <c r="AV11" s="38">
        <f>1.22*AZ11*L6 / (C5*2)</f>
        <v>0.008784</v>
      </c>
      <c r="AW11" s="2" t="s">
        <v>189</v>
      </c>
      <c r="AX11" s="74">
        <f>P11/(PI()*AV11^2)</f>
        <v>206269.7192</v>
      </c>
      <c r="AZ11">
        <f t="shared" ref="AZ11:AZ19" si="11">F11*10^-9</f>
        <v>0.0000024</v>
      </c>
      <c r="BA11" s="25">
        <f t="shared" ref="BA11:BA12" si="12">V11*1000*1000*100</f>
        <v>2062697192</v>
      </c>
    </row>
    <row r="12">
      <c r="A12" s="216">
        <v>45568.0</v>
      </c>
      <c r="B12" s="2">
        <v>0.2</v>
      </c>
      <c r="C12" s="2" t="s">
        <v>1425</v>
      </c>
      <c r="D12" s="2"/>
      <c r="E12" s="2"/>
      <c r="F12" s="2">
        <v>1600.0</v>
      </c>
      <c r="G12" s="2" t="s">
        <v>689</v>
      </c>
      <c r="I12" s="206"/>
      <c r="J12" s="206">
        <v>1.0</v>
      </c>
      <c r="K12" s="2" t="s">
        <v>90</v>
      </c>
      <c r="L12" s="206">
        <f t="shared" si="1"/>
        <v>20</v>
      </c>
      <c r="M12" s="2" t="s">
        <v>38</v>
      </c>
      <c r="N12" s="2">
        <v>30.0</v>
      </c>
      <c r="O12" s="2" t="s">
        <v>150</v>
      </c>
      <c r="P12">
        <f t="shared" si="2"/>
        <v>6</v>
      </c>
      <c r="Q12" s="2" t="s">
        <v>86</v>
      </c>
      <c r="R12">
        <f t="shared" si="3"/>
        <v>14</v>
      </c>
      <c r="T12" s="87">
        <f t="shared" si="4"/>
        <v>0.5856</v>
      </c>
      <c r="U12" s="2" t="s">
        <v>1399</v>
      </c>
      <c r="V12" s="215">
        <f t="shared" si="5"/>
        <v>5.569282419</v>
      </c>
      <c r="W12" s="2" t="s">
        <v>1423</v>
      </c>
      <c r="Y12" s="213">
        <f t="shared" si="6"/>
        <v>556.9282419</v>
      </c>
      <c r="Z12" s="214" t="s">
        <v>1409</v>
      </c>
      <c r="AA12" s="213">
        <f t="shared" si="7"/>
        <v>1113.856484</v>
      </c>
      <c r="AE12" s="25"/>
      <c r="AF12" s="25"/>
      <c r="AG12" s="25"/>
      <c r="AH12" s="25"/>
      <c r="AO12" s="96">
        <f t="shared" si="8"/>
        <v>0.002928</v>
      </c>
      <c r="AP12" s="2" t="s">
        <v>189</v>
      </c>
      <c r="AQ12" s="25">
        <f t="shared" si="9"/>
        <v>222771.2968</v>
      </c>
      <c r="AR12" s="2" t="s">
        <v>1424</v>
      </c>
      <c r="AS12" s="25">
        <f t="shared" si="10"/>
        <v>699856.6694</v>
      </c>
      <c r="AT12" s="2" t="s">
        <v>1424</v>
      </c>
      <c r="AZ12">
        <f t="shared" si="11"/>
        <v>0.0000016</v>
      </c>
      <c r="BA12" s="25">
        <f t="shared" si="12"/>
        <v>556928241.9</v>
      </c>
    </row>
    <row r="13">
      <c r="C13" s="2" t="s">
        <v>1426</v>
      </c>
      <c r="D13" s="2"/>
      <c r="E13" s="2"/>
      <c r="F13" s="2">
        <v>1200.0</v>
      </c>
      <c r="G13" s="2" t="s">
        <v>689</v>
      </c>
      <c r="I13" s="206"/>
      <c r="J13" s="206">
        <v>1.0</v>
      </c>
      <c r="K13" s="2" t="s">
        <v>90</v>
      </c>
      <c r="L13" s="206">
        <f t="shared" si="1"/>
        <v>20</v>
      </c>
      <c r="M13" s="2" t="s">
        <v>38</v>
      </c>
      <c r="N13" s="2">
        <v>20.0</v>
      </c>
      <c r="O13" s="2" t="s">
        <v>150</v>
      </c>
      <c r="P13">
        <f t="shared" si="2"/>
        <v>4</v>
      </c>
      <c r="Q13" s="2" t="s">
        <v>86</v>
      </c>
      <c r="R13">
        <f t="shared" si="3"/>
        <v>16</v>
      </c>
      <c r="T13" s="87">
        <f t="shared" si="4"/>
        <v>0.4392</v>
      </c>
      <c r="U13" s="2" t="s">
        <v>1399</v>
      </c>
      <c r="V13" s="215">
        <f t="shared" si="5"/>
        <v>6.600631015</v>
      </c>
      <c r="W13" s="2" t="s">
        <v>1423</v>
      </c>
      <c r="Y13" s="213">
        <f t="shared" si="6"/>
        <v>660.0631015</v>
      </c>
      <c r="Z13" s="214" t="s">
        <v>1409</v>
      </c>
      <c r="AA13" s="213">
        <f t="shared" si="7"/>
        <v>1320.126203</v>
      </c>
      <c r="AE13" s="25"/>
      <c r="AF13" s="25"/>
      <c r="AG13" s="25"/>
      <c r="AH13" s="25"/>
      <c r="AO13" s="96">
        <f t="shared" si="8"/>
        <v>0.002196</v>
      </c>
      <c r="AP13" s="2" t="s">
        <v>189</v>
      </c>
      <c r="AQ13" s="25">
        <f t="shared" si="9"/>
        <v>264025.2406</v>
      </c>
      <c r="AR13" s="2" t="s">
        <v>1424</v>
      </c>
      <c r="AS13" s="25">
        <f t="shared" si="10"/>
        <v>829459.7563</v>
      </c>
      <c r="AT13" s="2" t="s">
        <v>1424</v>
      </c>
      <c r="AZ13">
        <f t="shared" si="11"/>
        <v>0.0000012</v>
      </c>
      <c r="BA13" s="25">
        <f>V13*1000*1000</f>
        <v>6600631.015</v>
      </c>
      <c r="BB13" s="2" t="s">
        <v>1427</v>
      </c>
    </row>
    <row r="14">
      <c r="A14" s="41">
        <f>1/20000000</f>
        <v>0.00000005</v>
      </c>
      <c r="B14" s="2">
        <v>0.1</v>
      </c>
      <c r="C14" s="152" t="s">
        <v>1428</v>
      </c>
      <c r="D14" s="152"/>
      <c r="E14" s="152"/>
      <c r="F14" s="152">
        <v>1064.0</v>
      </c>
      <c r="G14" s="152" t="s">
        <v>689</v>
      </c>
      <c r="H14" s="153"/>
      <c r="I14" s="152"/>
      <c r="J14" s="152">
        <v>10.0</v>
      </c>
      <c r="K14" s="152" t="s">
        <v>90</v>
      </c>
      <c r="L14" s="152">
        <f t="shared" si="1"/>
        <v>200</v>
      </c>
      <c r="M14" s="152" t="s">
        <v>38</v>
      </c>
      <c r="N14" s="152">
        <v>70.0</v>
      </c>
      <c r="O14" s="152" t="s">
        <v>150</v>
      </c>
      <c r="P14" s="153">
        <f t="shared" si="2"/>
        <v>140</v>
      </c>
      <c r="Q14" s="152" t="s">
        <v>38</v>
      </c>
      <c r="R14" s="153">
        <f t="shared" si="3"/>
        <v>60</v>
      </c>
      <c r="S14" s="152" t="s">
        <v>38</v>
      </c>
      <c r="T14" s="214">
        <f t="shared" si="4"/>
        <v>0.389424</v>
      </c>
      <c r="U14" s="152" t="s">
        <v>1399</v>
      </c>
      <c r="V14" s="217">
        <f>P14/(PI()*T14^2)*10^3</f>
        <v>293854.7642</v>
      </c>
      <c r="W14" s="218" t="s">
        <v>1429</v>
      </c>
      <c r="X14" s="153"/>
      <c r="Y14" s="217">
        <f>V14/10</f>
        <v>29385.47642</v>
      </c>
      <c r="Z14" s="218" t="s">
        <v>1409</v>
      </c>
      <c r="AA14" s="219">
        <f>V14/100</f>
        <v>2938.547642</v>
      </c>
      <c r="AB14" s="218" t="s">
        <v>1409</v>
      </c>
      <c r="AC14">
        <f>P14*10^3</f>
        <v>140000</v>
      </c>
      <c r="AD14" s="2" t="s">
        <v>265</v>
      </c>
      <c r="AE14" s="25">
        <f>70/AF14</f>
        <v>146.9273821</v>
      </c>
      <c r="AF14" s="74">
        <f>PI()*T14^2</f>
        <v>0.4764258302</v>
      </c>
      <c r="AG14" s="67" t="s">
        <v>1430</v>
      </c>
      <c r="AH14" s="25"/>
      <c r="AI14">
        <f>P14*10^6</f>
        <v>140000000</v>
      </c>
      <c r="AJ14" s="2" t="s">
        <v>125</v>
      </c>
      <c r="AZ14">
        <f t="shared" si="11"/>
        <v>0.000001064</v>
      </c>
    </row>
    <row r="15">
      <c r="C15" s="2" t="s">
        <v>1431</v>
      </c>
      <c r="D15" s="2"/>
      <c r="E15" s="2"/>
      <c r="F15" s="2">
        <v>800.0</v>
      </c>
      <c r="G15" s="2" t="s">
        <v>689</v>
      </c>
      <c r="I15" s="206"/>
      <c r="J15" s="206">
        <v>1.0</v>
      </c>
      <c r="K15" s="2" t="s">
        <v>90</v>
      </c>
      <c r="L15" s="206">
        <f t="shared" si="1"/>
        <v>20</v>
      </c>
      <c r="M15" s="2" t="s">
        <v>38</v>
      </c>
      <c r="N15" s="2">
        <v>10.0</v>
      </c>
      <c r="O15" s="2" t="s">
        <v>150</v>
      </c>
      <c r="P15">
        <f t="shared" si="2"/>
        <v>2</v>
      </c>
      <c r="Q15" s="2" t="s">
        <v>86</v>
      </c>
      <c r="R15">
        <f t="shared" si="3"/>
        <v>18</v>
      </c>
      <c r="T15" s="87">
        <f t="shared" ref="T15:T16" si="13">0.5*100*1.22*AZ15*$L$6 / ($C$5*2)</f>
        <v>0.1464</v>
      </c>
      <c r="U15" s="2" t="s">
        <v>1399</v>
      </c>
      <c r="V15" s="215">
        <f t="shared" ref="V15:V16" si="14">P15/(PI()*T15^2)</f>
        <v>29.70283957</v>
      </c>
      <c r="W15" s="2" t="s">
        <v>1423</v>
      </c>
      <c r="Y15" s="74">
        <f t="shared" ref="Y15:Y16" si="15">V15/10*1000</f>
        <v>2970.283957</v>
      </c>
      <c r="Z15" s="214" t="s">
        <v>1409</v>
      </c>
      <c r="AA15" s="74">
        <f t="shared" ref="AA15:AA16" si="16">V15/5*1000</f>
        <v>5940.567914</v>
      </c>
      <c r="AE15" s="25"/>
      <c r="AF15" s="25"/>
      <c r="AG15" s="25"/>
      <c r="AH15" s="25"/>
      <c r="AZ15">
        <f t="shared" si="11"/>
        <v>0.0000008</v>
      </c>
    </row>
    <row r="16">
      <c r="C16" s="2" t="s">
        <v>1434</v>
      </c>
      <c r="D16" s="2"/>
      <c r="E16" s="2"/>
      <c r="F16" s="2">
        <v>600.0</v>
      </c>
      <c r="G16" s="2" t="s">
        <v>689</v>
      </c>
      <c r="I16" s="206"/>
      <c r="J16" s="206">
        <v>1.0</v>
      </c>
      <c r="K16" s="2" t="s">
        <v>90</v>
      </c>
      <c r="L16" s="206">
        <f t="shared" si="1"/>
        <v>20</v>
      </c>
      <c r="M16" s="2" t="s">
        <v>38</v>
      </c>
      <c r="N16" s="2">
        <v>7.0</v>
      </c>
      <c r="O16" s="2" t="s">
        <v>150</v>
      </c>
      <c r="P16">
        <f t="shared" si="2"/>
        <v>1.4</v>
      </c>
      <c r="Q16" s="2" t="s">
        <v>86</v>
      </c>
      <c r="R16">
        <f t="shared" si="3"/>
        <v>18.6</v>
      </c>
      <c r="T16" s="87">
        <f t="shared" si="13"/>
        <v>0.1098</v>
      </c>
      <c r="U16" s="2" t="s">
        <v>1399</v>
      </c>
      <c r="V16" s="215">
        <f t="shared" si="14"/>
        <v>36.96353369</v>
      </c>
      <c r="W16" s="2" t="s">
        <v>1423</v>
      </c>
      <c r="Y16" s="74">
        <f t="shared" si="15"/>
        <v>3696.353369</v>
      </c>
      <c r="Z16" s="214" t="s">
        <v>1409</v>
      </c>
      <c r="AA16" s="74">
        <f t="shared" si="16"/>
        <v>7392.706737</v>
      </c>
      <c r="AE16" s="25"/>
      <c r="AF16" s="25"/>
      <c r="AG16" s="25"/>
      <c r="AH16" s="25"/>
      <c r="AZ16">
        <f t="shared" si="11"/>
        <v>0.0000006</v>
      </c>
    </row>
    <row r="17">
      <c r="A17" s="220">
        <v>0.01</v>
      </c>
      <c r="B17" s="2">
        <v>0.02</v>
      </c>
      <c r="C17" s="2" t="s">
        <v>1435</v>
      </c>
      <c r="D17" s="2"/>
      <c r="E17" s="2"/>
      <c r="F17" s="2">
        <v>532.0</v>
      </c>
      <c r="G17" s="2" t="s">
        <v>689</v>
      </c>
      <c r="I17" s="206"/>
      <c r="J17" s="206"/>
      <c r="K17" s="2"/>
      <c r="L17" s="206"/>
      <c r="M17" s="2"/>
      <c r="N17" s="2">
        <v>20.0</v>
      </c>
      <c r="O17" s="2"/>
      <c r="Q17" s="2"/>
      <c r="T17" s="87">
        <f>100*1.22*AZ17*$L$6 / ($C$5*2)</f>
        <v>0.194712</v>
      </c>
      <c r="U17" s="2"/>
      <c r="V17" s="215"/>
      <c r="W17" s="2"/>
      <c r="Y17" s="74"/>
      <c r="Z17" s="214"/>
      <c r="AA17" s="74"/>
      <c r="AE17" s="25"/>
      <c r="AF17" s="25"/>
      <c r="AG17" s="25"/>
      <c r="AH17" s="25"/>
      <c r="AZ17">
        <f t="shared" si="11"/>
        <v>0.000000532</v>
      </c>
    </row>
    <row r="18">
      <c r="C18" s="2" t="s">
        <v>1436</v>
      </c>
      <c r="D18" s="2"/>
      <c r="E18" s="2"/>
      <c r="F18" s="2">
        <v>400.0</v>
      </c>
      <c r="G18" s="2" t="s">
        <v>689</v>
      </c>
      <c r="I18" s="206"/>
      <c r="J18" s="206">
        <v>1.0</v>
      </c>
      <c r="K18" s="2" t="s">
        <v>90</v>
      </c>
      <c r="L18" s="206">
        <f t="shared" ref="L18:L19" si="17">J18*$C$7</f>
        <v>20</v>
      </c>
      <c r="M18" s="2" t="s">
        <v>38</v>
      </c>
      <c r="N18" s="2">
        <v>3.0</v>
      </c>
      <c r="O18" s="2" t="s">
        <v>150</v>
      </c>
      <c r="P18">
        <f t="shared" ref="P18:P19" si="18">L18*N18/100</f>
        <v>0.6</v>
      </c>
      <c r="Q18" s="2" t="s">
        <v>86</v>
      </c>
      <c r="R18">
        <f t="shared" ref="R18:R19" si="19">L18-P18</f>
        <v>19.4</v>
      </c>
      <c r="T18" s="87">
        <f t="shared" ref="T18:T19" si="20">0.5*100*1.22*AZ18*$L$6 / ($C$5*2)</f>
        <v>0.0732</v>
      </c>
      <c r="U18" s="2" t="s">
        <v>1399</v>
      </c>
      <c r="V18" s="215">
        <f t="shared" ref="V18:V19" si="21">P18/(PI()*T18^2)</f>
        <v>35.64340748</v>
      </c>
      <c r="W18" s="2" t="s">
        <v>1423</v>
      </c>
      <c r="Y18" s="74">
        <f t="shared" ref="Y18:Y19" si="22">V18/10*1000</f>
        <v>3564.340748</v>
      </c>
      <c r="Z18" s="214" t="s">
        <v>1409</v>
      </c>
      <c r="AA18" s="74">
        <f t="shared" ref="AA18:AA19" si="23">V18/5*1000</f>
        <v>7128.681497</v>
      </c>
      <c r="AE18" s="25"/>
      <c r="AF18" s="25"/>
      <c r="AG18" s="25"/>
      <c r="AH18" s="25"/>
      <c r="AZ18">
        <f t="shared" si="11"/>
        <v>0.0000004</v>
      </c>
    </row>
    <row r="19">
      <c r="C19" s="221" t="s">
        <v>1437</v>
      </c>
      <c r="D19" s="221"/>
      <c r="E19" s="221"/>
      <c r="F19" s="221">
        <v>200.0</v>
      </c>
      <c r="G19" s="221" t="s">
        <v>689</v>
      </c>
      <c r="H19" s="222"/>
      <c r="I19" s="221"/>
      <c r="J19" s="221">
        <v>1.0</v>
      </c>
      <c r="K19" s="221" t="s">
        <v>90</v>
      </c>
      <c r="L19" s="221">
        <f t="shared" si="17"/>
        <v>20</v>
      </c>
      <c r="M19" s="221" t="s">
        <v>38</v>
      </c>
      <c r="N19" s="221">
        <v>10.0</v>
      </c>
      <c r="O19" s="221" t="s">
        <v>150</v>
      </c>
      <c r="P19" s="222">
        <f t="shared" si="18"/>
        <v>2</v>
      </c>
      <c r="Q19" s="221" t="s">
        <v>86</v>
      </c>
      <c r="R19" s="222">
        <f t="shared" si="19"/>
        <v>18</v>
      </c>
      <c r="S19" s="221" t="s">
        <v>38</v>
      </c>
      <c r="T19" s="223">
        <f t="shared" si="20"/>
        <v>0.0366</v>
      </c>
      <c r="U19" s="221" t="s">
        <v>1399</v>
      </c>
      <c r="V19" s="210">
        <f t="shared" si="21"/>
        <v>475.2454331</v>
      </c>
      <c r="W19" s="221" t="s">
        <v>1423</v>
      </c>
      <c r="X19" s="222"/>
      <c r="Y19" s="224">
        <f t="shared" si="22"/>
        <v>47524.54331</v>
      </c>
      <c r="Z19" s="225" t="s">
        <v>1134</v>
      </c>
      <c r="AA19" s="224">
        <f t="shared" si="23"/>
        <v>95049.08662</v>
      </c>
      <c r="AB19" s="222"/>
      <c r="AE19" s="74">
        <f>Y19*1000</f>
        <v>47524543.31</v>
      </c>
      <c r="AF19" s="67" t="s">
        <v>1409</v>
      </c>
      <c r="AG19" s="25"/>
      <c r="AH19" s="25"/>
      <c r="AZ19">
        <f t="shared" si="11"/>
        <v>0.0000002</v>
      </c>
    </row>
    <row r="21">
      <c r="C21" s="5" t="s">
        <v>189</v>
      </c>
      <c r="D21" s="2">
        <v>0.1</v>
      </c>
      <c r="E21" s="2">
        <v>0.3</v>
      </c>
      <c r="F21" s="2">
        <v>1.0</v>
      </c>
      <c r="G21" s="2">
        <v>3.0</v>
      </c>
      <c r="I21" s="2">
        <v>9.0</v>
      </c>
      <c r="J21" s="2">
        <v>27.0</v>
      </c>
      <c r="K21" s="2">
        <v>100.0</v>
      </c>
      <c r="L21" s="52">
        <v>300.0</v>
      </c>
      <c r="M21" s="52">
        <v>1000.0</v>
      </c>
      <c r="N21" s="52">
        <v>2000.0</v>
      </c>
      <c r="O21" s="52">
        <v>10000.0</v>
      </c>
      <c r="P21" s="52">
        <v>20000.0</v>
      </c>
      <c r="Q21" s="52">
        <v>40000.0</v>
      </c>
      <c r="R21" s="2">
        <v>60000.0</v>
      </c>
    </row>
    <row r="22">
      <c r="B22" s="52" t="s">
        <v>1438</v>
      </c>
      <c r="C22" s="52" t="s">
        <v>1439</v>
      </c>
      <c r="D22" s="77">
        <f t="shared" ref="D22:G22" si="24">0.01*$L$14*$N$14  / (PI()*(0.61*10^-7*$F$14*D$21 / ($C$5*2))^2)  </f>
        <v>105787715124848</v>
      </c>
      <c r="E22" s="77">
        <f t="shared" si="24"/>
        <v>11754190569428</v>
      </c>
      <c r="F22" s="77">
        <f t="shared" si="24"/>
        <v>1057877151248</v>
      </c>
      <c r="G22" s="77">
        <f t="shared" si="24"/>
        <v>117541905694</v>
      </c>
      <c r="H22" s="77"/>
      <c r="I22" s="77">
        <f t="shared" ref="I22:R22" si="25">0.01*$L$14*$N$14  / (PI()*(0.61*10^-7*$F$14*I$21 / ($C$5*2))^2)  </f>
        <v>13060211744</v>
      </c>
      <c r="J22" s="77">
        <f t="shared" si="25"/>
        <v>1451134638</v>
      </c>
      <c r="K22" s="77">
        <f t="shared" si="25"/>
        <v>105787715.1</v>
      </c>
      <c r="L22" s="77">
        <f t="shared" si="25"/>
        <v>11754190.57</v>
      </c>
      <c r="M22" s="77">
        <f t="shared" si="25"/>
        <v>1057877.151</v>
      </c>
      <c r="N22" s="77">
        <f t="shared" si="25"/>
        <v>264469.2878</v>
      </c>
      <c r="O22" s="77">
        <f t="shared" si="25"/>
        <v>10578.77151</v>
      </c>
      <c r="P22" s="77">
        <f t="shared" si="25"/>
        <v>2644.692878</v>
      </c>
      <c r="Q22" s="77">
        <f t="shared" si="25"/>
        <v>661.1732195</v>
      </c>
      <c r="R22" s="77">
        <f t="shared" si="25"/>
        <v>293.8547642</v>
      </c>
      <c r="U22" s="2" t="s">
        <v>1440</v>
      </c>
    </row>
    <row r="23">
      <c r="B23" s="2" t="s">
        <v>1409</v>
      </c>
      <c r="C23" s="52" t="s">
        <v>1441</v>
      </c>
      <c r="D23" s="77">
        <f t="shared" ref="D23:G23" si="26">D22*10^-($A$14*E$26*10^2)</f>
        <v>105763359407424</v>
      </c>
      <c r="E23" s="77">
        <f t="shared" si="26"/>
        <v>11748778810830</v>
      </c>
      <c r="F23" s="77">
        <f t="shared" si="26"/>
        <v>1057146647937</v>
      </c>
      <c r="G23" s="77">
        <f t="shared" si="26"/>
        <v>117433695439</v>
      </c>
      <c r="H23" s="77"/>
      <c r="I23" s="77">
        <f t="shared" ref="I23:R23" si="27">I22*10^-($A$14*J$26*10^2)</f>
        <v>13030174090</v>
      </c>
      <c r="J23" s="77">
        <f t="shared" si="27"/>
        <v>1446131242</v>
      </c>
      <c r="K23" s="77">
        <f t="shared" si="27"/>
        <v>105301664.7</v>
      </c>
      <c r="L23" s="77">
        <f t="shared" si="27"/>
        <v>11686722.38</v>
      </c>
      <c r="M23" s="77">
        <f t="shared" si="27"/>
        <v>1045767.732</v>
      </c>
      <c r="N23" s="77">
        <f t="shared" si="27"/>
        <v>258449.2318</v>
      </c>
      <c r="O23" s="77">
        <f t="shared" si="27"/>
        <v>10219.63152</v>
      </c>
      <c r="P23" s="77">
        <f t="shared" si="27"/>
        <v>2525.662091</v>
      </c>
      <c r="Q23" s="77">
        <f t="shared" si="27"/>
        <v>624.187769</v>
      </c>
      <c r="R23" s="77">
        <f t="shared" si="27"/>
        <v>261.8983343</v>
      </c>
      <c r="V23" s="2" t="s">
        <v>1442</v>
      </c>
      <c r="AZ23" s="157">
        <f>F23*10^-9</f>
        <v>1057.146648</v>
      </c>
    </row>
    <row r="24">
      <c r="C24" s="52" t="s">
        <v>1443</v>
      </c>
      <c r="D24" s="157">
        <f t="shared" ref="D24:G24" si="28">D22*10^-($B$17*E$26*10^2)</f>
        <v>0</v>
      </c>
      <c r="E24" s="157">
        <f t="shared" si="28"/>
        <v>0</v>
      </c>
      <c r="F24" s="157">
        <f t="shared" si="28"/>
        <v>0</v>
      </c>
      <c r="G24" s="157">
        <f t="shared" si="28"/>
        <v>0</v>
      </c>
      <c r="N24" s="221"/>
      <c r="O24" s="221"/>
      <c r="P24" s="221"/>
      <c r="Q24" s="221"/>
      <c r="V24" s="2" t="s">
        <v>1444</v>
      </c>
      <c r="AB24">
        <f>50/100000</f>
        <v>0.0005</v>
      </c>
    </row>
    <row r="25">
      <c r="U25" s="216">
        <v>45574.0</v>
      </c>
      <c r="V25" s="2" t="s">
        <v>1445</v>
      </c>
      <c r="Z25" s="67"/>
    </row>
    <row r="26">
      <c r="B26" s="2"/>
      <c r="C26" s="5" t="s">
        <v>295</v>
      </c>
      <c r="D26" s="2">
        <v>1.0</v>
      </c>
      <c r="E26" s="2">
        <v>20.0</v>
      </c>
      <c r="F26" s="2">
        <v>40.0</v>
      </c>
      <c r="G26" s="2">
        <v>60.0</v>
      </c>
      <c r="H26" s="2">
        <v>80.0</v>
      </c>
      <c r="I26" s="2">
        <v>100.0</v>
      </c>
      <c r="J26" s="52">
        <v>200.0</v>
      </c>
      <c r="K26" s="2">
        <v>300.0</v>
      </c>
      <c r="L26" s="2">
        <v>400.0</v>
      </c>
      <c r="M26" s="2">
        <v>500.0</v>
      </c>
      <c r="N26" s="2">
        <v>1000.0</v>
      </c>
      <c r="O26" s="52">
        <v>2000.0</v>
      </c>
      <c r="P26" s="52">
        <v>3000.0</v>
      </c>
      <c r="Q26" s="52">
        <v>4000.0</v>
      </c>
      <c r="R26" s="52">
        <v>5000.0</v>
      </c>
      <c r="S26" s="2">
        <v>10000.0</v>
      </c>
      <c r="T26" s="2">
        <v>20000.0</v>
      </c>
      <c r="V26" s="2" t="s">
        <v>1447</v>
      </c>
      <c r="Z26" s="25"/>
    </row>
    <row r="27">
      <c r="A27" s="2"/>
      <c r="B27" s="52" t="s">
        <v>1449</v>
      </c>
      <c r="C27" s="52" t="s">
        <v>1439</v>
      </c>
      <c r="D27" s="77">
        <f t="shared" ref="D27:T27" si="29">0.001*$L$19*$N$19  / (PI()*(0.61*10^-4*$F$19*D$26 / ($C$5*2))^2)  </f>
        <v>42772.08898</v>
      </c>
      <c r="E27" s="77">
        <f t="shared" si="29"/>
        <v>106.9302224</v>
      </c>
      <c r="F27" s="77">
        <f t="shared" si="29"/>
        <v>26.73255561</v>
      </c>
      <c r="G27" s="77">
        <f t="shared" si="29"/>
        <v>11.88113583</v>
      </c>
      <c r="H27" s="77">
        <f t="shared" si="29"/>
        <v>6.683138903</v>
      </c>
      <c r="I27" s="77">
        <f t="shared" si="29"/>
        <v>4.277208898</v>
      </c>
      <c r="J27" s="77">
        <f t="shared" si="29"/>
        <v>1.069302224</v>
      </c>
      <c r="K27" s="77">
        <f t="shared" si="29"/>
        <v>0.4752454331</v>
      </c>
      <c r="L27" s="77">
        <f t="shared" si="29"/>
        <v>0.2673255561</v>
      </c>
      <c r="M27" s="77">
        <f t="shared" si="29"/>
        <v>0.1710883559</v>
      </c>
      <c r="N27" s="77">
        <f t="shared" si="29"/>
        <v>0.04277208898</v>
      </c>
      <c r="O27" s="77">
        <f t="shared" si="29"/>
        <v>0.01069302224</v>
      </c>
      <c r="P27" s="77">
        <f t="shared" si="29"/>
        <v>0.004752454331</v>
      </c>
      <c r="Q27" s="77">
        <f t="shared" si="29"/>
        <v>0.002673255561</v>
      </c>
      <c r="R27" s="77">
        <f t="shared" si="29"/>
        <v>0.001710883559</v>
      </c>
      <c r="S27" s="77">
        <f t="shared" si="29"/>
        <v>0.0004277208898</v>
      </c>
      <c r="T27" s="77">
        <f t="shared" si="29"/>
        <v>0.0001069302224</v>
      </c>
      <c r="V27" s="2" t="s">
        <v>1454</v>
      </c>
      <c r="Z27" s="25"/>
    </row>
    <row r="28">
      <c r="A28" s="2"/>
      <c r="B28" s="2"/>
      <c r="C28" s="52"/>
      <c r="D28" s="2" t="s">
        <v>1457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2" t="s">
        <v>1458</v>
      </c>
      <c r="S28" s="52" t="s">
        <v>496</v>
      </c>
      <c r="T28" s="52" t="s">
        <v>1460</v>
      </c>
      <c r="U28" s="2" t="s">
        <v>1461</v>
      </c>
      <c r="V28" s="52" t="s">
        <v>1462</v>
      </c>
      <c r="W28" s="54"/>
      <c r="X28" s="52" t="s">
        <v>1463</v>
      </c>
      <c r="Z28" s="25"/>
    </row>
    <row r="29">
      <c r="A29" s="2"/>
      <c r="C29" s="52"/>
      <c r="D29" s="2" t="s">
        <v>1465</v>
      </c>
      <c r="F29" s="2" t="s">
        <v>1466</v>
      </c>
      <c r="I29" s="169">
        <v>0.1</v>
      </c>
      <c r="J29" s="169">
        <v>1.0</v>
      </c>
      <c r="K29" s="169">
        <v>10.0</v>
      </c>
      <c r="L29" s="169">
        <v>100.0</v>
      </c>
      <c r="M29" s="169">
        <v>1000.0</v>
      </c>
      <c r="N29" s="2" t="s">
        <v>38</v>
      </c>
      <c r="Z29" s="25"/>
    </row>
    <row r="30">
      <c r="A30" s="2"/>
      <c r="B30" s="2" t="s">
        <v>1467</v>
      </c>
      <c r="C30" s="2"/>
      <c r="D30" s="2" t="s">
        <v>1468</v>
      </c>
      <c r="I30" s="210">
        <f t="shared" ref="I30:M30" si="30">$C$5 * sqrt(10^-7*$L$14*$N$14 /I29  / PI()) / (0.305 * 10^-6 * $F$14)</f>
        <v>1028.531551</v>
      </c>
      <c r="J30" s="210">
        <f t="shared" si="30"/>
        <v>325.2502346</v>
      </c>
      <c r="K30" s="210">
        <f t="shared" si="30"/>
        <v>102.8531551</v>
      </c>
      <c r="L30" s="210">
        <f t="shared" si="30"/>
        <v>32.52502346</v>
      </c>
      <c r="M30" s="210">
        <f t="shared" si="30"/>
        <v>10.28531551</v>
      </c>
      <c r="N30" s="2" t="s">
        <v>295</v>
      </c>
      <c r="R30" s="2">
        <v>100.0</v>
      </c>
      <c r="S30" s="2">
        <v>1.0</v>
      </c>
      <c r="T30" s="2">
        <v>10.0</v>
      </c>
      <c r="U30" s="2">
        <v>1.0</v>
      </c>
      <c r="V30" s="2">
        <v>0.003</v>
      </c>
      <c r="W30" s="2" t="s">
        <v>1469</v>
      </c>
      <c r="X30" s="2">
        <v>1000.0</v>
      </c>
      <c r="Y30" s="2" t="s">
        <v>1399</v>
      </c>
      <c r="Z30" s="2" t="s">
        <v>1470</v>
      </c>
    </row>
    <row r="31">
      <c r="A31" s="2" t="s">
        <v>1471</v>
      </c>
      <c r="B31" s="2" t="s">
        <v>1472</v>
      </c>
      <c r="C31" s="2" t="s">
        <v>1473</v>
      </c>
      <c r="S31" s="2">
        <v>1.0</v>
      </c>
      <c r="T31" s="2">
        <v>10.0</v>
      </c>
      <c r="U31" s="2">
        <v>5.0</v>
      </c>
      <c r="V31" s="2">
        <v>0.016</v>
      </c>
      <c r="W31" s="2" t="s">
        <v>1469</v>
      </c>
      <c r="X31" s="2">
        <v>30.0</v>
      </c>
      <c r="Y31" s="2" t="s">
        <v>1399</v>
      </c>
      <c r="Z31" s="2" t="s">
        <v>1470</v>
      </c>
    </row>
    <row r="32">
      <c r="A32" s="2">
        <v>20.0</v>
      </c>
      <c r="B32" s="2">
        <v>40.0</v>
      </c>
      <c r="C32" s="2">
        <v>60.0</v>
      </c>
      <c r="M32" s="152" t="s">
        <v>1474</v>
      </c>
      <c r="S32" s="2">
        <v>1.0</v>
      </c>
      <c r="T32" s="2">
        <v>10.0</v>
      </c>
      <c r="U32" s="2">
        <v>20.0</v>
      </c>
      <c r="V32" s="2">
        <v>0.065</v>
      </c>
      <c r="X32" s="2">
        <v>2.0</v>
      </c>
      <c r="Z32" s="2" t="s">
        <v>1470</v>
      </c>
      <c r="AA32">
        <f>(5000*L19*C5^2)/(C6^2)</f>
        <v>2777.777778</v>
      </c>
      <c r="AF32" s="227" t="s">
        <v>1475</v>
      </c>
      <c r="AG32" s="228" t="s">
        <v>695</v>
      </c>
      <c r="AZ32">
        <f t="shared" ref="AZ32:AZ33" si="31">F32*10^-9</f>
        <v>0</v>
      </c>
    </row>
    <row r="33">
      <c r="J33" s="2">
        <v>3.0</v>
      </c>
      <c r="K33">
        <f>2*J33^2</f>
        <v>18</v>
      </c>
      <c r="M33" s="152" t="s">
        <v>1481</v>
      </c>
      <c r="N33" s="153"/>
      <c r="O33" s="153"/>
      <c r="P33" s="153"/>
      <c r="Q33" s="153"/>
      <c r="S33" s="2">
        <v>1.0</v>
      </c>
      <c r="T33" s="2">
        <v>10.0</v>
      </c>
      <c r="U33" s="2">
        <v>50.0</v>
      </c>
      <c r="V33" s="2">
        <v>0.16</v>
      </c>
      <c r="X33" s="2">
        <v>0.4</v>
      </c>
      <c r="Z33" s="2" t="s">
        <v>1470</v>
      </c>
      <c r="AE33" s="229"/>
      <c r="AF33" s="229"/>
      <c r="AG33" s="230"/>
      <c r="AZ33">
        <f t="shared" si="31"/>
        <v>0</v>
      </c>
    </row>
    <row r="34">
      <c r="A34" s="52" t="s">
        <v>1437</v>
      </c>
      <c r="B34" s="52" t="s">
        <v>1397</v>
      </c>
      <c r="C34" s="206">
        <v>20.0</v>
      </c>
      <c r="D34" s="2"/>
      <c r="E34" s="2"/>
      <c r="F34" s="2" t="s">
        <v>189</v>
      </c>
      <c r="M34" s="74">
        <f>sqrt( 5000*C5^2*L19)</f>
        <v>1581.13883</v>
      </c>
      <c r="S34" s="2">
        <v>1.0</v>
      </c>
      <c r="T34" s="67">
        <v>10.0</v>
      </c>
      <c r="U34" s="2">
        <v>100.0</v>
      </c>
      <c r="V34" s="2">
        <v>0.3</v>
      </c>
      <c r="X34" s="2">
        <v>0.1</v>
      </c>
      <c r="Z34" s="2" t="s">
        <v>1470</v>
      </c>
      <c r="AC34" s="157">
        <f>Y19/AA11</f>
        <v>11.52</v>
      </c>
      <c r="AE34" s="227"/>
      <c r="AF34" s="228" t="s">
        <v>1470</v>
      </c>
      <c r="AG34" s="227">
        <f>60*1.8</f>
        <v>108</v>
      </c>
      <c r="AH34" s="25">
        <f t="shared" ref="AH34:AH35" si="32">AG34/AG$36</f>
        <v>7.2</v>
      </c>
      <c r="AZ34" t="str">
        <f>#REF!*10^-9</f>
        <v>#REF!</v>
      </c>
    </row>
    <row r="35">
      <c r="B35" s="2" t="s">
        <v>1508</v>
      </c>
      <c r="C35" s="206">
        <v>2.0</v>
      </c>
      <c r="D35" s="2"/>
      <c r="E35" s="2"/>
      <c r="F35" s="2" t="s">
        <v>1510</v>
      </c>
      <c r="J35" s="2">
        <v>10.0</v>
      </c>
      <c r="K35">
        <f>J35^2*0.5</f>
        <v>50</v>
      </c>
      <c r="R35" s="2">
        <v>10.0</v>
      </c>
      <c r="S35" s="2">
        <v>0.1</v>
      </c>
      <c r="T35" s="2">
        <v>100.0</v>
      </c>
      <c r="U35" s="2">
        <v>20.0</v>
      </c>
      <c r="V35" s="2">
        <v>0.065</v>
      </c>
      <c r="X35" s="2">
        <v>2.0</v>
      </c>
      <c r="Y35" s="2" t="s">
        <v>1399</v>
      </c>
      <c r="Z35" s="2" t="s">
        <v>1470</v>
      </c>
      <c r="AE35" s="227"/>
      <c r="AF35" s="228" t="s">
        <v>1514</v>
      </c>
      <c r="AG35" s="227">
        <v>50.0</v>
      </c>
      <c r="AH35" s="25">
        <f t="shared" si="32"/>
        <v>3.333333333</v>
      </c>
    </row>
    <row r="36">
      <c r="D36" s="52" t="s">
        <v>1515</v>
      </c>
      <c r="AE36" s="227"/>
      <c r="AF36" s="228" t="s">
        <v>1516</v>
      </c>
      <c r="AG36" s="227">
        <v>15.0</v>
      </c>
      <c r="AH36" s="67">
        <v>1.0</v>
      </c>
    </row>
    <row r="37">
      <c r="C37">
        <f t="shared" ref="C37:C47" si="33">MIN(100000*D37*PI()*E37^2,D37)*10</f>
        <v>0.3</v>
      </c>
      <c r="D37">
        <f t="shared" ref="D37:D41" si="34">D38/10</f>
        <v>0.03</v>
      </c>
      <c r="E37">
        <f t="shared" ref="E37:E39" si="35">E39*10</f>
        <v>3</v>
      </c>
      <c r="X37" s="2">
        <v>0.0</v>
      </c>
      <c r="AB37" s="67"/>
      <c r="AF37" s="2" t="s">
        <v>1523</v>
      </c>
      <c r="AG37" s="25">
        <f>1.9*4.4</f>
        <v>8.36</v>
      </c>
      <c r="AH37" s="25">
        <f t="shared" ref="AH37:AH38" si="36">AG37/AG$36</f>
        <v>0.5573333333</v>
      </c>
    </row>
    <row r="38">
      <c r="B38" s="2" t="s">
        <v>1526</v>
      </c>
      <c r="C38">
        <f t="shared" si="33"/>
        <v>3</v>
      </c>
      <c r="D38">
        <f t="shared" si="34"/>
        <v>0.3</v>
      </c>
      <c r="E38">
        <f t="shared" si="35"/>
        <v>1</v>
      </c>
      <c r="R38" s="2">
        <v>10.0</v>
      </c>
      <c r="S38" s="2">
        <v>0.1</v>
      </c>
      <c r="T38" s="2">
        <v>50.0</v>
      </c>
      <c r="U38" s="2">
        <v>20.0</v>
      </c>
      <c r="V38" s="2">
        <v>0.065</v>
      </c>
      <c r="X38" s="2">
        <v>1.0</v>
      </c>
      <c r="Y38" s="2" t="s">
        <v>1399</v>
      </c>
      <c r="Z38" s="2" t="s">
        <v>1470</v>
      </c>
      <c r="AB38" s="25">
        <f t="shared" ref="AB38:AB42" si="37">$X$40/X38</f>
        <v>6</v>
      </c>
      <c r="AC38">
        <f t="shared" ref="AC38:AC39" si="38">AB38/3</f>
        <v>2</v>
      </c>
      <c r="AE38" s="227"/>
      <c r="AF38" s="228" t="s">
        <v>1529</v>
      </c>
      <c r="AG38" s="227">
        <v>2.0</v>
      </c>
      <c r="AH38" s="74">
        <f t="shared" si="36"/>
        <v>0.1333333333</v>
      </c>
    </row>
    <row r="39">
      <c r="B39" s="2" t="s">
        <v>1530</v>
      </c>
      <c r="C39">
        <f t="shared" si="33"/>
        <v>30</v>
      </c>
      <c r="D39">
        <f t="shared" si="34"/>
        <v>3</v>
      </c>
      <c r="E39">
        <f t="shared" si="35"/>
        <v>0.3</v>
      </c>
      <c r="M39" s="2" t="s">
        <v>1531</v>
      </c>
      <c r="R39" s="2">
        <v>10.0</v>
      </c>
      <c r="S39" s="2">
        <v>0.1</v>
      </c>
      <c r="T39" s="2">
        <v>50.0</v>
      </c>
      <c r="U39" s="2">
        <v>20.0</v>
      </c>
      <c r="V39" s="2">
        <v>0.065</v>
      </c>
      <c r="X39" s="2">
        <v>2.0</v>
      </c>
      <c r="Y39" s="2" t="s">
        <v>1399</v>
      </c>
      <c r="Z39" s="2" t="s">
        <v>1514</v>
      </c>
      <c r="AB39" s="25">
        <f t="shared" si="37"/>
        <v>3</v>
      </c>
      <c r="AC39">
        <f t="shared" si="38"/>
        <v>1</v>
      </c>
      <c r="AE39" s="227"/>
      <c r="AF39" s="228" t="s">
        <v>1532</v>
      </c>
      <c r="AG39" s="229"/>
    </row>
    <row r="40">
      <c r="C40">
        <f t="shared" si="33"/>
        <v>300</v>
      </c>
      <c r="D40">
        <f t="shared" si="34"/>
        <v>30</v>
      </c>
      <c r="E40" s="2">
        <v>0.1</v>
      </c>
      <c r="R40" s="2">
        <v>10.0</v>
      </c>
      <c r="S40" s="2">
        <v>0.1</v>
      </c>
      <c r="T40" s="2">
        <v>50.0</v>
      </c>
      <c r="U40" s="2">
        <v>20.0</v>
      </c>
      <c r="V40" s="2">
        <v>0.065</v>
      </c>
      <c r="X40" s="2">
        <v>6.0</v>
      </c>
      <c r="Y40" s="2" t="s">
        <v>1399</v>
      </c>
      <c r="Z40" s="2" t="s">
        <v>1516</v>
      </c>
      <c r="AB40" s="25">
        <f t="shared" si="37"/>
        <v>1</v>
      </c>
      <c r="AC40" s="67">
        <v>0.0</v>
      </c>
      <c r="AF40" s="2" t="s">
        <v>1533</v>
      </c>
      <c r="AG40" s="2">
        <v>120.0</v>
      </c>
      <c r="AH40" s="25">
        <f>AG40/AG$36</f>
        <v>8</v>
      </c>
    </row>
    <row r="41">
      <c r="C41">
        <f t="shared" si="33"/>
        <v>3000</v>
      </c>
      <c r="D41">
        <f t="shared" si="34"/>
        <v>300</v>
      </c>
      <c r="E41" s="2">
        <v>0.03</v>
      </c>
      <c r="F41" s="2" t="s">
        <v>1534</v>
      </c>
      <c r="I41" s="52" t="s">
        <v>1535</v>
      </c>
      <c r="J41" s="105" t="s">
        <v>1352</v>
      </c>
      <c r="L41" s="2" t="s">
        <v>189</v>
      </c>
      <c r="M41" s="2" t="s">
        <v>1537</v>
      </c>
      <c r="O41" s="232" t="s">
        <v>1538</v>
      </c>
      <c r="P41" s="105" t="s">
        <v>1470</v>
      </c>
      <c r="Q41" s="105" t="s">
        <v>1352</v>
      </c>
      <c r="R41" s="106"/>
      <c r="S41" s="233" t="s">
        <v>1539</v>
      </c>
      <c r="T41" s="106"/>
      <c r="U41" s="106"/>
      <c r="V41" s="106"/>
      <c r="W41" s="107"/>
      <c r="X41" s="2">
        <v>6.5</v>
      </c>
      <c r="Z41" s="2" t="s">
        <v>1543</v>
      </c>
      <c r="AB41" s="25">
        <f t="shared" si="37"/>
        <v>0.9230769231</v>
      </c>
      <c r="AC41" s="25"/>
    </row>
    <row r="42">
      <c r="B42" s="2" t="s">
        <v>1550</v>
      </c>
      <c r="C42">
        <f t="shared" si="33"/>
        <v>30000</v>
      </c>
      <c r="D42">
        <f t="shared" ref="D42:D47" si="39">P42*1000000</f>
        <v>3000</v>
      </c>
      <c r="E42" s="2">
        <v>0.01</v>
      </c>
      <c r="F42" s="25">
        <f t="shared" ref="F42:F47" si="40">MIN(100000000*P42*PI()*H42^2,P42*1000)*10</f>
        <v>30</v>
      </c>
      <c r="G42">
        <f t="shared" ref="G42:G47" si="41">H42*20000</f>
        <v>480</v>
      </c>
      <c r="H42" s="2">
        <v>0.024</v>
      </c>
      <c r="I42" s="25">
        <f t="shared" ref="I42:I47" si="42">MIN(10000000*P42*PI()*M42^2,P42*100)*10</f>
        <v>3</v>
      </c>
      <c r="J42">
        <f t="shared" ref="J42:J47" si="43">M42*20000</f>
        <v>1000</v>
      </c>
      <c r="L42" s="2">
        <v>300.0</v>
      </c>
      <c r="M42" s="2">
        <v>0.05</v>
      </c>
      <c r="O42" s="25">
        <f>MIN(100000*P42*PI()*V42^2,P42)</f>
        <v>0.003</v>
      </c>
      <c r="P42" s="2">
        <v>0.003</v>
      </c>
      <c r="Q42">
        <f t="shared" ref="Q42:Q49" si="44">V42*20000</f>
        <v>2000</v>
      </c>
      <c r="U42" s="2">
        <v>300.0</v>
      </c>
      <c r="V42" s="2">
        <v>0.1</v>
      </c>
      <c r="W42" s="55"/>
      <c r="X42" s="2">
        <v>165.0</v>
      </c>
      <c r="Z42" s="2" t="s">
        <v>1529</v>
      </c>
      <c r="AB42" s="38">
        <f t="shared" si="37"/>
        <v>0.03636363636</v>
      </c>
      <c r="AC42" s="67">
        <v>-1.0</v>
      </c>
    </row>
    <row r="43">
      <c r="C43" s="25">
        <f t="shared" si="33"/>
        <v>333333.3333</v>
      </c>
      <c r="D43">
        <f t="shared" si="39"/>
        <v>33333.33333</v>
      </c>
      <c r="E43">
        <f t="shared" ref="E43:E47" si="45">E41/10</f>
        <v>0.003</v>
      </c>
      <c r="F43" s="25">
        <f t="shared" si="40"/>
        <v>333.3333333</v>
      </c>
      <c r="G43">
        <f t="shared" si="41"/>
        <v>120</v>
      </c>
      <c r="H43" s="2">
        <v>0.006</v>
      </c>
      <c r="I43" s="25">
        <f t="shared" si="42"/>
        <v>33.33333333</v>
      </c>
      <c r="J43">
        <f t="shared" si="43"/>
        <v>300</v>
      </c>
      <c r="K43" s="2">
        <v>2.4</v>
      </c>
      <c r="L43" s="2">
        <v>100.0</v>
      </c>
      <c r="M43" s="2">
        <v>0.015</v>
      </c>
      <c r="O43" s="25">
        <f t="shared" ref="O43:O47" si="46">MIN(100000*P43*PI()*V43^2,P43)*10</f>
        <v>0.3333333333</v>
      </c>
      <c r="P43" s="38">
        <f t="shared" ref="P43:P44" si="47">P44/9</f>
        <v>0.03333333333</v>
      </c>
      <c r="Q43">
        <f t="shared" si="44"/>
        <v>600</v>
      </c>
      <c r="U43" s="2">
        <v>100.0</v>
      </c>
      <c r="V43" s="2">
        <v>0.03</v>
      </c>
      <c r="W43" s="55"/>
    </row>
    <row r="44">
      <c r="C44" s="25">
        <f t="shared" si="33"/>
        <v>942477.7961</v>
      </c>
      <c r="D44">
        <f t="shared" si="39"/>
        <v>300000</v>
      </c>
      <c r="E44">
        <f t="shared" si="45"/>
        <v>0.001</v>
      </c>
      <c r="F44" s="25">
        <f t="shared" si="40"/>
        <v>3000</v>
      </c>
      <c r="G44">
        <f t="shared" si="41"/>
        <v>40</v>
      </c>
      <c r="H44" s="2">
        <v>0.002</v>
      </c>
      <c r="I44" s="25">
        <f t="shared" si="42"/>
        <v>300</v>
      </c>
      <c r="J44">
        <f t="shared" si="43"/>
        <v>100</v>
      </c>
      <c r="L44" s="2">
        <v>30.0</v>
      </c>
      <c r="M44" s="2">
        <v>0.005</v>
      </c>
      <c r="O44" s="25">
        <f t="shared" si="46"/>
        <v>3</v>
      </c>
      <c r="P44">
        <f t="shared" si="47"/>
        <v>0.3</v>
      </c>
      <c r="Q44">
        <f t="shared" si="44"/>
        <v>200</v>
      </c>
      <c r="R44" s="2">
        <v>10.0</v>
      </c>
      <c r="S44" s="2">
        <v>0.1</v>
      </c>
      <c r="T44" s="2">
        <v>100.0</v>
      </c>
      <c r="U44" s="2">
        <v>30.0</v>
      </c>
      <c r="V44" s="2">
        <v>0.01</v>
      </c>
      <c r="W44" s="51" t="s">
        <v>1594</v>
      </c>
      <c r="X44" s="2">
        <v>1.0</v>
      </c>
      <c r="Y44" s="2" t="s">
        <v>1470</v>
      </c>
      <c r="Z44" s="2">
        <v>7.0</v>
      </c>
      <c r="AA44" s="2" t="s">
        <v>1595</v>
      </c>
      <c r="AB44" s="2">
        <v>1.7</v>
      </c>
      <c r="AC44" s="2" t="s">
        <v>1596</v>
      </c>
      <c r="AD44" s="2">
        <v>1.0</v>
      </c>
      <c r="AE44" s="2" t="s">
        <v>1533</v>
      </c>
      <c r="AF44" s="2">
        <v>50.0</v>
      </c>
      <c r="AG44" s="2" t="s">
        <v>1529</v>
      </c>
    </row>
    <row r="45">
      <c r="C45" s="25">
        <f t="shared" si="33"/>
        <v>763407.0148</v>
      </c>
      <c r="D45">
        <f t="shared" si="39"/>
        <v>2700000</v>
      </c>
      <c r="E45">
        <f t="shared" si="45"/>
        <v>0.0003</v>
      </c>
      <c r="F45" s="25">
        <f t="shared" si="40"/>
        <v>3053.628059</v>
      </c>
      <c r="G45">
        <f t="shared" si="41"/>
        <v>12</v>
      </c>
      <c r="H45" s="2">
        <v>6.0E-4</v>
      </c>
      <c r="I45" s="25">
        <f t="shared" si="42"/>
        <v>1908.517537</v>
      </c>
      <c r="J45">
        <f t="shared" si="43"/>
        <v>30</v>
      </c>
      <c r="L45" s="2">
        <v>9.0</v>
      </c>
      <c r="M45" s="2">
        <v>0.0015</v>
      </c>
      <c r="O45" s="25">
        <f t="shared" si="46"/>
        <v>27</v>
      </c>
      <c r="P45" s="2">
        <v>2.7</v>
      </c>
      <c r="Q45">
        <f t="shared" si="44"/>
        <v>60</v>
      </c>
      <c r="T45" s="2">
        <v>100.0</v>
      </c>
      <c r="U45" s="2">
        <v>9.0</v>
      </c>
      <c r="V45" s="2">
        <v>0.003</v>
      </c>
      <c r="W45" s="55"/>
      <c r="X45" s="2">
        <v>10.0</v>
      </c>
      <c r="Y45" s="2" t="s">
        <v>1470</v>
      </c>
    </row>
    <row r="46">
      <c r="C46" s="25">
        <f t="shared" si="33"/>
        <v>753982.2369</v>
      </c>
      <c r="D46">
        <f t="shared" si="39"/>
        <v>24000000</v>
      </c>
      <c r="E46">
        <f t="shared" si="45"/>
        <v>0.0001</v>
      </c>
      <c r="F46" s="25">
        <f t="shared" si="40"/>
        <v>3015.928947</v>
      </c>
      <c r="G46">
        <f t="shared" si="41"/>
        <v>4</v>
      </c>
      <c r="H46" s="2">
        <v>2.0E-4</v>
      </c>
      <c r="I46" s="25">
        <f t="shared" si="42"/>
        <v>1884.955592</v>
      </c>
      <c r="J46">
        <f t="shared" si="43"/>
        <v>10</v>
      </c>
      <c r="L46" s="2">
        <v>3.0</v>
      </c>
      <c r="M46" s="2">
        <v>5.0E-4</v>
      </c>
      <c r="O46" s="25">
        <f t="shared" si="46"/>
        <v>75.39822369</v>
      </c>
      <c r="P46" s="2">
        <v>24.0</v>
      </c>
      <c r="Q46">
        <f t="shared" si="44"/>
        <v>20</v>
      </c>
      <c r="T46" s="2">
        <v>100.0</v>
      </c>
      <c r="U46" s="2">
        <v>3.0</v>
      </c>
      <c r="V46" s="2">
        <v>0.001</v>
      </c>
      <c r="W46" s="55"/>
      <c r="X46" s="2">
        <v>100.0</v>
      </c>
      <c r="Y46" s="2" t="s">
        <v>1470</v>
      </c>
      <c r="Z46" s="2"/>
    </row>
    <row r="47">
      <c r="C47" s="25">
        <f t="shared" si="33"/>
        <v>610725.6119</v>
      </c>
      <c r="D47">
        <f t="shared" si="39"/>
        <v>216000000</v>
      </c>
      <c r="E47">
        <f t="shared" si="45"/>
        <v>0.00003</v>
      </c>
      <c r="F47" s="25">
        <f t="shared" si="40"/>
        <v>2442.902447</v>
      </c>
      <c r="G47">
        <f t="shared" si="41"/>
        <v>1.2</v>
      </c>
      <c r="H47" s="2">
        <v>6.0E-5</v>
      </c>
      <c r="I47" s="25">
        <f t="shared" si="42"/>
        <v>1526.81403</v>
      </c>
      <c r="J47">
        <f t="shared" si="43"/>
        <v>3</v>
      </c>
      <c r="L47" s="234">
        <v>1.0</v>
      </c>
      <c r="M47" s="2">
        <v>1.5E-4</v>
      </c>
      <c r="N47" s="2"/>
      <c r="O47" s="25">
        <f t="shared" si="46"/>
        <v>61.07256119</v>
      </c>
      <c r="P47" s="235">
        <f>9*P46</f>
        <v>216</v>
      </c>
      <c r="Q47">
        <f t="shared" si="44"/>
        <v>6</v>
      </c>
      <c r="R47" s="234">
        <v>10.0</v>
      </c>
      <c r="S47" s="234">
        <v>0.1</v>
      </c>
      <c r="T47" s="234">
        <v>100.0</v>
      </c>
      <c r="U47" s="234">
        <v>1.0</v>
      </c>
      <c r="V47" s="234">
        <v>3.0E-4</v>
      </c>
      <c r="W47" s="237" t="s">
        <v>1637</v>
      </c>
      <c r="X47" s="2">
        <v>1500.0</v>
      </c>
      <c r="Y47" s="2" t="s">
        <v>1470</v>
      </c>
      <c r="Z47" s="2"/>
    </row>
    <row r="48">
      <c r="O48" s="25">
        <f t="shared" ref="O48:O49" si="48">MIN(100000*P48*PI()*V48^2,P48)</f>
        <v>0.6107256119</v>
      </c>
      <c r="P48">
        <f t="shared" ref="P48:P49" si="49">P47*10</f>
        <v>2160</v>
      </c>
      <c r="Q48">
        <f t="shared" si="44"/>
        <v>0.6</v>
      </c>
      <c r="S48" s="2"/>
      <c r="T48" s="2"/>
      <c r="U48" s="2">
        <v>0.3</v>
      </c>
      <c r="V48" s="2">
        <v>3.0E-5</v>
      </c>
      <c r="X48" s="2"/>
      <c r="Y48" s="2"/>
      <c r="Z48" s="2"/>
    </row>
    <row r="49">
      <c r="O49" s="25">
        <f t="shared" si="48"/>
        <v>0.6785840132</v>
      </c>
      <c r="P49">
        <f t="shared" si="49"/>
        <v>21600</v>
      </c>
      <c r="Q49">
        <f t="shared" si="44"/>
        <v>0.2</v>
      </c>
      <c r="U49" s="2">
        <v>0.1</v>
      </c>
      <c r="V49" s="2">
        <v>1.0E-5</v>
      </c>
      <c r="Z49" s="2" t="s">
        <v>1533</v>
      </c>
    </row>
    <row r="50">
      <c r="S50" s="2">
        <v>10.0</v>
      </c>
      <c r="T50" s="2">
        <v>50.0</v>
      </c>
      <c r="U50" s="2">
        <v>20.0</v>
      </c>
      <c r="V50" s="2">
        <v>0.065</v>
      </c>
      <c r="X50" s="2">
        <v>80.0</v>
      </c>
      <c r="Y50" s="2" t="s">
        <v>1399</v>
      </c>
      <c r="Z50" s="2" t="s">
        <v>1470</v>
      </c>
    </row>
    <row r="51">
      <c r="I51" s="25"/>
      <c r="J51" s="25"/>
      <c r="K51" s="25"/>
      <c r="L51" s="25"/>
      <c r="M51" s="25"/>
      <c r="N51" s="25"/>
      <c r="O51" s="25"/>
      <c r="P51" s="25"/>
      <c r="Q51" s="25"/>
      <c r="X51" s="2">
        <v>260.0</v>
      </c>
      <c r="Y51" s="2" t="s">
        <v>1399</v>
      </c>
    </row>
    <row r="52">
      <c r="C52" s="2" t="s">
        <v>71</v>
      </c>
      <c r="D52" s="206"/>
      <c r="E52" s="206"/>
      <c r="F52" s="206">
        <v>20.0</v>
      </c>
      <c r="K52" s="2" t="s">
        <v>1659</v>
      </c>
      <c r="T52" s="2" t="s">
        <v>1660</v>
      </c>
      <c r="AB52" s="2" t="s">
        <v>1661</v>
      </c>
      <c r="AE52">
        <f>($AE$4 * $C$35)</f>
        <v>1</v>
      </c>
      <c r="AQ52" s="5" t="s">
        <v>1669</v>
      </c>
      <c r="AT52" s="2" t="s">
        <v>1670</v>
      </c>
    </row>
    <row r="53">
      <c r="C53" s="52" t="s">
        <v>733</v>
      </c>
      <c r="D53" s="52"/>
      <c r="E53" s="52"/>
      <c r="F53" s="52">
        <v>50.0</v>
      </c>
      <c r="G53" s="52"/>
      <c r="H53" s="52">
        <v>100.0</v>
      </c>
      <c r="I53" s="52"/>
      <c r="J53" s="52">
        <v>200.0</v>
      </c>
      <c r="K53" s="52">
        <v>300.0</v>
      </c>
      <c r="L53" s="52">
        <v>400.0</v>
      </c>
      <c r="M53" s="52">
        <v>500.0</v>
      </c>
      <c r="N53" s="52">
        <v>600.0</v>
      </c>
      <c r="O53" s="52">
        <v>700.0</v>
      </c>
      <c r="P53" s="52">
        <v>800.0</v>
      </c>
      <c r="Q53" s="52">
        <v>900.0</v>
      </c>
      <c r="R53" s="52">
        <v>1000.0</v>
      </c>
      <c r="T53" s="52" t="s">
        <v>1673</v>
      </c>
      <c r="U53" s="52" t="s">
        <v>1674</v>
      </c>
      <c r="W53" s="243" t="s">
        <v>1676</v>
      </c>
      <c r="AB53" s="2" t="s">
        <v>1677</v>
      </c>
    </row>
    <row r="54">
      <c r="C54" s="102">
        <v>1.0</v>
      </c>
      <c r="D54" s="25"/>
      <c r="E54" s="25"/>
      <c r="F54" s="25">
        <f t="shared" ref="F54:F64" si="51">$F$52*$N$19  / (PI()*(0.61*$F$19*F$53*10^-4 / ($C54*2))^2)  </f>
        <v>684.3534237</v>
      </c>
      <c r="G54" s="74"/>
      <c r="H54" s="74">
        <f t="shared" ref="H54:H64" si="52">$F$52*$N$19  / (PI()*(0.61*$F$19*H$53*10^-4 / ($C54*2))^2)  </f>
        <v>171.0883559</v>
      </c>
      <c r="I54" s="74"/>
      <c r="J54" s="74">
        <f t="shared" ref="J54:R54" si="50">$F$52*$N$19  / (PI()*(0.61*$F$19*J$53*10^-4 / ($C54*2))^2)  </f>
        <v>42.77208898</v>
      </c>
      <c r="K54" s="74">
        <f t="shared" si="50"/>
        <v>19.00981732</v>
      </c>
      <c r="L54" s="74">
        <f t="shared" si="50"/>
        <v>10.69302224</v>
      </c>
      <c r="M54" s="74">
        <f t="shared" si="50"/>
        <v>6.843534237</v>
      </c>
      <c r="N54" s="74">
        <f t="shared" si="50"/>
        <v>4.752454331</v>
      </c>
      <c r="O54" s="74">
        <f t="shared" si="50"/>
        <v>3.4915991</v>
      </c>
      <c r="P54" s="74">
        <f t="shared" si="50"/>
        <v>2.673255561</v>
      </c>
      <c r="Q54" s="74">
        <f t="shared" si="50"/>
        <v>2.112201925</v>
      </c>
      <c r="R54" s="74">
        <f t="shared" si="50"/>
        <v>1.710883559</v>
      </c>
      <c r="T54" s="239">
        <f t="shared" ref="T54:T64" si="54">50*C54*$F$52</f>
        <v>1000</v>
      </c>
      <c r="U54" s="239">
        <f t="shared" ref="U54:U64" si="55">20*C54*$F$72</f>
        <v>2000</v>
      </c>
      <c r="V54" s="244" t="s">
        <v>1695</v>
      </c>
      <c r="W54" s="74">
        <f t="shared" ref="W54:W64" si="56">(T54-U54)/12</f>
        <v>-83.33333333</v>
      </c>
      <c r="Y54">
        <f t="shared" ref="Y54:Y64" si="57">T54*1.5</f>
        <v>1500</v>
      </c>
      <c r="AA54" s="52">
        <v>50.0</v>
      </c>
      <c r="AB54" s="52">
        <v>100.0</v>
      </c>
      <c r="AC54" s="52"/>
      <c r="AD54" s="52"/>
      <c r="AE54" s="52">
        <v>200.0</v>
      </c>
      <c r="AF54" s="52">
        <v>300.0</v>
      </c>
      <c r="AG54" s="52">
        <v>400.0</v>
      </c>
      <c r="AH54" s="52">
        <v>500.0</v>
      </c>
      <c r="AI54" s="52">
        <v>600.0</v>
      </c>
      <c r="AJ54" s="52">
        <v>700.0</v>
      </c>
      <c r="AK54" s="52">
        <v>800.0</v>
      </c>
      <c r="AL54" s="52">
        <v>900.0</v>
      </c>
      <c r="AM54" s="52">
        <v>1000.0</v>
      </c>
      <c r="AP54" s="25">
        <f>F54/C54^2</f>
        <v>684.3534237</v>
      </c>
      <c r="AQ54" s="74">
        <f t="shared" ref="AQ54:AQ64" si="61">F54/C54^2</f>
        <v>684.3534237</v>
      </c>
      <c r="AS54" s="67">
        <f t="shared" ref="AS54:AS64" si="62">AQ54*C54^2</f>
        <v>684.3534237</v>
      </c>
      <c r="AT54">
        <f t="shared" ref="AT54:AT64" si="63">5*C54^2</f>
        <v>5</v>
      </c>
    </row>
    <row r="55">
      <c r="C55" s="102">
        <v>2.0</v>
      </c>
      <c r="D55" s="25"/>
      <c r="E55" s="25"/>
      <c r="F55" s="25">
        <f t="shared" si="51"/>
        <v>2737.413695</v>
      </c>
      <c r="G55" s="74"/>
      <c r="H55" s="74">
        <f t="shared" si="52"/>
        <v>684.3534237</v>
      </c>
      <c r="I55" s="74"/>
      <c r="J55" s="74">
        <f t="shared" ref="J55:R55" si="53">$F$52*$N$19  / (PI()*(0.61*$F$19*J$53*10^-4 / ($C55*2))^2)  </f>
        <v>171.0883559</v>
      </c>
      <c r="K55" s="74">
        <f t="shared" si="53"/>
        <v>76.0392693</v>
      </c>
      <c r="L55" s="74">
        <f t="shared" si="53"/>
        <v>42.77208898</v>
      </c>
      <c r="M55" s="74">
        <f t="shared" si="53"/>
        <v>27.37413695</v>
      </c>
      <c r="N55" s="74">
        <f t="shared" si="53"/>
        <v>19.00981732</v>
      </c>
      <c r="O55" s="74">
        <f t="shared" si="53"/>
        <v>13.9663964</v>
      </c>
      <c r="P55" s="74">
        <f t="shared" si="53"/>
        <v>10.69302224</v>
      </c>
      <c r="Q55" s="74">
        <f t="shared" si="53"/>
        <v>8.4488077</v>
      </c>
      <c r="R55" s="74">
        <f t="shared" si="53"/>
        <v>6.843534237</v>
      </c>
      <c r="T55" s="239">
        <f t="shared" si="54"/>
        <v>2000</v>
      </c>
      <c r="U55" s="239">
        <f t="shared" si="55"/>
        <v>4000</v>
      </c>
      <c r="V55" s="244" t="s">
        <v>1695</v>
      </c>
      <c r="W55" s="25">
        <f t="shared" si="56"/>
        <v>-166.6666667</v>
      </c>
      <c r="Y55">
        <f t="shared" si="57"/>
        <v>3000</v>
      </c>
      <c r="AA55" s="74">
        <f t="shared" ref="AA55:AA64" si="65">$AE$52/AT54</f>
        <v>0.2</v>
      </c>
      <c r="AB55" s="74">
        <f t="shared" ref="AB55:AB64" si="66">$AA55*1/V$39</f>
        <v>3.076923077</v>
      </c>
      <c r="AC55" s="25"/>
      <c r="AD55" s="25"/>
      <c r="AE55" s="25">
        <f t="shared" ref="AE55:AG55" si="58">$AA55*1/X$39</f>
        <v>0.1</v>
      </c>
      <c r="AF55" s="25" t="str">
        <f t="shared" si="58"/>
        <v>#VALUE!</v>
      </c>
      <c r="AG55" s="25" t="str">
        <f t="shared" si="58"/>
        <v>#VALUE!</v>
      </c>
      <c r="AH55" s="25" t="str">
        <f t="shared" ref="AH55:AI55" si="59">$AA55*1/AA$40</f>
        <v>#DIV/0!</v>
      </c>
      <c r="AI55" s="25">
        <f t="shared" si="59"/>
        <v>0.2</v>
      </c>
      <c r="AJ55" s="25">
        <f t="shared" ref="AJ55:AJ64" si="69">$AA55*1/AC$39</f>
        <v>0.2</v>
      </c>
      <c r="AK55" s="25" t="str">
        <f t="shared" ref="AK55:AM55" si="60">$AA55*1/AD$40</f>
        <v>#DIV/0!</v>
      </c>
      <c r="AL55" s="25" t="str">
        <f t="shared" si="60"/>
        <v>#DIV/0!</v>
      </c>
      <c r="AM55" s="25" t="str">
        <f t="shared" si="60"/>
        <v>#VALUE!</v>
      </c>
      <c r="AP55" s="25">
        <f t="shared" ref="AP55:AP64" si="71">F55/C55</f>
        <v>1368.706847</v>
      </c>
      <c r="AQ55" s="74">
        <f t="shared" si="61"/>
        <v>684.3534237</v>
      </c>
      <c r="AS55" s="67">
        <f t="shared" si="62"/>
        <v>2737.413695</v>
      </c>
      <c r="AT55">
        <f t="shared" si="63"/>
        <v>20</v>
      </c>
    </row>
    <row r="56">
      <c r="C56" s="102">
        <v>3.0</v>
      </c>
      <c r="D56" s="25"/>
      <c r="E56" s="25"/>
      <c r="F56" s="25">
        <f t="shared" si="51"/>
        <v>6159.180813</v>
      </c>
      <c r="G56" s="25"/>
      <c r="H56" s="25">
        <f t="shared" si="52"/>
        <v>1539.795203</v>
      </c>
      <c r="I56" s="74"/>
      <c r="J56" s="74">
        <f t="shared" ref="J56:R56" si="64">$F$52*$N$19  / (PI()*(0.61*$F$19*J$53*10^-4 / ($C56*2))^2)  </f>
        <v>384.9488008</v>
      </c>
      <c r="K56" s="74">
        <f t="shared" si="64"/>
        <v>171.0883559</v>
      </c>
      <c r="L56" s="74">
        <f t="shared" si="64"/>
        <v>96.2372002</v>
      </c>
      <c r="M56" s="74">
        <f t="shared" si="64"/>
        <v>61.59180813</v>
      </c>
      <c r="N56" s="74">
        <f t="shared" si="64"/>
        <v>42.77208898</v>
      </c>
      <c r="O56" s="74">
        <f t="shared" si="64"/>
        <v>31.4243919</v>
      </c>
      <c r="P56" s="74">
        <f t="shared" si="64"/>
        <v>24.05930005</v>
      </c>
      <c r="Q56" s="74">
        <f t="shared" si="64"/>
        <v>19.00981732</v>
      </c>
      <c r="R56" s="74">
        <f t="shared" si="64"/>
        <v>15.39795203</v>
      </c>
      <c r="T56" s="239">
        <f t="shared" si="54"/>
        <v>3000</v>
      </c>
      <c r="U56" s="239">
        <f t="shared" si="55"/>
        <v>6000</v>
      </c>
      <c r="V56" s="244" t="s">
        <v>1695</v>
      </c>
      <c r="W56" s="25">
        <f t="shared" si="56"/>
        <v>-250</v>
      </c>
      <c r="Y56">
        <f t="shared" si="57"/>
        <v>4500</v>
      </c>
      <c r="AA56" s="74">
        <f t="shared" si="65"/>
        <v>0.05</v>
      </c>
      <c r="AB56" s="25">
        <f t="shared" si="66"/>
        <v>0.7692307692</v>
      </c>
      <c r="AC56" s="74"/>
      <c r="AD56" s="74"/>
      <c r="AE56" s="74">
        <f t="shared" ref="AE56:AG56" si="67">$AA56*1/X$39</f>
        <v>0.025</v>
      </c>
      <c r="AF56" s="25" t="str">
        <f t="shared" si="67"/>
        <v>#VALUE!</v>
      </c>
      <c r="AG56" s="25" t="str">
        <f t="shared" si="67"/>
        <v>#VALUE!</v>
      </c>
      <c r="AH56" s="25" t="str">
        <f t="shared" ref="AH56:AI56" si="68">$AA56*1/AA$40</f>
        <v>#DIV/0!</v>
      </c>
      <c r="AI56" s="25">
        <f t="shared" si="68"/>
        <v>0.05</v>
      </c>
      <c r="AJ56" s="25">
        <f t="shared" si="69"/>
        <v>0.05</v>
      </c>
      <c r="AK56" s="25" t="str">
        <f t="shared" ref="AK56:AM56" si="70">$AA56*1/AD$40</f>
        <v>#DIV/0!</v>
      </c>
      <c r="AL56" s="25" t="str">
        <f t="shared" si="70"/>
        <v>#DIV/0!</v>
      </c>
      <c r="AM56" s="25" t="str">
        <f t="shared" si="70"/>
        <v>#VALUE!</v>
      </c>
      <c r="AP56" s="25">
        <f t="shared" si="71"/>
        <v>2053.060271</v>
      </c>
      <c r="AQ56" s="74">
        <f t="shared" si="61"/>
        <v>684.3534237</v>
      </c>
      <c r="AS56" s="67">
        <f t="shared" si="62"/>
        <v>6159.180813</v>
      </c>
      <c r="AT56">
        <f t="shared" si="63"/>
        <v>45</v>
      </c>
    </row>
    <row r="57">
      <c r="C57" s="102">
        <v>4.0</v>
      </c>
      <c r="D57" s="25"/>
      <c r="E57" s="25"/>
      <c r="F57" s="25">
        <f t="shared" si="51"/>
        <v>10949.65478</v>
      </c>
      <c r="G57" s="25"/>
      <c r="H57" s="25">
        <f t="shared" si="52"/>
        <v>2737.413695</v>
      </c>
      <c r="I57" s="74"/>
      <c r="J57" s="74">
        <f t="shared" ref="J57:R57" si="72">$F$52*$N$19  / (PI()*(0.61*$F$19*J$53*10^-4 / ($C57*2))^2)  </f>
        <v>684.3534237</v>
      </c>
      <c r="K57" s="74">
        <f t="shared" si="72"/>
        <v>304.1570772</v>
      </c>
      <c r="L57" s="74">
        <f t="shared" si="72"/>
        <v>171.0883559</v>
      </c>
      <c r="M57" s="74">
        <f t="shared" si="72"/>
        <v>109.4965478</v>
      </c>
      <c r="N57" s="74">
        <f t="shared" si="72"/>
        <v>76.0392693</v>
      </c>
      <c r="O57" s="74">
        <f t="shared" si="72"/>
        <v>55.86558561</v>
      </c>
      <c r="P57" s="74">
        <f t="shared" si="72"/>
        <v>42.77208898</v>
      </c>
      <c r="Q57" s="74">
        <f t="shared" si="72"/>
        <v>33.7952308</v>
      </c>
      <c r="R57" s="74">
        <f t="shared" si="72"/>
        <v>27.37413695</v>
      </c>
      <c r="T57" s="239">
        <f t="shared" si="54"/>
        <v>4000</v>
      </c>
      <c r="U57" s="239">
        <f t="shared" si="55"/>
        <v>8000</v>
      </c>
      <c r="V57" s="244" t="s">
        <v>1695</v>
      </c>
      <c r="W57" s="25">
        <f t="shared" si="56"/>
        <v>-333.3333333</v>
      </c>
      <c r="Y57">
        <f t="shared" si="57"/>
        <v>6000</v>
      </c>
      <c r="AA57" s="74">
        <f t="shared" si="65"/>
        <v>0.02222222222</v>
      </c>
      <c r="AB57" s="74">
        <f t="shared" si="66"/>
        <v>0.3418803419</v>
      </c>
      <c r="AC57" s="25"/>
      <c r="AD57" s="25"/>
      <c r="AE57" s="25">
        <f t="shared" ref="AE57:AG57" si="73">$AA57*1/X$39</f>
        <v>0.01111111111</v>
      </c>
      <c r="AF57" s="74" t="str">
        <f t="shared" si="73"/>
        <v>#VALUE!</v>
      </c>
      <c r="AG57" s="74" t="str">
        <f t="shared" si="73"/>
        <v>#VALUE!</v>
      </c>
      <c r="AH57" s="74" t="str">
        <f t="shared" ref="AH57:AI57" si="74">$AA57*1/AA$40</f>
        <v>#DIV/0!</v>
      </c>
      <c r="AI57" s="25">
        <f t="shared" si="74"/>
        <v>0.02222222222</v>
      </c>
      <c r="AJ57" s="25">
        <f t="shared" si="69"/>
        <v>0.02222222222</v>
      </c>
      <c r="AK57" s="25" t="str">
        <f t="shared" ref="AK57:AM57" si="75">$AA57*1/AD$40</f>
        <v>#DIV/0!</v>
      </c>
      <c r="AL57" s="25" t="str">
        <f t="shared" si="75"/>
        <v>#DIV/0!</v>
      </c>
      <c r="AM57" s="25" t="str">
        <f t="shared" si="75"/>
        <v>#VALUE!</v>
      </c>
      <c r="AP57" s="25">
        <f t="shared" si="71"/>
        <v>2737.413695</v>
      </c>
      <c r="AQ57" s="74">
        <f t="shared" si="61"/>
        <v>684.3534237</v>
      </c>
      <c r="AS57" s="67">
        <f t="shared" si="62"/>
        <v>10949.65478</v>
      </c>
      <c r="AT57">
        <f t="shared" si="63"/>
        <v>80</v>
      </c>
    </row>
    <row r="58">
      <c r="C58" s="102">
        <v>5.0</v>
      </c>
      <c r="D58" s="25"/>
      <c r="E58" s="25"/>
      <c r="F58" s="25">
        <f t="shared" si="51"/>
        <v>17108.83559</v>
      </c>
      <c r="G58" s="25"/>
      <c r="H58" s="25">
        <f t="shared" si="52"/>
        <v>4277.208898</v>
      </c>
      <c r="I58" s="25"/>
      <c r="J58" s="25">
        <f t="shared" ref="J58:R58" si="76">$F$52*$N$19  / (PI()*(0.61*$F$19*J$53*10^-4 / ($C58*2))^2)  </f>
        <v>1069.302224</v>
      </c>
      <c r="K58" s="25">
        <f t="shared" si="76"/>
        <v>475.2454331</v>
      </c>
      <c r="L58" s="74">
        <f t="shared" si="76"/>
        <v>267.3255561</v>
      </c>
      <c r="M58" s="74">
        <f t="shared" si="76"/>
        <v>171.0883559</v>
      </c>
      <c r="N58" s="74">
        <f t="shared" si="76"/>
        <v>118.8113583</v>
      </c>
      <c r="O58" s="74">
        <f t="shared" si="76"/>
        <v>87.28997751</v>
      </c>
      <c r="P58" s="74">
        <f t="shared" si="76"/>
        <v>66.83138903</v>
      </c>
      <c r="Q58" s="74">
        <f t="shared" si="76"/>
        <v>52.80504812</v>
      </c>
      <c r="R58" s="74">
        <f t="shared" si="76"/>
        <v>42.77208898</v>
      </c>
      <c r="T58" s="239">
        <f t="shared" si="54"/>
        <v>5000</v>
      </c>
      <c r="U58" s="239">
        <f t="shared" si="55"/>
        <v>10000</v>
      </c>
      <c r="V58" s="244" t="s">
        <v>1695</v>
      </c>
      <c r="W58" s="25">
        <f t="shared" si="56"/>
        <v>-416.6666667</v>
      </c>
      <c r="Y58">
        <f t="shared" si="57"/>
        <v>7500</v>
      </c>
      <c r="AA58" s="74">
        <f t="shared" si="65"/>
        <v>0.0125</v>
      </c>
      <c r="AB58" s="25">
        <f t="shared" si="66"/>
        <v>0.1923076923</v>
      </c>
      <c r="AC58" s="25"/>
      <c r="AD58" s="25"/>
      <c r="AE58" s="25">
        <f t="shared" ref="AE58:AG58" si="77">$AA58*1/X$39</f>
        <v>0.00625</v>
      </c>
      <c r="AF58" s="25" t="str">
        <f t="shared" si="77"/>
        <v>#VALUE!</v>
      </c>
      <c r="AG58" s="74" t="str">
        <f t="shared" si="77"/>
        <v>#VALUE!</v>
      </c>
      <c r="AH58" s="25" t="str">
        <f t="shared" ref="AH58:AI58" si="78">$AA58*1/AA$40</f>
        <v>#DIV/0!</v>
      </c>
      <c r="AI58" s="74">
        <f t="shared" si="78"/>
        <v>0.0125</v>
      </c>
      <c r="AJ58" s="25">
        <f t="shared" si="69"/>
        <v>0.0125</v>
      </c>
      <c r="AK58" s="25" t="str">
        <f t="shared" ref="AK58:AM58" si="79">$AA58*1/AD$40</f>
        <v>#DIV/0!</v>
      </c>
      <c r="AL58" s="25" t="str">
        <f t="shared" si="79"/>
        <v>#DIV/0!</v>
      </c>
      <c r="AM58" s="25" t="str">
        <f t="shared" si="79"/>
        <v>#VALUE!</v>
      </c>
      <c r="AP58" s="25">
        <f t="shared" si="71"/>
        <v>3421.767118</v>
      </c>
      <c r="AQ58" s="74">
        <f t="shared" si="61"/>
        <v>684.3534237</v>
      </c>
      <c r="AS58" s="67">
        <f t="shared" si="62"/>
        <v>17108.83559</v>
      </c>
      <c r="AT58">
        <f t="shared" si="63"/>
        <v>125</v>
      </c>
    </row>
    <row r="59">
      <c r="C59" s="102">
        <v>10.0</v>
      </c>
      <c r="D59" s="25"/>
      <c r="E59" s="25"/>
      <c r="F59" s="25">
        <f t="shared" si="51"/>
        <v>68435.34237</v>
      </c>
      <c r="G59" s="25"/>
      <c r="H59" s="25">
        <f t="shared" si="52"/>
        <v>17108.83559</v>
      </c>
      <c r="I59" s="25"/>
      <c r="J59" s="25">
        <f t="shared" ref="J59:R59" si="80">$F$52*$N$19  / (PI()*(0.61*$F$19*J$53*10^-4 / ($C59*2))^2)  </f>
        <v>4277.208898</v>
      </c>
      <c r="K59" s="25">
        <f t="shared" si="80"/>
        <v>1900.981732</v>
      </c>
      <c r="L59" s="74">
        <f t="shared" si="80"/>
        <v>1069.302224</v>
      </c>
      <c r="M59" s="74">
        <f t="shared" si="80"/>
        <v>684.3534237</v>
      </c>
      <c r="N59" s="74">
        <f t="shared" si="80"/>
        <v>475.2454331</v>
      </c>
      <c r="O59" s="74">
        <f t="shared" si="80"/>
        <v>349.15991</v>
      </c>
      <c r="P59" s="74">
        <f t="shared" si="80"/>
        <v>267.3255561</v>
      </c>
      <c r="Q59" s="74">
        <f t="shared" si="80"/>
        <v>211.2201925</v>
      </c>
      <c r="R59" s="74">
        <f t="shared" si="80"/>
        <v>171.0883559</v>
      </c>
      <c r="T59" s="239">
        <f t="shared" si="54"/>
        <v>10000</v>
      </c>
      <c r="U59" s="239">
        <f t="shared" si="55"/>
        <v>20000</v>
      </c>
      <c r="V59" s="244" t="s">
        <v>1695</v>
      </c>
      <c r="W59" s="25">
        <f t="shared" si="56"/>
        <v>-833.3333333</v>
      </c>
      <c r="Y59">
        <f t="shared" si="57"/>
        <v>15000</v>
      </c>
      <c r="AA59" s="74">
        <f t="shared" si="65"/>
        <v>0.008</v>
      </c>
      <c r="AB59" s="25">
        <f t="shared" si="66"/>
        <v>0.1230769231</v>
      </c>
      <c r="AC59" s="74"/>
      <c r="AD59" s="74"/>
      <c r="AE59" s="74">
        <f t="shared" ref="AE59:AG59" si="81">$AA59*1/X$39</f>
        <v>0.004</v>
      </c>
      <c r="AF59" s="25" t="str">
        <f t="shared" si="81"/>
        <v>#VALUE!</v>
      </c>
      <c r="AG59" s="25" t="str">
        <f t="shared" si="81"/>
        <v>#VALUE!</v>
      </c>
      <c r="AH59" s="74" t="str">
        <f t="shared" ref="AH59:AI59" si="82">$AA59*1/AA$40</f>
        <v>#DIV/0!</v>
      </c>
      <c r="AI59" s="74">
        <f t="shared" si="82"/>
        <v>0.008</v>
      </c>
      <c r="AJ59" s="74">
        <f t="shared" si="69"/>
        <v>0.008</v>
      </c>
      <c r="AK59" s="74" t="str">
        <f t="shared" ref="AK59:AM59" si="83">$AA59*1/AD$40</f>
        <v>#DIV/0!</v>
      </c>
      <c r="AL59" s="74" t="str">
        <f t="shared" si="83"/>
        <v>#DIV/0!</v>
      </c>
      <c r="AM59" s="25" t="str">
        <f t="shared" si="83"/>
        <v>#VALUE!</v>
      </c>
      <c r="AP59" s="25">
        <f t="shared" si="71"/>
        <v>6843.534237</v>
      </c>
      <c r="AQ59" s="74">
        <f t="shared" si="61"/>
        <v>684.3534237</v>
      </c>
      <c r="AS59" s="67">
        <f t="shared" si="62"/>
        <v>68435.34237</v>
      </c>
      <c r="AT59">
        <f t="shared" si="63"/>
        <v>500</v>
      </c>
    </row>
    <row r="60">
      <c r="C60" s="102">
        <v>25.0</v>
      </c>
      <c r="D60" s="25"/>
      <c r="E60" s="25"/>
      <c r="F60" s="25">
        <f t="shared" si="51"/>
        <v>427720.8898</v>
      </c>
      <c r="G60" s="25"/>
      <c r="H60" s="25">
        <f t="shared" si="52"/>
        <v>106930.2224</v>
      </c>
      <c r="I60" s="25"/>
      <c r="J60" s="25">
        <f t="shared" ref="J60:R60" si="84">$F$52*$N$19  / (PI()*(0.61*$F$19*J$53*10^-4 / ($C60*2))^2)  </f>
        <v>26732.55561</v>
      </c>
      <c r="K60" s="25">
        <f t="shared" si="84"/>
        <v>11881.13583</v>
      </c>
      <c r="L60" s="74">
        <f t="shared" si="84"/>
        <v>6683.138903</v>
      </c>
      <c r="M60" s="74">
        <f t="shared" si="84"/>
        <v>4277.208898</v>
      </c>
      <c r="N60" s="74">
        <f t="shared" si="84"/>
        <v>2970.283957</v>
      </c>
      <c r="O60" s="74">
        <f t="shared" si="84"/>
        <v>2182.249438</v>
      </c>
      <c r="P60" s="74">
        <f t="shared" si="84"/>
        <v>1670.784726</v>
      </c>
      <c r="Q60" s="74">
        <f t="shared" si="84"/>
        <v>1320.126203</v>
      </c>
      <c r="R60" s="74">
        <f t="shared" si="84"/>
        <v>1069.302224</v>
      </c>
      <c r="T60" s="239">
        <f t="shared" si="54"/>
        <v>25000</v>
      </c>
      <c r="U60" s="239">
        <f t="shared" si="55"/>
        <v>50000</v>
      </c>
      <c r="V60" s="244" t="s">
        <v>1695</v>
      </c>
      <c r="W60" s="25">
        <f t="shared" si="56"/>
        <v>-2083.333333</v>
      </c>
      <c r="Y60">
        <f t="shared" si="57"/>
        <v>37500</v>
      </c>
      <c r="AA60" s="74">
        <f t="shared" si="65"/>
        <v>0.002</v>
      </c>
      <c r="AB60" s="25">
        <f t="shared" si="66"/>
        <v>0.03076923077</v>
      </c>
      <c r="AC60" s="25"/>
      <c r="AD60" s="25"/>
      <c r="AE60" s="25">
        <f t="shared" ref="AE60:AG60" si="85">$AA60*1/X$39</f>
        <v>0.001</v>
      </c>
      <c r="AF60" s="25" t="str">
        <f t="shared" si="85"/>
        <v>#VALUE!</v>
      </c>
      <c r="AG60" s="74" t="str">
        <f t="shared" si="85"/>
        <v>#VALUE!</v>
      </c>
      <c r="AH60" s="25" t="str">
        <f t="shared" ref="AH60:AI60" si="86">$AA60*1/AA$40</f>
        <v>#DIV/0!</v>
      </c>
      <c r="AI60" s="25">
        <f t="shared" si="86"/>
        <v>0.002</v>
      </c>
      <c r="AJ60" s="25">
        <f t="shared" si="69"/>
        <v>0.002</v>
      </c>
      <c r="AK60" s="74" t="str">
        <f t="shared" ref="AK60:AM60" si="87">$AA60*1/AD$40</f>
        <v>#DIV/0!</v>
      </c>
      <c r="AL60" s="74" t="str">
        <f t="shared" si="87"/>
        <v>#DIV/0!</v>
      </c>
      <c r="AM60" s="74" t="str">
        <f t="shared" si="87"/>
        <v>#VALUE!</v>
      </c>
      <c r="AP60" s="25">
        <f t="shared" si="71"/>
        <v>17108.83559</v>
      </c>
      <c r="AQ60" s="74">
        <f t="shared" si="61"/>
        <v>684.3534237</v>
      </c>
      <c r="AS60" s="67">
        <f t="shared" si="62"/>
        <v>427720.8898</v>
      </c>
      <c r="AT60">
        <f t="shared" si="63"/>
        <v>3125</v>
      </c>
    </row>
    <row r="61">
      <c r="C61" s="102">
        <v>50.0</v>
      </c>
      <c r="D61" s="25"/>
      <c r="E61" s="25"/>
      <c r="F61" s="25">
        <f t="shared" si="51"/>
        <v>1710883.559</v>
      </c>
      <c r="G61" s="25"/>
      <c r="H61" s="25">
        <f t="shared" si="52"/>
        <v>427720.8898</v>
      </c>
      <c r="I61" s="25"/>
      <c r="J61" s="25">
        <f t="shared" ref="J61:R61" si="88">$F$52*$N$19  / (PI()*(0.61*$F$19*J$53*10^-4 / ($C61*2))^2)  </f>
        <v>106930.2224</v>
      </c>
      <c r="K61" s="25">
        <f t="shared" si="88"/>
        <v>47524.54331</v>
      </c>
      <c r="L61" s="74">
        <f t="shared" si="88"/>
        <v>26732.55561</v>
      </c>
      <c r="M61" s="74">
        <f t="shared" si="88"/>
        <v>17108.83559</v>
      </c>
      <c r="N61" s="74">
        <f t="shared" si="88"/>
        <v>11881.13583</v>
      </c>
      <c r="O61" s="74">
        <f t="shared" si="88"/>
        <v>8728.997751</v>
      </c>
      <c r="P61" s="74">
        <f t="shared" si="88"/>
        <v>6683.138903</v>
      </c>
      <c r="Q61" s="74">
        <f t="shared" si="88"/>
        <v>5280.504812</v>
      </c>
      <c r="R61" s="74">
        <f t="shared" si="88"/>
        <v>4277.208898</v>
      </c>
      <c r="T61" s="239">
        <f t="shared" si="54"/>
        <v>50000</v>
      </c>
      <c r="U61" s="239">
        <f t="shared" si="55"/>
        <v>100000</v>
      </c>
      <c r="V61" s="244" t="s">
        <v>1695</v>
      </c>
      <c r="W61" s="25">
        <f t="shared" si="56"/>
        <v>-4166.666667</v>
      </c>
      <c r="Y61">
        <f t="shared" si="57"/>
        <v>75000</v>
      </c>
      <c r="AA61" s="74">
        <f t="shared" si="65"/>
        <v>0.00032</v>
      </c>
      <c r="AB61" s="25">
        <f t="shared" si="66"/>
        <v>0.004923076923</v>
      </c>
      <c r="AC61" s="25"/>
      <c r="AD61" s="25"/>
      <c r="AE61" s="25">
        <f t="shared" ref="AE61:AG61" si="89">$AA61*1/X$39</f>
        <v>0.00016</v>
      </c>
      <c r="AF61" s="25" t="str">
        <f t="shared" si="89"/>
        <v>#VALUE!</v>
      </c>
      <c r="AG61" s="25" t="str">
        <f t="shared" si="89"/>
        <v>#VALUE!</v>
      </c>
      <c r="AH61" s="25" t="str">
        <f t="shared" ref="AH61:AI61" si="90">$AA61*1/AA$40</f>
        <v>#DIV/0!</v>
      </c>
      <c r="AI61" s="25">
        <f t="shared" si="90"/>
        <v>0.00032</v>
      </c>
      <c r="AJ61" s="25">
        <f t="shared" si="69"/>
        <v>0.00032</v>
      </c>
      <c r="AK61" s="25" t="str">
        <f t="shared" ref="AK61:AM61" si="91">$AA61*1/AD$40</f>
        <v>#DIV/0!</v>
      </c>
      <c r="AL61" s="25" t="str">
        <f t="shared" si="91"/>
        <v>#DIV/0!</v>
      </c>
      <c r="AM61" s="74" t="str">
        <f t="shared" si="91"/>
        <v>#VALUE!</v>
      </c>
      <c r="AP61" s="25">
        <f t="shared" si="71"/>
        <v>34217.67118</v>
      </c>
      <c r="AQ61" s="74">
        <f t="shared" si="61"/>
        <v>684.3534237</v>
      </c>
      <c r="AS61" s="67">
        <f t="shared" si="62"/>
        <v>1710883.559</v>
      </c>
      <c r="AT61">
        <f t="shared" si="63"/>
        <v>12500</v>
      </c>
    </row>
    <row r="62">
      <c r="C62" s="102">
        <v>100.0</v>
      </c>
      <c r="D62" s="25"/>
      <c r="E62" s="25"/>
      <c r="F62" s="25">
        <f t="shared" si="51"/>
        <v>6843534.237</v>
      </c>
      <c r="G62" s="25"/>
      <c r="H62" s="25">
        <f t="shared" si="52"/>
        <v>1710883.559</v>
      </c>
      <c r="I62" s="25"/>
      <c r="J62" s="25">
        <f t="shared" ref="J62:R62" si="92">$F$52*$N$19  / (PI()*(0.61*$F$19*J$53*10^-4 / ($C62*2))^2)  </f>
        <v>427720.8898</v>
      </c>
      <c r="K62" s="25">
        <f t="shared" si="92"/>
        <v>190098.1732</v>
      </c>
      <c r="L62" s="74">
        <f t="shared" si="92"/>
        <v>106930.2224</v>
      </c>
      <c r="M62" s="74">
        <f t="shared" si="92"/>
        <v>68435.34237</v>
      </c>
      <c r="N62" s="74">
        <f t="shared" si="92"/>
        <v>47524.54331</v>
      </c>
      <c r="O62" s="74">
        <f t="shared" si="92"/>
        <v>34915.991</v>
      </c>
      <c r="P62" s="74">
        <f t="shared" si="92"/>
        <v>26732.55561</v>
      </c>
      <c r="Q62" s="74">
        <f t="shared" si="92"/>
        <v>21122.01925</v>
      </c>
      <c r="R62" s="74">
        <f t="shared" si="92"/>
        <v>17108.83559</v>
      </c>
      <c r="T62" s="239">
        <f t="shared" si="54"/>
        <v>100000</v>
      </c>
      <c r="U62" s="239">
        <f t="shared" si="55"/>
        <v>200000</v>
      </c>
      <c r="V62" s="244" t="s">
        <v>1695</v>
      </c>
      <c r="W62" s="25">
        <f t="shared" si="56"/>
        <v>-8333.333333</v>
      </c>
      <c r="Y62">
        <f t="shared" si="57"/>
        <v>150000</v>
      </c>
      <c r="AA62" s="74">
        <f t="shared" si="65"/>
        <v>0.00008</v>
      </c>
      <c r="AB62" s="25">
        <f t="shared" si="66"/>
        <v>0.001230769231</v>
      </c>
      <c r="AC62" s="25"/>
      <c r="AD62" s="25"/>
      <c r="AE62" s="25">
        <f t="shared" ref="AE62:AG62" si="93">$AA62*1/X$39</f>
        <v>0.00004</v>
      </c>
      <c r="AF62" s="25" t="str">
        <f t="shared" si="93"/>
        <v>#VALUE!</v>
      </c>
      <c r="AG62" s="25" t="str">
        <f t="shared" si="93"/>
        <v>#VALUE!</v>
      </c>
      <c r="AH62" s="25" t="str">
        <f t="shared" ref="AH62:AI62" si="94">$AA62*1/AA$40</f>
        <v>#DIV/0!</v>
      </c>
      <c r="AI62" s="25">
        <f t="shared" si="94"/>
        <v>0.00008</v>
      </c>
      <c r="AJ62" s="25">
        <f t="shared" si="69"/>
        <v>0.00008</v>
      </c>
      <c r="AK62" s="25" t="str">
        <f t="shared" ref="AK62:AM62" si="95">$AA62*1/AD$40</f>
        <v>#DIV/0!</v>
      </c>
      <c r="AL62" s="25" t="str">
        <f t="shared" si="95"/>
        <v>#DIV/0!</v>
      </c>
      <c r="AM62" s="25" t="str">
        <f t="shared" si="95"/>
        <v>#VALUE!</v>
      </c>
      <c r="AP62" s="25">
        <f t="shared" si="71"/>
        <v>68435.34237</v>
      </c>
      <c r="AQ62" s="74">
        <f t="shared" si="61"/>
        <v>684.3534237</v>
      </c>
      <c r="AS62" s="67">
        <f t="shared" si="62"/>
        <v>6843534.237</v>
      </c>
      <c r="AT62">
        <f t="shared" si="63"/>
        <v>50000</v>
      </c>
    </row>
    <row r="63">
      <c r="C63" s="102">
        <v>500.0</v>
      </c>
      <c r="D63" s="25"/>
      <c r="E63" s="25"/>
      <c r="F63" s="25">
        <f t="shared" si="51"/>
        <v>171088355.9</v>
      </c>
      <c r="G63" s="25"/>
      <c r="H63" s="25">
        <f t="shared" si="52"/>
        <v>42772088.98</v>
      </c>
      <c r="I63" s="25"/>
      <c r="J63" s="25">
        <f t="shared" ref="J63:R63" si="96">$F$52*$N$19  / (PI()*(0.61*$F$19*J$53*10^-4 / ($C63*2))^2)  </f>
        <v>10693022.24</v>
      </c>
      <c r="K63" s="25">
        <f t="shared" si="96"/>
        <v>4752454.331</v>
      </c>
      <c r="L63" s="25">
        <f t="shared" si="96"/>
        <v>2673255.561</v>
      </c>
      <c r="M63" s="25">
        <f t="shared" si="96"/>
        <v>1710883.559</v>
      </c>
      <c r="N63" s="25">
        <f t="shared" si="96"/>
        <v>1188113.583</v>
      </c>
      <c r="O63" s="25">
        <f t="shared" si="96"/>
        <v>872899.7751</v>
      </c>
      <c r="P63" s="25">
        <f t="shared" si="96"/>
        <v>668313.8903</v>
      </c>
      <c r="Q63" s="25">
        <f t="shared" si="96"/>
        <v>528050.4812</v>
      </c>
      <c r="R63" s="25">
        <f t="shared" si="96"/>
        <v>427720.8898</v>
      </c>
      <c r="T63" s="239">
        <f t="shared" si="54"/>
        <v>500000</v>
      </c>
      <c r="U63" s="239">
        <f t="shared" si="55"/>
        <v>1000000</v>
      </c>
      <c r="V63" s="244" t="s">
        <v>1695</v>
      </c>
      <c r="W63" s="25">
        <f t="shared" si="56"/>
        <v>-41666.66667</v>
      </c>
      <c r="Y63">
        <f t="shared" si="57"/>
        <v>750000</v>
      </c>
      <c r="AA63" s="74">
        <f t="shared" si="65"/>
        <v>0.00002</v>
      </c>
      <c r="AB63" s="25">
        <f t="shared" si="66"/>
        <v>0.0003076923077</v>
      </c>
      <c r="AC63" s="25"/>
      <c r="AD63" s="25"/>
      <c r="AE63" s="25">
        <f t="shared" ref="AE63:AG63" si="97">$AA63*1/X$39</f>
        <v>0.00001</v>
      </c>
      <c r="AF63" s="25" t="str">
        <f t="shared" si="97"/>
        <v>#VALUE!</v>
      </c>
      <c r="AG63" s="25" t="str">
        <f t="shared" si="97"/>
        <v>#VALUE!</v>
      </c>
      <c r="AH63" s="25" t="str">
        <f t="shared" ref="AH63:AI63" si="98">$AA63*1/AA$40</f>
        <v>#DIV/0!</v>
      </c>
      <c r="AI63" s="25">
        <f t="shared" si="98"/>
        <v>0.00002</v>
      </c>
      <c r="AJ63" s="25">
        <f t="shared" si="69"/>
        <v>0.00002</v>
      </c>
      <c r="AK63" s="25" t="str">
        <f t="shared" ref="AK63:AM63" si="99">$AA63*1/AD$40</f>
        <v>#DIV/0!</v>
      </c>
      <c r="AL63" s="25" t="str">
        <f t="shared" si="99"/>
        <v>#DIV/0!</v>
      </c>
      <c r="AM63" s="25" t="str">
        <f t="shared" si="99"/>
        <v>#VALUE!</v>
      </c>
      <c r="AP63" s="25">
        <f t="shared" si="71"/>
        <v>342176.7118</v>
      </c>
      <c r="AQ63" s="74">
        <f t="shared" si="61"/>
        <v>684.3534237</v>
      </c>
      <c r="AS63" s="67">
        <f t="shared" si="62"/>
        <v>171088355.9</v>
      </c>
      <c r="AT63">
        <f t="shared" si="63"/>
        <v>1250000</v>
      </c>
    </row>
    <row r="64">
      <c r="C64" s="102">
        <v>1000.0</v>
      </c>
      <c r="D64" s="25"/>
      <c r="E64" s="25"/>
      <c r="F64" s="25">
        <f t="shared" si="51"/>
        <v>684353423.7</v>
      </c>
      <c r="G64" s="25"/>
      <c r="H64" s="25">
        <f t="shared" si="52"/>
        <v>171088355.9</v>
      </c>
      <c r="I64" s="25"/>
      <c r="J64" s="25">
        <f t="shared" ref="J64:R64" si="100">$F$52*$N$19  / (PI()*(0.61*$F$19*J$53*10^-4 / ($C64*2))^2)  </f>
        <v>42772088.98</v>
      </c>
      <c r="K64" s="25">
        <f t="shared" si="100"/>
        <v>19009817.32</v>
      </c>
      <c r="L64" s="25">
        <f t="shared" si="100"/>
        <v>10693022.24</v>
      </c>
      <c r="M64" s="25">
        <f t="shared" si="100"/>
        <v>6843534.237</v>
      </c>
      <c r="N64" s="25">
        <f t="shared" si="100"/>
        <v>4752454.331</v>
      </c>
      <c r="O64" s="25">
        <f t="shared" si="100"/>
        <v>3491599.1</v>
      </c>
      <c r="P64" s="25">
        <f t="shared" si="100"/>
        <v>2673255.561</v>
      </c>
      <c r="Q64" s="25">
        <f t="shared" si="100"/>
        <v>2112201.925</v>
      </c>
      <c r="R64" s="25">
        <f t="shared" si="100"/>
        <v>1710883.559</v>
      </c>
      <c r="T64" s="239">
        <f t="shared" si="54"/>
        <v>1000000</v>
      </c>
      <c r="U64" s="239">
        <f t="shared" si="55"/>
        <v>2000000</v>
      </c>
      <c r="V64" s="244" t="s">
        <v>1695</v>
      </c>
      <c r="W64" s="25">
        <f t="shared" si="56"/>
        <v>-83333.33333</v>
      </c>
      <c r="Y64" s="256">
        <f t="shared" si="57"/>
        <v>1500000</v>
      </c>
      <c r="Z64" s="256"/>
      <c r="AA64" s="74">
        <f t="shared" si="65"/>
        <v>0.0000008</v>
      </c>
      <c r="AB64" s="25">
        <f t="shared" si="66"/>
        <v>0.00001230769231</v>
      </c>
      <c r="AC64" s="25"/>
      <c r="AD64" s="25"/>
      <c r="AE64" s="25">
        <f t="shared" ref="AE64:AG64" si="101">$AA64*1/X$39</f>
        <v>0.0000004</v>
      </c>
      <c r="AF64" s="25" t="str">
        <f t="shared" si="101"/>
        <v>#VALUE!</v>
      </c>
      <c r="AG64" s="25" t="str">
        <f t="shared" si="101"/>
        <v>#VALUE!</v>
      </c>
      <c r="AH64" s="25" t="str">
        <f t="shared" ref="AH64:AI64" si="102">$AA64*1/AA$40</f>
        <v>#DIV/0!</v>
      </c>
      <c r="AI64" s="25">
        <f t="shared" si="102"/>
        <v>0.0000008</v>
      </c>
      <c r="AJ64" s="25">
        <f t="shared" si="69"/>
        <v>0.0000008</v>
      </c>
      <c r="AK64" s="25" t="str">
        <f t="shared" ref="AK64:AM64" si="103">$AA64*1/AD$40</f>
        <v>#DIV/0!</v>
      </c>
      <c r="AL64" s="25" t="str">
        <f t="shared" si="103"/>
        <v>#DIV/0!</v>
      </c>
      <c r="AM64" s="25" t="str">
        <f t="shared" si="103"/>
        <v>#VALUE!</v>
      </c>
      <c r="AP64" s="25">
        <f t="shared" si="71"/>
        <v>684353.4237</v>
      </c>
      <c r="AQ64" s="74">
        <f t="shared" si="61"/>
        <v>684.3534237</v>
      </c>
      <c r="AS64" s="67">
        <f t="shared" si="62"/>
        <v>684353423.7</v>
      </c>
      <c r="AT64">
        <f t="shared" si="63"/>
        <v>5000000</v>
      </c>
    </row>
    <row r="65">
      <c r="Y65">
        <f>Y64/150000</f>
        <v>10</v>
      </c>
      <c r="Z65" s="2" t="s">
        <v>321</v>
      </c>
    </row>
    <row r="67">
      <c r="A67" s="52" t="s">
        <v>1853</v>
      </c>
      <c r="C67" s="52" t="s">
        <v>1854</v>
      </c>
      <c r="D67" s="2"/>
      <c r="E67" s="2"/>
      <c r="F67" s="2" t="s">
        <v>1856</v>
      </c>
      <c r="X67" t="str">
        <f>5000/#REF!^2</f>
        <v>#REF!</v>
      </c>
      <c r="Y67" t="str">
        <f>5000*$F$72/#REF!^2</f>
        <v>#REF!</v>
      </c>
      <c r="Z67" t="str">
        <f>5000/#REF!^2</f>
        <v>#REF!</v>
      </c>
      <c r="AA67">
        <f t="shared" ref="AA67:AG67" si="104">5000/AA74^2</f>
        <v>2</v>
      </c>
      <c r="AB67">
        <f t="shared" si="104"/>
        <v>0.5</v>
      </c>
      <c r="AC67">
        <f t="shared" si="104"/>
        <v>0.2222222222</v>
      </c>
      <c r="AD67">
        <f t="shared" si="104"/>
        <v>0.125</v>
      </c>
      <c r="AE67">
        <f t="shared" si="104"/>
        <v>0.05555555556</v>
      </c>
      <c r="AF67">
        <f t="shared" si="104"/>
        <v>0.03125</v>
      </c>
      <c r="AG67">
        <f t="shared" si="104"/>
        <v>0.02</v>
      </c>
    </row>
    <row r="68">
      <c r="D68" s="2"/>
      <c r="E68" s="2"/>
      <c r="F68" s="2" t="s">
        <v>1860</v>
      </c>
      <c r="X68" s="25" t="str">
        <f t="shared" ref="X68:Z68" si="105">X$67*($C76^2)</f>
        <v>#REF!</v>
      </c>
      <c r="Y68" s="25" t="str">
        <f t="shared" si="105"/>
        <v>#REF!</v>
      </c>
      <c r="Z68" s="25" t="str">
        <f t="shared" si="105"/>
        <v>#REF!</v>
      </c>
      <c r="AA68" s="152" t="s">
        <v>1861</v>
      </c>
      <c r="AB68" s="153"/>
      <c r="AC68" s="153"/>
      <c r="AD68" s="153"/>
    </row>
    <row r="69">
      <c r="D69" s="2"/>
      <c r="E69" s="2"/>
      <c r="F69" s="2" t="s">
        <v>1862</v>
      </c>
      <c r="P69" s="2" t="s">
        <v>1863</v>
      </c>
      <c r="X69" s="25" t="str">
        <f t="shared" ref="X69:Z69" si="106">X$67*($C77^2)</f>
        <v>#REF!</v>
      </c>
      <c r="Y69" s="25" t="str">
        <f t="shared" si="106"/>
        <v>#REF!</v>
      </c>
      <c r="Z69" s="25" t="str">
        <f t="shared" si="106"/>
        <v>#REF!</v>
      </c>
      <c r="AA69" s="2" t="s">
        <v>1864</v>
      </c>
    </row>
    <row r="70">
      <c r="W70" s="74">
        <f>700/500</f>
        <v>1.4</v>
      </c>
      <c r="X70" s="25" t="str">
        <f t="shared" ref="X70:Z70" si="107">X$67*($C78^2)</f>
        <v>#REF!</v>
      </c>
      <c r="Y70" s="25" t="str">
        <f t="shared" si="107"/>
        <v>#REF!</v>
      </c>
      <c r="Z70" s="25" t="str">
        <f t="shared" si="107"/>
        <v>#REF!</v>
      </c>
      <c r="AA70" s="67" t="s">
        <v>1865</v>
      </c>
      <c r="AD70" s="25"/>
      <c r="AE70" s="25"/>
    </row>
    <row r="71">
      <c r="W71" s="25"/>
      <c r="X71" s="25"/>
      <c r="Y71" s="25"/>
      <c r="Z71" s="25"/>
      <c r="AA71" s="25">
        <f t="shared" ref="AA71:AD71" si="108">SQRT(50/AA75)</f>
        <v>86.96157062</v>
      </c>
      <c r="AB71" s="25">
        <f t="shared" si="108"/>
        <v>108.7019633</v>
      </c>
      <c r="AC71" s="25">
        <f t="shared" si="108"/>
        <v>217.4039265</v>
      </c>
      <c r="AD71" s="25">
        <f t="shared" si="108"/>
        <v>326.1058898</v>
      </c>
      <c r="AE71" s="25"/>
    </row>
    <row r="72">
      <c r="C72" s="2" t="s">
        <v>71</v>
      </c>
      <c r="D72" s="206"/>
      <c r="E72" s="206"/>
      <c r="F72" s="206">
        <v>100.0</v>
      </c>
      <c r="G72" s="2" t="s">
        <v>38</v>
      </c>
      <c r="W72" s="25"/>
      <c r="X72" s="25"/>
      <c r="Y72" s="25"/>
      <c r="Z72" s="25"/>
      <c r="AA72" s="25"/>
      <c r="AD72" s="25"/>
      <c r="AE72" s="25"/>
    </row>
    <row r="73">
      <c r="K73" s="2" t="s">
        <v>1659</v>
      </c>
      <c r="Y73" t="str">
        <f>#REF!/F74</f>
        <v>#REF!</v>
      </c>
      <c r="Z73" s="25"/>
      <c r="AA73" s="25"/>
      <c r="AC73" s="2" t="s">
        <v>1866</v>
      </c>
      <c r="AD73" s="25"/>
      <c r="AE73" s="25"/>
    </row>
    <row r="74">
      <c r="C74" s="52" t="s">
        <v>740</v>
      </c>
      <c r="D74" s="52">
        <v>1.0</v>
      </c>
      <c r="E74" s="52">
        <v>20.0</v>
      </c>
      <c r="F74" s="52">
        <v>40.0</v>
      </c>
      <c r="G74" s="52">
        <v>60.0</v>
      </c>
      <c r="H74" s="52">
        <v>80.0</v>
      </c>
      <c r="I74" s="52">
        <v>100.0</v>
      </c>
      <c r="J74" s="52">
        <v>200.0</v>
      </c>
      <c r="K74" s="52">
        <v>300.0</v>
      </c>
      <c r="L74" s="52">
        <v>400.0</v>
      </c>
      <c r="M74" s="52">
        <v>500.0</v>
      </c>
      <c r="N74" s="52">
        <v>1000.0</v>
      </c>
      <c r="O74" s="52">
        <v>1500.0</v>
      </c>
      <c r="P74" s="52">
        <v>2000.0</v>
      </c>
      <c r="Q74" s="52">
        <v>3000.0</v>
      </c>
      <c r="R74" s="52">
        <v>4000.0</v>
      </c>
      <c r="S74" s="52">
        <v>5000.0</v>
      </c>
      <c r="T74" s="52" t="s">
        <v>1868</v>
      </c>
      <c r="U74" s="52" t="s">
        <v>1869</v>
      </c>
      <c r="V74" s="52" t="s">
        <v>1870</v>
      </c>
      <c r="W74" s="243" t="s">
        <v>1676</v>
      </c>
      <c r="AA74" s="52">
        <v>50.0</v>
      </c>
      <c r="AB74" s="52">
        <v>100.0</v>
      </c>
      <c r="AC74" s="52">
        <v>150.0</v>
      </c>
      <c r="AD74" s="52">
        <v>200.0</v>
      </c>
      <c r="AE74" s="52">
        <v>300.0</v>
      </c>
      <c r="AF74" s="52">
        <v>400.0</v>
      </c>
      <c r="AG74" s="52">
        <v>500.0</v>
      </c>
      <c r="AH74" s="52">
        <v>600.0</v>
      </c>
      <c r="AI74" s="52">
        <v>700.0</v>
      </c>
      <c r="AJ74" s="52">
        <v>800.0</v>
      </c>
      <c r="AK74" s="52">
        <v>900.0</v>
      </c>
      <c r="AL74" s="52">
        <v>1000.0</v>
      </c>
    </row>
    <row r="75">
      <c r="B75" s="52" t="s">
        <v>1071</v>
      </c>
      <c r="C75" s="102">
        <v>1.0</v>
      </c>
      <c r="D75" s="157">
        <f t="shared" ref="D75:S75" si="109">2*10^-9*$F$72*$N$14  / (PI()*(0.305*10^-7*$F$14*D$74 / ($C75))^2)  </f>
        <v>4231.508605</v>
      </c>
      <c r="E75" s="157">
        <f t="shared" si="109"/>
        <v>10.57877151</v>
      </c>
      <c r="F75" s="157">
        <f t="shared" si="109"/>
        <v>2.644692878</v>
      </c>
      <c r="G75" s="157">
        <f t="shared" si="109"/>
        <v>1.175419057</v>
      </c>
      <c r="H75" s="157">
        <f t="shared" si="109"/>
        <v>0.6611732195</v>
      </c>
      <c r="I75" s="157">
        <f t="shared" si="109"/>
        <v>0.4231508605</v>
      </c>
      <c r="J75" s="157">
        <f t="shared" si="109"/>
        <v>0.1057877151</v>
      </c>
      <c r="K75" s="157">
        <f t="shared" si="109"/>
        <v>0.04701676228</v>
      </c>
      <c r="L75" s="157">
        <f t="shared" si="109"/>
        <v>0.02644692878</v>
      </c>
      <c r="M75" s="157">
        <f t="shared" si="109"/>
        <v>0.01692603442</v>
      </c>
      <c r="N75" s="157">
        <f t="shared" si="109"/>
        <v>0.004231508605</v>
      </c>
      <c r="O75" s="157">
        <f t="shared" si="109"/>
        <v>0.001880670491</v>
      </c>
      <c r="P75" s="157">
        <f t="shared" si="109"/>
        <v>0.001057877151</v>
      </c>
      <c r="Q75" s="157">
        <f t="shared" si="109"/>
        <v>0.0004701676228</v>
      </c>
      <c r="R75" s="157">
        <f t="shared" si="109"/>
        <v>0.0002644692878</v>
      </c>
      <c r="S75" s="157">
        <f t="shared" si="109"/>
        <v>0.0001692603442</v>
      </c>
      <c r="T75" s="111">
        <f t="shared" ref="T75:T85" si="113"> ($C75) / (0.0000000305 * $F$14) * SQRT( (0.000000002 * $F$72 * $N$14) / (0.1 * PI()) )</f>
        <v>205.7063102</v>
      </c>
      <c r="U75" s="111">
        <f t="shared" ref="U75:U85" si="114"> ($C75) / (0.0000000305 * $F$14) * SQRT( (0.000000002 * $F$72 * $N$14) / PI() )</f>
        <v>65.05004693</v>
      </c>
      <c r="V75" s="111">
        <f t="shared" ref="V75:V85" si="115"> ($C75) / (0.0000000305 * $F$14) * SQRT( (0.000000002 * $F$72 * $N$14) / (10 * PI()) )</f>
        <v>20.57063102</v>
      </c>
      <c r="W75" s="25" t="str">
        <f>#REF!/10</f>
        <v>#REF!</v>
      </c>
      <c r="X75" s="210">
        <f t="shared" ref="X75:Z75" si="110">T75/20</f>
        <v>10.28531551</v>
      </c>
      <c r="Y75" s="210">
        <f t="shared" si="110"/>
        <v>3.252502346</v>
      </c>
      <c r="Z75" s="210">
        <f t="shared" si="110"/>
        <v>1.028531551</v>
      </c>
      <c r="AA75" s="38">
        <f t="shared" ref="AA75:AH75" si="111">H75/($F$72*$C75)</f>
        <v>0.006611732195</v>
      </c>
      <c r="AB75" s="38">
        <f t="shared" si="111"/>
        <v>0.004231508605</v>
      </c>
      <c r="AC75" s="38">
        <f t="shared" si="111"/>
        <v>0.001057877151</v>
      </c>
      <c r="AD75" s="38">
        <f t="shared" si="111"/>
        <v>0.0004701676228</v>
      </c>
      <c r="AE75" s="38">
        <f t="shared" si="111"/>
        <v>0.0002644692878</v>
      </c>
      <c r="AF75" s="38">
        <f t="shared" si="111"/>
        <v>0.0001692603442</v>
      </c>
      <c r="AG75" s="38">
        <f t="shared" si="111"/>
        <v>0.00004231508605</v>
      </c>
      <c r="AH75" s="38">
        <f t="shared" si="111"/>
        <v>0.00001880670491</v>
      </c>
    </row>
    <row r="76">
      <c r="C76" s="102">
        <v>2.0</v>
      </c>
      <c r="D76" s="157">
        <f t="shared" ref="D76:S76" si="112">2*10^-9*$F$72*$N$14  / (PI()*(0.305*10^-7*$F$14*D$74 / ($C76))^2)  </f>
        <v>16926.03442</v>
      </c>
      <c r="E76" s="157">
        <f t="shared" si="112"/>
        <v>42.31508605</v>
      </c>
      <c r="F76" s="157">
        <f t="shared" si="112"/>
        <v>10.57877151</v>
      </c>
      <c r="G76" s="157">
        <f t="shared" si="112"/>
        <v>4.701676228</v>
      </c>
      <c r="H76" s="157">
        <f t="shared" si="112"/>
        <v>2.644692878</v>
      </c>
      <c r="I76" s="157">
        <f t="shared" si="112"/>
        <v>1.692603442</v>
      </c>
      <c r="J76" s="157">
        <f t="shared" si="112"/>
        <v>0.4231508605</v>
      </c>
      <c r="K76" s="157">
        <f t="shared" si="112"/>
        <v>0.1880670491</v>
      </c>
      <c r="L76" s="157">
        <f t="shared" si="112"/>
        <v>0.1057877151</v>
      </c>
      <c r="M76" s="157">
        <f t="shared" si="112"/>
        <v>0.06770413768</v>
      </c>
      <c r="N76" s="157">
        <f t="shared" si="112"/>
        <v>0.01692603442</v>
      </c>
      <c r="O76" s="157">
        <f t="shared" si="112"/>
        <v>0.007522681964</v>
      </c>
      <c r="P76" s="157">
        <f t="shared" si="112"/>
        <v>0.004231508605</v>
      </c>
      <c r="Q76" s="157">
        <f t="shared" si="112"/>
        <v>0.001880670491</v>
      </c>
      <c r="R76" s="157">
        <f t="shared" si="112"/>
        <v>0.001057877151</v>
      </c>
      <c r="S76" s="157">
        <f t="shared" si="112"/>
        <v>0.0006770413768</v>
      </c>
      <c r="T76" s="111">
        <f t="shared" si="113"/>
        <v>411.4126204</v>
      </c>
      <c r="U76" s="111">
        <f t="shared" si="114"/>
        <v>130.1000939</v>
      </c>
      <c r="V76" s="111">
        <f t="shared" si="115"/>
        <v>41.14126204</v>
      </c>
      <c r="W76" s="25">
        <f t="shared" ref="W76:W85" si="119">(T76-U76)/12</f>
        <v>23.44271054</v>
      </c>
      <c r="X76" s="210">
        <f t="shared" ref="X76:Z76" si="116">T76/20</f>
        <v>20.57063102</v>
      </c>
      <c r="Y76" s="210">
        <f t="shared" si="116"/>
        <v>6.505004693</v>
      </c>
      <c r="Z76" s="210">
        <f t="shared" si="116"/>
        <v>2.057063102</v>
      </c>
      <c r="AA76" s="38">
        <f t="shared" ref="AA76:AH76" si="117">H76/($F$72*$C76)</f>
        <v>0.01322346439</v>
      </c>
      <c r="AB76" s="38">
        <f t="shared" si="117"/>
        <v>0.00846301721</v>
      </c>
      <c r="AC76" s="38">
        <f t="shared" si="117"/>
        <v>0.002115754302</v>
      </c>
      <c r="AD76" s="38">
        <f t="shared" si="117"/>
        <v>0.0009403352456</v>
      </c>
      <c r="AE76" s="38">
        <f t="shared" si="117"/>
        <v>0.0005289385756</v>
      </c>
      <c r="AF76" s="38">
        <f t="shared" si="117"/>
        <v>0.0003385206884</v>
      </c>
      <c r="AG76" s="38">
        <f t="shared" si="117"/>
        <v>0.0000846301721</v>
      </c>
      <c r="AH76" s="38">
        <f t="shared" si="117"/>
        <v>0.00003761340982</v>
      </c>
    </row>
    <row r="77">
      <c r="C77" s="102">
        <v>3.0</v>
      </c>
      <c r="D77" s="157">
        <f t="shared" ref="D77:S77" si="118">2*10^-9*$F$72*$N$14  / (PI()*(0.305*10^-7*$F$14*D$74 / ($C77))^2)  </f>
        <v>38083.57744</v>
      </c>
      <c r="E77" s="157">
        <f t="shared" si="118"/>
        <v>95.20894361</v>
      </c>
      <c r="F77" s="157">
        <f t="shared" si="118"/>
        <v>23.8022359</v>
      </c>
      <c r="G77" s="157">
        <f t="shared" si="118"/>
        <v>10.57877151</v>
      </c>
      <c r="H77" s="157">
        <f t="shared" si="118"/>
        <v>5.950558976</v>
      </c>
      <c r="I77" s="157">
        <f t="shared" si="118"/>
        <v>3.808357744</v>
      </c>
      <c r="J77" s="157">
        <f t="shared" si="118"/>
        <v>0.9520894361</v>
      </c>
      <c r="K77" s="157">
        <f t="shared" si="118"/>
        <v>0.4231508605</v>
      </c>
      <c r="L77" s="157">
        <f t="shared" si="118"/>
        <v>0.238022359</v>
      </c>
      <c r="M77" s="157">
        <f t="shared" si="118"/>
        <v>0.1523343098</v>
      </c>
      <c r="N77" s="157">
        <f t="shared" si="118"/>
        <v>0.03808357744</v>
      </c>
      <c r="O77" s="157">
        <f t="shared" si="118"/>
        <v>0.01692603442</v>
      </c>
      <c r="P77" s="157">
        <f t="shared" si="118"/>
        <v>0.009520894361</v>
      </c>
      <c r="Q77" s="157">
        <f t="shared" si="118"/>
        <v>0.004231508605</v>
      </c>
      <c r="R77" s="157">
        <f t="shared" si="118"/>
        <v>0.00238022359</v>
      </c>
      <c r="S77" s="157">
        <f t="shared" si="118"/>
        <v>0.001523343098</v>
      </c>
      <c r="T77" s="111">
        <f t="shared" si="113"/>
        <v>617.1189306</v>
      </c>
      <c r="U77" s="111">
        <f t="shared" si="114"/>
        <v>195.1501408</v>
      </c>
      <c r="V77" s="111">
        <f t="shared" si="115"/>
        <v>61.71189306</v>
      </c>
      <c r="W77" s="25">
        <f t="shared" si="119"/>
        <v>35.16406581</v>
      </c>
      <c r="X77" s="210">
        <f t="shared" ref="X77:Z77" si="120">T77/20</f>
        <v>30.85594653</v>
      </c>
      <c r="Y77" s="210">
        <f t="shared" si="120"/>
        <v>9.757507039</v>
      </c>
      <c r="Z77" s="210">
        <f t="shared" si="120"/>
        <v>3.085594653</v>
      </c>
      <c r="AA77" s="74"/>
      <c r="AB77" s="74"/>
      <c r="AC77" s="74"/>
      <c r="AD77" s="38">
        <f>AB75/4</f>
        <v>0.001057877151</v>
      </c>
      <c r="AE77" s="74"/>
      <c r="AF77" s="38">
        <f>AD75/4</f>
        <v>0.0001175419057</v>
      </c>
      <c r="AG77" s="74"/>
      <c r="AH77" s="38">
        <f>AF75/4</f>
        <v>0.00004231508605</v>
      </c>
    </row>
    <row r="78">
      <c r="C78" s="102">
        <v>4.0</v>
      </c>
      <c r="D78" s="157">
        <f t="shared" ref="D78:S78" si="121">2*10^-9*$F$72*$N$14  / (PI()*(0.305*10^-7*$F$14*D$74 / ($C78))^2)  </f>
        <v>67704.13768</v>
      </c>
      <c r="E78" s="157">
        <f t="shared" si="121"/>
        <v>169.2603442</v>
      </c>
      <c r="F78" s="157">
        <f t="shared" si="121"/>
        <v>42.31508605</v>
      </c>
      <c r="G78" s="157">
        <f t="shared" si="121"/>
        <v>18.80670491</v>
      </c>
      <c r="H78" s="157">
        <f t="shared" si="121"/>
        <v>10.57877151</v>
      </c>
      <c r="I78" s="157">
        <f t="shared" si="121"/>
        <v>6.770413768</v>
      </c>
      <c r="J78" s="157">
        <f t="shared" si="121"/>
        <v>1.692603442</v>
      </c>
      <c r="K78" s="157">
        <f t="shared" si="121"/>
        <v>0.7522681964</v>
      </c>
      <c r="L78" s="157">
        <f t="shared" si="121"/>
        <v>0.4231508605</v>
      </c>
      <c r="M78" s="157">
        <f t="shared" si="121"/>
        <v>0.2708165507</v>
      </c>
      <c r="N78" s="157">
        <f t="shared" si="121"/>
        <v>0.06770413768</v>
      </c>
      <c r="O78" s="157">
        <f t="shared" si="121"/>
        <v>0.03009072786</v>
      </c>
      <c r="P78" s="157">
        <f t="shared" si="121"/>
        <v>0.01692603442</v>
      </c>
      <c r="Q78" s="157">
        <f t="shared" si="121"/>
        <v>0.007522681964</v>
      </c>
      <c r="R78" s="157">
        <f t="shared" si="121"/>
        <v>0.004231508605</v>
      </c>
      <c r="S78" s="157">
        <f t="shared" si="121"/>
        <v>0.002708165507</v>
      </c>
      <c r="T78" s="111">
        <f t="shared" si="113"/>
        <v>822.8252407</v>
      </c>
      <c r="U78" s="111">
        <f t="shared" si="114"/>
        <v>260.2001877</v>
      </c>
      <c r="V78" s="111">
        <f t="shared" si="115"/>
        <v>82.28252407</v>
      </c>
      <c r="W78" s="25">
        <f t="shared" si="119"/>
        <v>46.88542109</v>
      </c>
      <c r="X78" s="210">
        <f t="shared" ref="X78:Z78" si="122">T78/20</f>
        <v>41.14126204</v>
      </c>
      <c r="Y78" s="210">
        <f t="shared" si="122"/>
        <v>13.01000939</v>
      </c>
      <c r="Z78" s="210">
        <f t="shared" si="122"/>
        <v>4.114126204</v>
      </c>
      <c r="AA78" s="74"/>
      <c r="AB78" s="74"/>
      <c r="AC78" s="74"/>
      <c r="AD78" s="74"/>
      <c r="AE78" s="74"/>
      <c r="AF78" s="74"/>
      <c r="AG78" s="74"/>
      <c r="AH78" s="74"/>
    </row>
    <row r="79">
      <c r="C79" s="102">
        <v>5.0</v>
      </c>
      <c r="D79" s="157">
        <f t="shared" ref="D79:S79" si="123">2*10^-9*$F$72*$N$14  / (PI()*(0.305*10^-7*$F$14*D$74 / ($C79))^2)  </f>
        <v>105787.7151</v>
      </c>
      <c r="E79" s="157">
        <f t="shared" si="123"/>
        <v>264.4692878</v>
      </c>
      <c r="F79" s="157">
        <f t="shared" si="123"/>
        <v>66.11732195</v>
      </c>
      <c r="G79" s="157">
        <f t="shared" si="123"/>
        <v>29.38547642</v>
      </c>
      <c r="H79" s="157">
        <f t="shared" si="123"/>
        <v>16.52933049</v>
      </c>
      <c r="I79" s="157">
        <f t="shared" si="123"/>
        <v>10.57877151</v>
      </c>
      <c r="J79" s="157">
        <f t="shared" si="123"/>
        <v>2.644692878</v>
      </c>
      <c r="K79" s="157">
        <f t="shared" si="123"/>
        <v>1.175419057</v>
      </c>
      <c r="L79" s="157">
        <f t="shared" si="123"/>
        <v>0.6611732195</v>
      </c>
      <c r="M79" s="157">
        <f t="shared" si="123"/>
        <v>0.4231508605</v>
      </c>
      <c r="N79" s="157">
        <f t="shared" si="123"/>
        <v>0.1057877151</v>
      </c>
      <c r="O79" s="157">
        <f t="shared" si="123"/>
        <v>0.04701676228</v>
      </c>
      <c r="P79" s="157">
        <f t="shared" si="123"/>
        <v>0.02644692878</v>
      </c>
      <c r="Q79" s="157">
        <f t="shared" si="123"/>
        <v>0.01175419057</v>
      </c>
      <c r="R79" s="157">
        <f t="shared" si="123"/>
        <v>0.006611732195</v>
      </c>
      <c r="S79" s="157">
        <f t="shared" si="123"/>
        <v>0.004231508605</v>
      </c>
      <c r="T79" s="111">
        <f t="shared" si="113"/>
        <v>1028.531551</v>
      </c>
      <c r="U79" s="111">
        <f t="shared" si="114"/>
        <v>325.2502346</v>
      </c>
      <c r="V79" s="111">
        <f t="shared" si="115"/>
        <v>102.8531551</v>
      </c>
      <c r="W79" s="25">
        <f t="shared" si="119"/>
        <v>58.60677636</v>
      </c>
      <c r="X79" s="210">
        <f t="shared" ref="X79:Z79" si="124">T79/20</f>
        <v>51.42657755</v>
      </c>
      <c r="Y79" s="210">
        <f t="shared" si="124"/>
        <v>16.26251173</v>
      </c>
      <c r="Z79" s="210">
        <f t="shared" si="124"/>
        <v>5.142657755</v>
      </c>
      <c r="AA79" t="str">
        <f t="shared" ref="AA79:AA80" si="127">AA74/#REF!</f>
        <v>#REF!</v>
      </c>
      <c r="AB79">
        <f t="shared" ref="AB79:AB80" si="128">AB74/AA74</f>
        <v>2</v>
      </c>
    </row>
    <row r="80">
      <c r="C80" s="102">
        <v>10.0</v>
      </c>
      <c r="D80" s="157">
        <f t="shared" ref="D80:S80" si="125">2*10^-9*$F$72*$N$14  / (PI()*(0.305*10^-7*$F$14*D$74 / ($C80))^2)  </f>
        <v>423150.8605</v>
      </c>
      <c r="E80" s="157">
        <f t="shared" si="125"/>
        <v>1057.877151</v>
      </c>
      <c r="F80" s="157">
        <f t="shared" si="125"/>
        <v>264.4692878</v>
      </c>
      <c r="G80" s="157">
        <f t="shared" si="125"/>
        <v>117.5419057</v>
      </c>
      <c r="H80" s="157">
        <f t="shared" si="125"/>
        <v>66.11732195</v>
      </c>
      <c r="I80" s="157">
        <f t="shared" si="125"/>
        <v>42.31508605</v>
      </c>
      <c r="J80" s="157">
        <f t="shared" si="125"/>
        <v>10.57877151</v>
      </c>
      <c r="K80" s="157">
        <f t="shared" si="125"/>
        <v>4.701676228</v>
      </c>
      <c r="L80" s="157">
        <f t="shared" si="125"/>
        <v>2.644692878</v>
      </c>
      <c r="M80" s="157">
        <f t="shared" si="125"/>
        <v>1.692603442</v>
      </c>
      <c r="N80" s="157">
        <f t="shared" si="125"/>
        <v>0.4231508605</v>
      </c>
      <c r="O80" s="157">
        <f t="shared" si="125"/>
        <v>0.1880670491</v>
      </c>
      <c r="P80" s="157">
        <f t="shared" si="125"/>
        <v>0.1057877151</v>
      </c>
      <c r="Q80" s="157">
        <f t="shared" si="125"/>
        <v>0.04701676228</v>
      </c>
      <c r="R80" s="157">
        <f t="shared" si="125"/>
        <v>0.02644692878</v>
      </c>
      <c r="S80" s="157">
        <f t="shared" si="125"/>
        <v>0.01692603442</v>
      </c>
      <c r="T80" s="111">
        <f t="shared" si="113"/>
        <v>2057.063102</v>
      </c>
      <c r="U80" s="111">
        <f t="shared" si="114"/>
        <v>650.5004693</v>
      </c>
      <c r="V80" s="111">
        <f t="shared" si="115"/>
        <v>205.7063102</v>
      </c>
      <c r="W80" s="25">
        <f t="shared" si="119"/>
        <v>117.2135527</v>
      </c>
      <c r="X80" s="210">
        <f t="shared" ref="X80:Z80" si="126">T80/20</f>
        <v>102.8531551</v>
      </c>
      <c r="Y80" s="210">
        <f t="shared" si="126"/>
        <v>32.52502346</v>
      </c>
      <c r="Z80" s="210">
        <f t="shared" si="126"/>
        <v>10.28531551</v>
      </c>
      <c r="AA80" s="96" t="str">
        <f t="shared" si="127"/>
        <v>#REF!</v>
      </c>
      <c r="AB80" s="96">
        <f t="shared" si="128"/>
        <v>0.64</v>
      </c>
      <c r="AC80" s="96">
        <f>AC75/AC74/4</f>
        <v>0.000001763128585</v>
      </c>
      <c r="AD80" s="96">
        <f t="shared" ref="AD80:AI80" si="129">AD75/AD74</f>
        <v>0.000002350838114</v>
      </c>
      <c r="AE80" s="96">
        <f t="shared" si="129"/>
        <v>0.0000008815642927</v>
      </c>
      <c r="AF80" s="96">
        <f t="shared" si="129"/>
        <v>0.0000004231508605</v>
      </c>
      <c r="AG80" s="96">
        <f t="shared" si="129"/>
        <v>0.0000000846301721</v>
      </c>
      <c r="AH80" s="96">
        <f t="shared" si="129"/>
        <v>0.00000003134450819</v>
      </c>
      <c r="AI80" s="96">
        <f t="shared" si="129"/>
        <v>0</v>
      </c>
    </row>
    <row r="81">
      <c r="C81" s="102">
        <v>25.0</v>
      </c>
      <c r="D81" s="157">
        <f t="shared" ref="D81:S81" si="130">2*10^-9*$F$72*$N$14  / (PI()*(0.305*10^-7*$F$14*D$74 / ($C81))^2)  </f>
        <v>2644692.878</v>
      </c>
      <c r="E81" s="157">
        <f t="shared" si="130"/>
        <v>6611.732195</v>
      </c>
      <c r="F81" s="157">
        <f t="shared" si="130"/>
        <v>1652.933049</v>
      </c>
      <c r="G81" s="157">
        <f t="shared" si="130"/>
        <v>734.6369106</v>
      </c>
      <c r="H81" s="157">
        <f t="shared" si="130"/>
        <v>413.2332622</v>
      </c>
      <c r="I81" s="157">
        <f t="shared" si="130"/>
        <v>264.4692878</v>
      </c>
      <c r="J81" s="157">
        <f t="shared" si="130"/>
        <v>66.11732195</v>
      </c>
      <c r="K81" s="157">
        <f t="shared" si="130"/>
        <v>29.38547642</v>
      </c>
      <c r="L81" s="157">
        <f t="shared" si="130"/>
        <v>16.52933049</v>
      </c>
      <c r="M81" s="157">
        <f t="shared" si="130"/>
        <v>10.57877151</v>
      </c>
      <c r="N81" s="157">
        <f t="shared" si="130"/>
        <v>2.644692878</v>
      </c>
      <c r="O81" s="157">
        <f t="shared" si="130"/>
        <v>1.175419057</v>
      </c>
      <c r="P81" s="157">
        <f t="shared" si="130"/>
        <v>0.6611732195</v>
      </c>
      <c r="Q81" s="157">
        <f t="shared" si="130"/>
        <v>0.2938547642</v>
      </c>
      <c r="R81" s="157">
        <f t="shared" si="130"/>
        <v>0.1652933049</v>
      </c>
      <c r="S81" s="157">
        <f t="shared" si="130"/>
        <v>0.1057877151</v>
      </c>
      <c r="T81" s="111">
        <f t="shared" si="113"/>
        <v>5142.657755</v>
      </c>
      <c r="U81" s="111">
        <f t="shared" si="114"/>
        <v>1626.251173</v>
      </c>
      <c r="V81" s="111">
        <f t="shared" si="115"/>
        <v>514.2657755</v>
      </c>
      <c r="W81" s="25">
        <f t="shared" si="119"/>
        <v>293.0338818</v>
      </c>
      <c r="X81" s="210">
        <f t="shared" ref="X81:Z81" si="131">T81/20</f>
        <v>257.1328877</v>
      </c>
      <c r="Y81" s="210">
        <f t="shared" si="131"/>
        <v>81.31255866</v>
      </c>
      <c r="Z81" s="210">
        <f t="shared" si="131"/>
        <v>25.71328877</v>
      </c>
      <c r="AA81" s="38">
        <f t="shared" ref="AA81:AB81" si="132">AA74/10</f>
        <v>5</v>
      </c>
      <c r="AB81" s="38">
        <f t="shared" si="132"/>
        <v>10</v>
      </c>
      <c r="AC81" s="38">
        <f t="shared" ref="AC81:AI81" si="133">AC80/AB80</f>
        <v>0.000002754888415</v>
      </c>
      <c r="AD81" s="38">
        <f t="shared" si="133"/>
        <v>1.333333333</v>
      </c>
      <c r="AE81" s="38">
        <f t="shared" si="133"/>
        <v>0.375</v>
      </c>
      <c r="AF81" s="38">
        <f t="shared" si="133"/>
        <v>0.48</v>
      </c>
      <c r="AG81" s="38">
        <f t="shared" si="133"/>
        <v>0.2</v>
      </c>
      <c r="AH81" s="38">
        <f t="shared" si="133"/>
        <v>0.3703703704</v>
      </c>
      <c r="AI81" s="38">
        <f t="shared" si="133"/>
        <v>0</v>
      </c>
    </row>
    <row r="82">
      <c r="C82" s="102">
        <v>50.0</v>
      </c>
      <c r="D82" s="157">
        <f t="shared" ref="D82:S82" si="134">2*10^-9*$F$72*$N$14  / (PI()*(0.305*10^-7*$F$14*D$74 / ($C82))^2)  </f>
        <v>10578771.51</v>
      </c>
      <c r="E82" s="157">
        <f t="shared" si="134"/>
        <v>26446.92878</v>
      </c>
      <c r="F82" s="157">
        <f t="shared" si="134"/>
        <v>6611.732195</v>
      </c>
      <c r="G82" s="157">
        <f t="shared" si="134"/>
        <v>2938.547642</v>
      </c>
      <c r="H82" s="157">
        <f t="shared" si="134"/>
        <v>1652.933049</v>
      </c>
      <c r="I82" s="157">
        <f t="shared" si="134"/>
        <v>1057.877151</v>
      </c>
      <c r="J82" s="157">
        <f t="shared" si="134"/>
        <v>264.4692878</v>
      </c>
      <c r="K82" s="157">
        <f t="shared" si="134"/>
        <v>117.5419057</v>
      </c>
      <c r="L82" s="157">
        <f t="shared" si="134"/>
        <v>66.11732195</v>
      </c>
      <c r="M82" s="157">
        <f t="shared" si="134"/>
        <v>42.31508605</v>
      </c>
      <c r="N82" s="157">
        <f t="shared" si="134"/>
        <v>10.57877151</v>
      </c>
      <c r="O82" s="157">
        <f t="shared" si="134"/>
        <v>4.701676228</v>
      </c>
      <c r="P82" s="157">
        <f t="shared" si="134"/>
        <v>2.644692878</v>
      </c>
      <c r="Q82" s="157">
        <f t="shared" si="134"/>
        <v>1.175419057</v>
      </c>
      <c r="R82" s="157">
        <f t="shared" si="134"/>
        <v>0.6611732195</v>
      </c>
      <c r="S82" s="157">
        <f t="shared" si="134"/>
        <v>0.4231508605</v>
      </c>
      <c r="T82" s="111">
        <f t="shared" si="113"/>
        <v>10285.31551</v>
      </c>
      <c r="U82" s="111">
        <f t="shared" si="114"/>
        <v>3252.502346</v>
      </c>
      <c r="V82" s="111">
        <f t="shared" si="115"/>
        <v>1028.531551</v>
      </c>
      <c r="W82" s="25">
        <f t="shared" si="119"/>
        <v>586.0677636</v>
      </c>
      <c r="X82" s="210">
        <f t="shared" ref="X82:Z82" si="135">T82/20</f>
        <v>514.2657755</v>
      </c>
      <c r="Y82" s="210">
        <f t="shared" si="135"/>
        <v>162.6251173</v>
      </c>
      <c r="Z82" s="210">
        <f t="shared" si="135"/>
        <v>51.42657755</v>
      </c>
      <c r="AA82" s="214">
        <f t="shared" ref="AA82:AB82" si="136">AA75/50</f>
        <v>0.0001322346439</v>
      </c>
      <c r="AB82" s="214">
        <f t="shared" si="136"/>
        <v>0.0000846301721</v>
      </c>
      <c r="AC82" s="74">
        <f t="shared" ref="AC82:AE82" si="137">AC75/$AB$75</f>
        <v>0.25</v>
      </c>
      <c r="AD82">
        <f t="shared" si="137"/>
        <v>0.1111111111</v>
      </c>
      <c r="AE82">
        <f t="shared" si="137"/>
        <v>0.0625</v>
      </c>
    </row>
    <row r="83">
      <c r="C83" s="102">
        <v>100.0</v>
      </c>
      <c r="D83" s="157">
        <f t="shared" ref="D83:S83" si="138">2*10^-9*$F$72*$N$14  / (PI()*(0.305*10^-7*$F$14*D$74 / ($C83))^2)  </f>
        <v>42315086.05</v>
      </c>
      <c r="E83" s="157">
        <f t="shared" si="138"/>
        <v>105787.7151</v>
      </c>
      <c r="F83" s="157">
        <f t="shared" si="138"/>
        <v>26446.92878</v>
      </c>
      <c r="G83" s="157">
        <f t="shared" si="138"/>
        <v>11754.19057</v>
      </c>
      <c r="H83" s="157">
        <f t="shared" si="138"/>
        <v>6611.732195</v>
      </c>
      <c r="I83" s="157">
        <f t="shared" si="138"/>
        <v>4231.508605</v>
      </c>
      <c r="J83" s="157">
        <f t="shared" si="138"/>
        <v>1057.877151</v>
      </c>
      <c r="K83" s="157">
        <f t="shared" si="138"/>
        <v>470.1676228</v>
      </c>
      <c r="L83" s="157">
        <f t="shared" si="138"/>
        <v>264.4692878</v>
      </c>
      <c r="M83" s="157">
        <f t="shared" si="138"/>
        <v>169.2603442</v>
      </c>
      <c r="N83" s="157">
        <f t="shared" si="138"/>
        <v>42.31508605</v>
      </c>
      <c r="O83" s="157">
        <f t="shared" si="138"/>
        <v>18.80670491</v>
      </c>
      <c r="P83" s="157">
        <f t="shared" si="138"/>
        <v>10.57877151</v>
      </c>
      <c r="Q83" s="157">
        <f t="shared" si="138"/>
        <v>4.701676228</v>
      </c>
      <c r="R83" s="157">
        <f t="shared" si="138"/>
        <v>2.644692878</v>
      </c>
      <c r="S83" s="157">
        <f t="shared" si="138"/>
        <v>1.692603442</v>
      </c>
      <c r="T83" s="111">
        <f t="shared" si="113"/>
        <v>20570.63102</v>
      </c>
      <c r="U83" s="111">
        <f t="shared" si="114"/>
        <v>6505.004693</v>
      </c>
      <c r="V83" s="111">
        <f t="shared" si="115"/>
        <v>2057.063102</v>
      </c>
      <c r="W83" s="25">
        <f t="shared" si="119"/>
        <v>1172.135527</v>
      </c>
      <c r="X83" s="210">
        <f t="shared" ref="X83:Z83" si="139">T83/20</f>
        <v>1028.531551</v>
      </c>
      <c r="Y83" s="210">
        <f t="shared" si="139"/>
        <v>325.2502346</v>
      </c>
      <c r="Z83" s="210">
        <f t="shared" si="139"/>
        <v>102.8531551</v>
      </c>
      <c r="AA83" s="38">
        <f t="shared" ref="AA83:AB83" si="140">1/AA81^2</f>
        <v>0.04</v>
      </c>
      <c r="AB83" s="38">
        <f t="shared" si="140"/>
        <v>0.01</v>
      </c>
    </row>
    <row r="84">
      <c r="C84" s="102">
        <v>500.0</v>
      </c>
      <c r="D84" s="157">
        <f t="shared" ref="D84:S84" si="141">2*10^-9*$F$72*$N$14  / (PI()*(0.305*10^-7*$F$14*D$74 / ($C84))^2)  </f>
        <v>1057877151</v>
      </c>
      <c r="E84" s="157">
        <f t="shared" si="141"/>
        <v>2644692.878</v>
      </c>
      <c r="F84" s="157">
        <f t="shared" si="141"/>
        <v>661173.2195</v>
      </c>
      <c r="G84" s="157">
        <f t="shared" si="141"/>
        <v>293854.7642</v>
      </c>
      <c r="H84" s="157">
        <f t="shared" si="141"/>
        <v>165293.3049</v>
      </c>
      <c r="I84" s="157">
        <f t="shared" si="141"/>
        <v>105787.7151</v>
      </c>
      <c r="J84" s="157">
        <f t="shared" si="141"/>
        <v>26446.92878</v>
      </c>
      <c r="K84" s="157">
        <f t="shared" si="141"/>
        <v>11754.19057</v>
      </c>
      <c r="L84" s="157">
        <f t="shared" si="141"/>
        <v>6611.732195</v>
      </c>
      <c r="M84" s="157">
        <f t="shared" si="141"/>
        <v>4231.508605</v>
      </c>
      <c r="N84" s="157">
        <f t="shared" si="141"/>
        <v>1057.877151</v>
      </c>
      <c r="O84" s="157">
        <f t="shared" si="141"/>
        <v>470.1676228</v>
      </c>
      <c r="P84" s="157">
        <f t="shared" si="141"/>
        <v>264.4692878</v>
      </c>
      <c r="Q84" s="157">
        <f t="shared" si="141"/>
        <v>117.5419057</v>
      </c>
      <c r="R84" s="157">
        <f t="shared" si="141"/>
        <v>66.11732195</v>
      </c>
      <c r="S84" s="157">
        <f t="shared" si="141"/>
        <v>42.31508605</v>
      </c>
      <c r="T84" s="111">
        <f t="shared" si="113"/>
        <v>102853.1551</v>
      </c>
      <c r="U84" s="111">
        <f t="shared" si="114"/>
        <v>32525.02346</v>
      </c>
      <c r="V84" s="111">
        <f t="shared" si="115"/>
        <v>10285.31551</v>
      </c>
      <c r="W84" s="25">
        <f t="shared" si="119"/>
        <v>5860.677636</v>
      </c>
      <c r="X84" s="210">
        <f t="shared" ref="X84:Z84" si="142">T84/20</f>
        <v>5142.657755</v>
      </c>
      <c r="Y84" s="210">
        <f t="shared" si="142"/>
        <v>1626.251173</v>
      </c>
      <c r="Z84" s="210">
        <f t="shared" si="142"/>
        <v>514.2657755</v>
      </c>
    </row>
    <row r="85">
      <c r="C85" s="102">
        <v>1000.0</v>
      </c>
      <c r="D85" s="157">
        <f t="shared" ref="D85:S85" si="143">2*10^-9*$F$72*$N$14  / (PI()*(0.305*10^-7*$F$14*D$74 / ($C85))^2)  </f>
        <v>4231508605</v>
      </c>
      <c r="E85" s="157">
        <f t="shared" si="143"/>
        <v>10578771.51</v>
      </c>
      <c r="F85" s="157">
        <f t="shared" si="143"/>
        <v>2644692.878</v>
      </c>
      <c r="G85" s="157">
        <f t="shared" si="143"/>
        <v>1175419.057</v>
      </c>
      <c r="H85" s="157">
        <f t="shared" si="143"/>
        <v>661173.2195</v>
      </c>
      <c r="I85" s="157">
        <f t="shared" si="143"/>
        <v>423150.8605</v>
      </c>
      <c r="J85" s="157">
        <f t="shared" si="143"/>
        <v>105787.7151</v>
      </c>
      <c r="K85" s="157">
        <f t="shared" si="143"/>
        <v>47016.76228</v>
      </c>
      <c r="L85" s="157">
        <f t="shared" si="143"/>
        <v>26446.92878</v>
      </c>
      <c r="M85" s="157">
        <f t="shared" si="143"/>
        <v>16926.03442</v>
      </c>
      <c r="N85" s="157">
        <f t="shared" si="143"/>
        <v>4231.508605</v>
      </c>
      <c r="O85" s="157">
        <f t="shared" si="143"/>
        <v>1880.670491</v>
      </c>
      <c r="P85" s="157">
        <f t="shared" si="143"/>
        <v>1057.877151</v>
      </c>
      <c r="Q85" s="157">
        <f t="shared" si="143"/>
        <v>470.1676228</v>
      </c>
      <c r="R85" s="157">
        <f t="shared" si="143"/>
        <v>264.4692878</v>
      </c>
      <c r="S85" s="157">
        <f t="shared" si="143"/>
        <v>169.2603442</v>
      </c>
      <c r="T85" s="111">
        <f t="shared" si="113"/>
        <v>205706.3102</v>
      </c>
      <c r="U85" s="111">
        <f t="shared" si="114"/>
        <v>65050.04693</v>
      </c>
      <c r="V85" s="111">
        <f t="shared" si="115"/>
        <v>20570.63102</v>
      </c>
      <c r="W85" s="25">
        <f t="shared" si="119"/>
        <v>11721.35527</v>
      </c>
      <c r="X85" s="74">
        <f t="shared" ref="X85:Z85" si="144">T85/1500000</f>
        <v>0.1371375401</v>
      </c>
      <c r="Y85" s="74">
        <f t="shared" si="144"/>
        <v>0.04336669795</v>
      </c>
      <c r="Z85" s="74">
        <f t="shared" si="144"/>
        <v>0.01371375401</v>
      </c>
      <c r="AA85" s="52" t="s">
        <v>1703</v>
      </c>
      <c r="AH85" s="2" t="s">
        <v>1896</v>
      </c>
    </row>
    <row r="86">
      <c r="AA86" s="2" t="s">
        <v>1705</v>
      </c>
      <c r="AB86" s="25"/>
      <c r="AH86" s="2" t="s">
        <v>1897</v>
      </c>
    </row>
    <row r="87">
      <c r="C87" s="258">
        <v>45342.0</v>
      </c>
      <c r="D87">
        <f>E74/20</f>
        <v>1</v>
      </c>
      <c r="H87">
        <f>I74/20</f>
        <v>5</v>
      </c>
      <c r="J87">
        <f>K74/20</f>
        <v>15</v>
      </c>
      <c r="M87">
        <f>N74/20</f>
        <v>50</v>
      </c>
      <c r="AA87" s="2" t="s">
        <v>1707</v>
      </c>
      <c r="AB87" s="25"/>
    </row>
    <row r="88">
      <c r="C88" s="5" t="s">
        <v>1898</v>
      </c>
      <c r="H88">
        <f>I74/20</f>
        <v>5</v>
      </c>
      <c r="L88">
        <f>M74/20</f>
        <v>25</v>
      </c>
      <c r="N88">
        <f>O74/20</f>
        <v>75</v>
      </c>
      <c r="R88">
        <f>S74/20</f>
        <v>250</v>
      </c>
      <c r="AA88" s="2" t="s">
        <v>1710</v>
      </c>
      <c r="AB88" s="25"/>
      <c r="AH88" s="2" t="s">
        <v>1615</v>
      </c>
    </row>
    <row r="89">
      <c r="E89" s="2"/>
      <c r="AA89" s="2" t="s">
        <v>1712</v>
      </c>
      <c r="AB89" s="25"/>
    </row>
    <row r="90">
      <c r="AA90" s="2" t="s">
        <v>1713</v>
      </c>
      <c r="AB90" s="25"/>
      <c r="AH90" s="2" t="s">
        <v>1899</v>
      </c>
    </row>
    <row r="91">
      <c r="AA91" s="2" t="s">
        <v>1719</v>
      </c>
      <c r="AH91" s="2" t="s">
        <v>1900</v>
      </c>
    </row>
    <row r="92">
      <c r="AA92" s="2" t="s">
        <v>1725</v>
      </c>
      <c r="AH92" s="2" t="s">
        <v>1901</v>
      </c>
    </row>
    <row r="93">
      <c r="AA93" s="2" t="s">
        <v>1727</v>
      </c>
      <c r="AH93" s="2" t="s">
        <v>1902</v>
      </c>
    </row>
    <row r="94">
      <c r="AA94" s="2" t="s">
        <v>1728</v>
      </c>
      <c r="AH94" s="2" t="s">
        <v>1907</v>
      </c>
    </row>
    <row r="95">
      <c r="AA95" s="2" t="s">
        <v>1733</v>
      </c>
      <c r="AH95" s="2" t="s">
        <v>1909</v>
      </c>
    </row>
    <row r="96">
      <c r="AA96" s="2" t="s">
        <v>1737</v>
      </c>
      <c r="AH96" s="2" t="s">
        <v>1911</v>
      </c>
    </row>
    <row r="97">
      <c r="AA97" s="2" t="s">
        <v>1742</v>
      </c>
    </row>
    <row r="98">
      <c r="P98" s="2" t="s">
        <v>1914</v>
      </c>
      <c r="AA98" s="2" t="s">
        <v>1746</v>
      </c>
    </row>
    <row r="99">
      <c r="P99" s="2" t="s">
        <v>1917</v>
      </c>
    </row>
    <row r="100">
      <c r="B100" s="2" t="s">
        <v>1919</v>
      </c>
      <c r="C100">
        <f>5*5 / (0.7854 * 10000 * ((4000 + 4000)/300000)^4)</f>
        <v>6294.687619</v>
      </c>
      <c r="P100" s="2" t="s">
        <v>1921</v>
      </c>
    </row>
    <row r="101">
      <c r="P101" s="2" t="s">
        <v>1901</v>
      </c>
    </row>
    <row r="102">
      <c r="P102" s="2" t="s">
        <v>1902</v>
      </c>
    </row>
    <row r="103">
      <c r="P103" s="2" t="s">
        <v>1907</v>
      </c>
    </row>
    <row r="104">
      <c r="P104" s="2" t="s">
        <v>1927</v>
      </c>
    </row>
    <row r="106">
      <c r="N106" s="2" t="s">
        <v>1929</v>
      </c>
      <c r="P106" s="2" t="s">
        <v>1930</v>
      </c>
    </row>
  </sheetData>
  <mergeCells count="2">
    <mergeCell ref="AQ4:AS4"/>
    <mergeCell ref="AR5:AS5"/>
  </mergeCells>
  <conditionalFormatting sqref="D75:S85">
    <cfRule type="cellIs" dxfId="5" priority="1" operator="greaterThan">
      <formula>100</formula>
    </cfRule>
  </conditionalFormatting>
  <conditionalFormatting sqref="D75:S85">
    <cfRule type="cellIs" dxfId="6" priority="2" operator="greaterThan">
      <formula>10</formula>
    </cfRule>
  </conditionalFormatting>
  <conditionalFormatting sqref="D75:S85">
    <cfRule type="cellIs" dxfId="7" priority="3" operator="greaterThanOrEqual">
      <formula>1</formula>
    </cfRule>
  </conditionalFormatting>
  <conditionalFormatting sqref="D75:S85">
    <cfRule type="cellIs" dxfId="8" priority="4" operator="greaterThanOrEqual">
      <formula>0.1</formula>
    </cfRule>
  </conditionalFormatting>
  <conditionalFormatting sqref="D27:T27">
    <cfRule type="cellIs" dxfId="8" priority="5" operator="greaterThan">
      <formula>100</formula>
    </cfRule>
  </conditionalFormatting>
  <conditionalFormatting sqref="D27:T27">
    <cfRule type="cellIs" dxfId="9" priority="6" operator="greaterThan">
      <formula>10</formula>
    </cfRule>
  </conditionalFormatting>
  <conditionalFormatting sqref="D27:T27">
    <cfRule type="cellIs" dxfId="5" priority="7" operator="greaterThan">
      <formula>1</formula>
    </cfRule>
  </conditionalFormatting>
  <hyperlinks>
    <hyperlink r:id="rId2" ref="C1"/>
    <hyperlink r:id="rId3" location="id--Laser_Cannon--Attack_Vector:_Tactical_Lasers" ref="C2"/>
    <hyperlink r:id="rId4" ref="C3"/>
    <hyperlink r:id="rId5" ref="C4"/>
    <hyperlink r:id="rId6" location="id--Laser_Cannon--Equations" ref="L7"/>
  </hyperlinks>
  <drawing r:id="rId7"/>
  <legacy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1432</v>
      </c>
      <c r="C2" s="2">
        <v>100.0</v>
      </c>
      <c r="D2" s="2" t="s">
        <v>1433</v>
      </c>
    </row>
    <row r="3">
      <c r="C3">
        <f>C2/10000</f>
        <v>0.01</v>
      </c>
      <c r="D3" s="2" t="s">
        <v>1409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2">
        <v>3.0</v>
      </c>
    </row>
    <row r="6">
      <c r="C6">
        <f t="shared" ref="C6:C79" si="1">C5+3</f>
        <v>6</v>
      </c>
    </row>
    <row r="7">
      <c r="C7">
        <f t="shared" si="1"/>
        <v>9</v>
      </c>
    </row>
    <row r="8">
      <c r="C8">
        <f t="shared" si="1"/>
        <v>12</v>
      </c>
    </row>
    <row r="9">
      <c r="C9">
        <f t="shared" si="1"/>
        <v>15</v>
      </c>
    </row>
    <row r="10">
      <c r="C10">
        <f t="shared" si="1"/>
        <v>18</v>
      </c>
    </row>
    <row r="11">
      <c r="C11">
        <f t="shared" si="1"/>
        <v>21</v>
      </c>
    </row>
    <row r="12">
      <c r="C12">
        <f t="shared" si="1"/>
        <v>24</v>
      </c>
    </row>
    <row r="13">
      <c r="C13">
        <f t="shared" si="1"/>
        <v>27</v>
      </c>
    </row>
    <row r="14">
      <c r="C14">
        <f t="shared" si="1"/>
        <v>30</v>
      </c>
    </row>
    <row r="15">
      <c r="C15">
        <f t="shared" si="1"/>
        <v>33</v>
      </c>
    </row>
    <row r="16">
      <c r="C16">
        <f t="shared" si="1"/>
        <v>36</v>
      </c>
    </row>
    <row r="17">
      <c r="C17">
        <f t="shared" si="1"/>
        <v>39</v>
      </c>
    </row>
    <row r="18">
      <c r="C18">
        <f t="shared" si="1"/>
        <v>42</v>
      </c>
    </row>
    <row r="19">
      <c r="C19">
        <f t="shared" si="1"/>
        <v>45</v>
      </c>
      <c r="D19">
        <f>sum(C5:C19)</f>
        <v>360</v>
      </c>
    </row>
    <row r="20">
      <c r="C20">
        <f t="shared" si="1"/>
        <v>48</v>
      </c>
    </row>
    <row r="21">
      <c r="C21">
        <f t="shared" si="1"/>
        <v>51</v>
      </c>
    </row>
    <row r="22">
      <c r="C22">
        <f t="shared" si="1"/>
        <v>54</v>
      </c>
    </row>
    <row r="23">
      <c r="C23">
        <f t="shared" si="1"/>
        <v>57</v>
      </c>
    </row>
    <row r="24">
      <c r="C24">
        <f t="shared" si="1"/>
        <v>60</v>
      </c>
    </row>
    <row r="25">
      <c r="C25">
        <f t="shared" si="1"/>
        <v>63</v>
      </c>
    </row>
    <row r="26">
      <c r="C26">
        <f t="shared" si="1"/>
        <v>66</v>
      </c>
    </row>
    <row r="27">
      <c r="C27">
        <f t="shared" si="1"/>
        <v>69</v>
      </c>
    </row>
    <row r="28">
      <c r="C28">
        <f t="shared" si="1"/>
        <v>72</v>
      </c>
    </row>
    <row r="29">
      <c r="C29">
        <f t="shared" si="1"/>
        <v>75</v>
      </c>
    </row>
    <row r="30">
      <c r="C30">
        <f t="shared" si="1"/>
        <v>78</v>
      </c>
    </row>
    <row r="31">
      <c r="C31">
        <f t="shared" si="1"/>
        <v>81</v>
      </c>
    </row>
    <row r="32">
      <c r="C32">
        <f t="shared" si="1"/>
        <v>84</v>
      </c>
    </row>
    <row r="33">
      <c r="C33">
        <f t="shared" si="1"/>
        <v>87</v>
      </c>
    </row>
    <row r="34">
      <c r="C34">
        <f t="shared" si="1"/>
        <v>90</v>
      </c>
    </row>
    <row r="35">
      <c r="C35">
        <f t="shared" si="1"/>
        <v>93</v>
      </c>
    </row>
    <row r="36">
      <c r="C36">
        <f t="shared" si="1"/>
        <v>96</v>
      </c>
    </row>
    <row r="37">
      <c r="C37">
        <f t="shared" si="1"/>
        <v>99</v>
      </c>
    </row>
    <row r="38">
      <c r="C38">
        <f t="shared" si="1"/>
        <v>102</v>
      </c>
    </row>
    <row r="39">
      <c r="C39">
        <f t="shared" si="1"/>
        <v>105</v>
      </c>
    </row>
    <row r="40">
      <c r="C40">
        <f t="shared" si="1"/>
        <v>108</v>
      </c>
    </row>
    <row r="41">
      <c r="C41">
        <f t="shared" si="1"/>
        <v>111</v>
      </c>
    </row>
    <row r="42">
      <c r="C42">
        <f t="shared" si="1"/>
        <v>114</v>
      </c>
    </row>
    <row r="43">
      <c r="C43">
        <f t="shared" si="1"/>
        <v>117</v>
      </c>
    </row>
    <row r="44">
      <c r="C44">
        <f t="shared" si="1"/>
        <v>120</v>
      </c>
    </row>
    <row r="45">
      <c r="C45">
        <f t="shared" si="1"/>
        <v>123</v>
      </c>
    </row>
    <row r="46">
      <c r="C46">
        <f t="shared" si="1"/>
        <v>126</v>
      </c>
    </row>
    <row r="47">
      <c r="C47">
        <f t="shared" si="1"/>
        <v>129</v>
      </c>
    </row>
    <row r="48">
      <c r="C48">
        <f t="shared" si="1"/>
        <v>132</v>
      </c>
    </row>
    <row r="49">
      <c r="C49">
        <f t="shared" si="1"/>
        <v>135</v>
      </c>
    </row>
    <row r="50">
      <c r="C50">
        <f t="shared" si="1"/>
        <v>138</v>
      </c>
    </row>
    <row r="51">
      <c r="C51">
        <f t="shared" si="1"/>
        <v>141</v>
      </c>
    </row>
    <row r="52">
      <c r="C52">
        <f t="shared" si="1"/>
        <v>144</v>
      </c>
    </row>
    <row r="53">
      <c r="C53">
        <f t="shared" si="1"/>
        <v>147</v>
      </c>
    </row>
    <row r="54">
      <c r="C54">
        <f t="shared" si="1"/>
        <v>150</v>
      </c>
    </row>
    <row r="55">
      <c r="C55">
        <f t="shared" si="1"/>
        <v>153</v>
      </c>
    </row>
    <row r="56">
      <c r="C56">
        <f t="shared" si="1"/>
        <v>156</v>
      </c>
    </row>
    <row r="57">
      <c r="C57">
        <f t="shared" si="1"/>
        <v>159</v>
      </c>
    </row>
    <row r="58">
      <c r="C58">
        <f t="shared" si="1"/>
        <v>162</v>
      </c>
    </row>
    <row r="59">
      <c r="C59">
        <f t="shared" si="1"/>
        <v>165</v>
      </c>
    </row>
    <row r="60">
      <c r="C60">
        <f t="shared" si="1"/>
        <v>168</v>
      </c>
    </row>
    <row r="61">
      <c r="C61">
        <f t="shared" si="1"/>
        <v>171</v>
      </c>
    </row>
    <row r="62">
      <c r="C62">
        <f t="shared" si="1"/>
        <v>174</v>
      </c>
    </row>
    <row r="63">
      <c r="C63">
        <f t="shared" si="1"/>
        <v>177</v>
      </c>
    </row>
    <row r="64">
      <c r="C64">
        <f t="shared" si="1"/>
        <v>180</v>
      </c>
    </row>
    <row r="65">
      <c r="C65">
        <f t="shared" si="1"/>
        <v>183</v>
      </c>
    </row>
    <row r="66">
      <c r="C66">
        <f t="shared" si="1"/>
        <v>186</v>
      </c>
    </row>
    <row r="67">
      <c r="C67">
        <f t="shared" si="1"/>
        <v>189</v>
      </c>
    </row>
    <row r="68">
      <c r="C68">
        <f t="shared" si="1"/>
        <v>192</v>
      </c>
    </row>
    <row r="69">
      <c r="C69">
        <f t="shared" si="1"/>
        <v>195</v>
      </c>
    </row>
    <row r="70">
      <c r="C70">
        <f t="shared" si="1"/>
        <v>198</v>
      </c>
    </row>
    <row r="71">
      <c r="C71">
        <f t="shared" si="1"/>
        <v>201</v>
      </c>
    </row>
    <row r="72">
      <c r="C72">
        <f t="shared" si="1"/>
        <v>204</v>
      </c>
    </row>
    <row r="73">
      <c r="C73">
        <f t="shared" si="1"/>
        <v>207</v>
      </c>
    </row>
    <row r="74">
      <c r="C74">
        <f t="shared" si="1"/>
        <v>210</v>
      </c>
    </row>
    <row r="75">
      <c r="C75">
        <f t="shared" si="1"/>
        <v>213</v>
      </c>
    </row>
    <row r="76">
      <c r="C76">
        <f t="shared" si="1"/>
        <v>216</v>
      </c>
    </row>
    <row r="77">
      <c r="C77">
        <f t="shared" si="1"/>
        <v>219</v>
      </c>
    </row>
    <row r="78">
      <c r="C78">
        <f t="shared" si="1"/>
        <v>222</v>
      </c>
    </row>
    <row r="79">
      <c r="C79">
        <f t="shared" si="1"/>
        <v>225</v>
      </c>
      <c r="D79">
        <f>sum(C5:C79)</f>
        <v>8550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" t="s">
        <v>1446</v>
      </c>
    </row>
    <row r="4">
      <c r="C4" s="2" t="s">
        <v>1448</v>
      </c>
      <c r="D4">
        <f>4*Pi()* (10^3-9.5^3)</f>
        <v>1792.278609</v>
      </c>
      <c r="E4" s="226">
        <v>0.05</v>
      </c>
    </row>
    <row r="5">
      <c r="H5" s="2">
        <v>3.0</v>
      </c>
      <c r="I5" s="2" t="s">
        <v>1450</v>
      </c>
    </row>
    <row r="7">
      <c r="E7" s="38">
        <f>D4/D11</f>
        <v>0.427875</v>
      </c>
      <c r="G7">
        <f>E7*2</f>
        <v>0.85575</v>
      </c>
      <c r="H7" s="74">
        <f>H5/G7</f>
        <v>3.505696757</v>
      </c>
      <c r="I7" s="2" t="s">
        <v>93</v>
      </c>
    </row>
    <row r="10">
      <c r="C10" s="2" t="s">
        <v>1451</v>
      </c>
    </row>
    <row r="11">
      <c r="C11" s="2" t="s">
        <v>1452</v>
      </c>
      <c r="D11">
        <f>4/3 * pi() * 10^3</f>
        <v>4188.790205</v>
      </c>
    </row>
    <row r="14">
      <c r="D14">
        <f>4/3 * pi() * 63000^3</f>
        <v>1.04739E+15</v>
      </c>
      <c r="E14" s="2" t="s">
        <v>1453</v>
      </c>
      <c r="J14" s="2" t="s">
        <v>295</v>
      </c>
    </row>
    <row r="15">
      <c r="B15" s="2" t="s">
        <v>1418</v>
      </c>
      <c r="C15">
        <f>63000*3</f>
        <v>189000</v>
      </c>
      <c r="D15">
        <f>4/3 * pi() * C15^3</f>
        <v>2.82796E+16</v>
      </c>
      <c r="E15" s="2" t="s">
        <v>1455</v>
      </c>
    </row>
    <row r="17">
      <c r="B17" s="2" t="s">
        <v>1456</v>
      </c>
      <c r="C17" s="2">
        <v>0.01</v>
      </c>
      <c r="D17">
        <f>4*Pi()* (C15^3-(C15*(1-C17))^3)</f>
        <v>2.5198E+15</v>
      </c>
      <c r="E17" s="2" t="s">
        <v>1459</v>
      </c>
    </row>
    <row r="18">
      <c r="H18" s="2" t="s">
        <v>1464</v>
      </c>
    </row>
    <row r="19">
      <c r="D19" s="74">
        <f>D17/D14*2</f>
        <v>4.811562</v>
      </c>
      <c r="E19" s="2" t="s">
        <v>93</v>
      </c>
      <c r="H19" s="95">
        <f>C15*(sqrt(D19)-1)</f>
        <v>225576.659</v>
      </c>
      <c r="I19" s="2" t="s">
        <v>295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2.75"/>
  </cols>
  <sheetData>
    <row r="2">
      <c r="I2" s="52" t="s">
        <v>1476</v>
      </c>
    </row>
    <row r="3">
      <c r="C3" s="2" t="s">
        <v>1477</v>
      </c>
      <c r="D3" s="2" t="s">
        <v>1380</v>
      </c>
      <c r="E3" s="2" t="s">
        <v>1478</v>
      </c>
      <c r="F3" s="2" t="s">
        <v>1479</v>
      </c>
      <c r="J3" s="2" t="s">
        <v>1480</v>
      </c>
    </row>
    <row r="4">
      <c r="B4" s="2" t="s">
        <v>1482</v>
      </c>
      <c r="C4" s="2">
        <v>1.0</v>
      </c>
      <c r="F4" s="2">
        <v>0.05</v>
      </c>
      <c r="G4" s="2" t="s">
        <v>321</v>
      </c>
      <c r="J4" s="2" t="s">
        <v>1483</v>
      </c>
    </row>
    <row r="5">
      <c r="B5" s="2" t="s">
        <v>1484</v>
      </c>
      <c r="C5" s="25">
        <f>sqrt(M9*M5/(C4*M8))</f>
        <v>29788.22983</v>
      </c>
      <c r="F5" s="25">
        <f>sqrt(M9*M6/(F4*M8))</f>
        <v>46544.31503</v>
      </c>
      <c r="G5" s="2" t="s">
        <v>201</v>
      </c>
      <c r="L5" s="2" t="s">
        <v>1490</v>
      </c>
      <c r="M5">
        <f>1.989*10^30</f>
        <v>1.989E+30</v>
      </c>
      <c r="O5" s="2" t="s">
        <v>1493</v>
      </c>
    </row>
    <row r="6">
      <c r="B6" s="74"/>
      <c r="C6" s="167">
        <v>107000.0</v>
      </c>
      <c r="D6" s="167">
        <v>86871.0</v>
      </c>
      <c r="E6" s="167">
        <v>170505.0</v>
      </c>
      <c r="F6" s="95">
        <f>F5*3600/1000</f>
        <v>167559.5341</v>
      </c>
      <c r="G6" s="2" t="s">
        <v>28</v>
      </c>
      <c r="L6" s="2" t="s">
        <v>1495</v>
      </c>
      <c r="M6">
        <f>2.428 * 10^29</f>
        <v>2.428E+29</v>
      </c>
      <c r="O6" s="2" t="s">
        <v>1496</v>
      </c>
    </row>
    <row r="7">
      <c r="C7" s="25">
        <f t="shared" ref="C7:F7" si="1">C6/60</f>
        <v>1783.333333</v>
      </c>
      <c r="D7" s="25">
        <f t="shared" si="1"/>
        <v>1447.85</v>
      </c>
      <c r="E7" s="25">
        <f t="shared" si="1"/>
        <v>2841.75</v>
      </c>
      <c r="F7" s="25">
        <f t="shared" si="1"/>
        <v>2792.658902</v>
      </c>
      <c r="G7" s="2" t="s">
        <v>1354</v>
      </c>
    </row>
    <row r="8">
      <c r="C8" s="25">
        <f t="shared" ref="C8:F8" si="2">C7/18</f>
        <v>99.07407407</v>
      </c>
      <c r="D8" s="25">
        <f t="shared" si="2"/>
        <v>80.43611111</v>
      </c>
      <c r="E8" s="25">
        <f t="shared" si="2"/>
        <v>157.875</v>
      </c>
      <c r="F8" s="25">
        <f t="shared" si="2"/>
        <v>155.1477168</v>
      </c>
      <c r="G8" s="2" t="s">
        <v>1503</v>
      </c>
      <c r="L8" s="2" t="s">
        <v>321</v>
      </c>
      <c r="M8" s="168">
        <f>1.496*10^11</f>
        <v>149600000000</v>
      </c>
      <c r="N8" s="2" t="s">
        <v>189</v>
      </c>
    </row>
    <row r="9">
      <c r="C9" s="25">
        <f t="shared" ref="C9:F9" si="3">C7/60</f>
        <v>29.72222222</v>
      </c>
      <c r="D9" s="25">
        <f t="shared" si="3"/>
        <v>24.13083333</v>
      </c>
      <c r="E9" s="25">
        <f t="shared" si="3"/>
        <v>47.3625</v>
      </c>
      <c r="F9" s="25">
        <f t="shared" si="3"/>
        <v>46.54431503</v>
      </c>
      <c r="G9" s="2" t="s">
        <v>87</v>
      </c>
      <c r="L9" s="2" t="s">
        <v>1511</v>
      </c>
      <c r="M9" s="163">
        <f>6.674 * 10^-11</f>
        <v>0</v>
      </c>
      <c r="N9" s="2" t="s">
        <v>1512</v>
      </c>
    </row>
    <row r="11">
      <c r="B11" s="179" t="s">
        <v>1513</v>
      </c>
    </row>
    <row r="13">
      <c r="B13" s="2" t="s">
        <v>1520</v>
      </c>
    </row>
    <row r="16">
      <c r="B16" s="2" t="s">
        <v>1522</v>
      </c>
      <c r="C16" s="25">
        <f t="shared" ref="C16:F16" si="4">2*C9</f>
        <v>59.44444444</v>
      </c>
      <c r="D16" s="140">
        <f t="shared" si="4"/>
        <v>48.26166667</v>
      </c>
      <c r="E16" s="140">
        <f t="shared" si="4"/>
        <v>94.725</v>
      </c>
      <c r="F16" s="25">
        <f t="shared" si="4"/>
        <v>93.08863007</v>
      </c>
      <c r="G16" s="2" t="s">
        <v>87</v>
      </c>
    </row>
    <row r="17">
      <c r="C17" s="74">
        <f t="shared" ref="C17:F17" si="5">C16/864</f>
        <v>0.06880144033</v>
      </c>
      <c r="D17" s="231">
        <f t="shared" si="5"/>
        <v>0.05585841049</v>
      </c>
      <c r="E17" s="231">
        <f t="shared" si="5"/>
        <v>0.1096354167</v>
      </c>
      <c r="F17" s="74">
        <f t="shared" si="5"/>
        <v>0.10774147</v>
      </c>
      <c r="G17" s="2" t="s">
        <v>1527</v>
      </c>
    </row>
  </sheetData>
  <hyperlinks>
    <hyperlink r:id="rId1" ref="B1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>
        <f>30000/360</f>
        <v>83.33333333</v>
      </c>
    </row>
    <row r="5">
      <c r="G5" s="52" t="s">
        <v>1485</v>
      </c>
    </row>
    <row r="6">
      <c r="H6" s="2" t="s">
        <v>1486</v>
      </c>
      <c r="I6" s="2">
        <v>300.0</v>
      </c>
      <c r="J6" s="2" t="s">
        <v>775</v>
      </c>
    </row>
    <row r="7">
      <c r="B7" s="2" t="s">
        <v>1487</v>
      </c>
      <c r="C7" s="2">
        <v>10.0</v>
      </c>
      <c r="D7" s="2" t="s">
        <v>236</v>
      </c>
      <c r="H7" s="2" t="s">
        <v>1488</v>
      </c>
      <c r="I7" s="2">
        <v>833.0</v>
      </c>
      <c r="J7" s="2" t="s">
        <v>640</v>
      </c>
    </row>
    <row r="8">
      <c r="B8" s="2" t="s">
        <v>1489</v>
      </c>
      <c r="C8" s="2">
        <f>10000000</f>
        <v>10000000</v>
      </c>
      <c r="D8" s="2" t="s">
        <v>201</v>
      </c>
      <c r="H8" s="2" t="s">
        <v>1491</v>
      </c>
      <c r="I8" s="2">
        <v>10.0</v>
      </c>
      <c r="J8" s="2" t="s">
        <v>90</v>
      </c>
    </row>
    <row r="9">
      <c r="B9" s="2" t="s">
        <v>1492</v>
      </c>
      <c r="C9">
        <f>C8*C7</f>
        <v>100000000</v>
      </c>
      <c r="D9" s="2" t="s">
        <v>1494</v>
      </c>
      <c r="H9" s="5" t="s">
        <v>413</v>
      </c>
      <c r="I9">
        <f>833*300/1000</f>
        <v>249.9</v>
      </c>
      <c r="J9" s="2" t="s">
        <v>38</v>
      </c>
    </row>
    <row r="10">
      <c r="B10" s="2" t="s">
        <v>1491</v>
      </c>
      <c r="C10" s="2">
        <v>200.0</v>
      </c>
      <c r="D10" s="2" t="s">
        <v>1497</v>
      </c>
    </row>
    <row r="11">
      <c r="B11" s="2" t="s">
        <v>1498</v>
      </c>
      <c r="C11">
        <f>C9/(C10*1000)</f>
        <v>500</v>
      </c>
      <c r="D11" s="2" t="s">
        <v>201</v>
      </c>
    </row>
    <row r="13">
      <c r="G13">
        <f>100000/I9</f>
        <v>400.160064</v>
      </c>
    </row>
    <row r="16">
      <c r="H16" s="2" t="s">
        <v>1499</v>
      </c>
      <c r="I16" s="2" t="s">
        <v>1500</v>
      </c>
    </row>
    <row r="17">
      <c r="A17" s="52" t="s">
        <v>1501</v>
      </c>
    </row>
    <row r="18">
      <c r="B18" s="2" t="s">
        <v>1502</v>
      </c>
      <c r="C18" s="2" t="s">
        <v>1504</v>
      </c>
      <c r="G18" s="52" t="s">
        <v>1505</v>
      </c>
    </row>
    <row r="19">
      <c r="B19" s="2" t="s">
        <v>1506</v>
      </c>
      <c r="C19" s="2">
        <v>2.0E7</v>
      </c>
      <c r="D19" s="2" t="s">
        <v>201</v>
      </c>
      <c r="H19" s="2" t="s">
        <v>1507</v>
      </c>
      <c r="I19" s="2">
        <v>3000.0</v>
      </c>
      <c r="J19" s="2" t="s">
        <v>88</v>
      </c>
    </row>
    <row r="20">
      <c r="B20" s="2" t="s">
        <v>365</v>
      </c>
      <c r="C20" s="2">
        <v>3.0</v>
      </c>
      <c r="E20" s="2" t="s">
        <v>1509</v>
      </c>
      <c r="H20" s="2" t="s">
        <v>1491</v>
      </c>
      <c r="I20" s="2">
        <v>60.0</v>
      </c>
      <c r="J20" s="2" t="s">
        <v>1497</v>
      </c>
    </row>
    <row r="21">
      <c r="B21" s="2" t="s">
        <v>1502</v>
      </c>
      <c r="C21">
        <f>C19*ln(C20)</f>
        <v>21972245.77</v>
      </c>
      <c r="D21" s="2" t="s">
        <v>201</v>
      </c>
      <c r="H21" s="5" t="s">
        <v>100</v>
      </c>
      <c r="I21">
        <f>I19/(I20)</f>
        <v>50</v>
      </c>
      <c r="J21" s="2" t="s">
        <v>211</v>
      </c>
    </row>
    <row r="22">
      <c r="C22" s="25">
        <f>C21/1000</f>
        <v>21972.24577</v>
      </c>
      <c r="D22" s="2" t="s">
        <v>87</v>
      </c>
      <c r="I22" s="38">
        <f>I21/10</f>
        <v>5</v>
      </c>
      <c r="J22" s="2" t="s">
        <v>93</v>
      </c>
    </row>
    <row r="23">
      <c r="C23" s="96">
        <f>C22*1000/299792458</f>
        <v>0.07329152281</v>
      </c>
      <c r="D23" s="2" t="s">
        <v>375</v>
      </c>
    </row>
    <row r="25">
      <c r="G25" s="52" t="s">
        <v>1517</v>
      </c>
      <c r="I25" s="2" t="s">
        <v>1518</v>
      </c>
    </row>
    <row r="26">
      <c r="H26" s="2" t="s">
        <v>1519</v>
      </c>
      <c r="I26" s="2">
        <v>10.0</v>
      </c>
      <c r="J26" s="2" t="s">
        <v>121</v>
      </c>
    </row>
    <row r="27">
      <c r="B27" s="2" t="s">
        <v>1521</v>
      </c>
      <c r="C27" s="2">
        <v>18.0</v>
      </c>
      <c r="I27" s="2">
        <f>I26*1000000</f>
        <v>10000000</v>
      </c>
      <c r="J27" s="2" t="s">
        <v>38</v>
      </c>
    </row>
    <row r="28">
      <c r="B28" s="2" t="s">
        <v>1524</v>
      </c>
      <c r="C28" s="2">
        <v>60.0</v>
      </c>
      <c r="H28" s="2" t="s">
        <v>1489</v>
      </c>
      <c r="I28" s="2">
        <v>20000.0</v>
      </c>
      <c r="J28" s="2" t="s">
        <v>87</v>
      </c>
    </row>
    <row r="29">
      <c r="B29" s="5" t="s">
        <v>1525</v>
      </c>
      <c r="C29">
        <f>C27*C28*4</f>
        <v>4320</v>
      </c>
      <c r="H29" s="5" t="s">
        <v>95</v>
      </c>
      <c r="I29">
        <f>2*I27/I28</f>
        <v>1000</v>
      </c>
      <c r="J29" s="2" t="s">
        <v>88</v>
      </c>
    </row>
    <row r="30">
      <c r="H30" s="188"/>
    </row>
    <row r="31">
      <c r="H31" s="5" t="s">
        <v>277</v>
      </c>
      <c r="I31">
        <f>I27*0.05</f>
        <v>500000</v>
      </c>
      <c r="J31" s="2" t="s">
        <v>38</v>
      </c>
    </row>
    <row r="32">
      <c r="H32" s="5" t="s">
        <v>1528</v>
      </c>
      <c r="I32">
        <f>I31/I6</f>
        <v>1666.666667</v>
      </c>
      <c r="J32" s="2" t="s">
        <v>640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25"/>
    <col customWidth="1" min="5" max="5" width="9.63"/>
    <col customWidth="1" min="6" max="6" width="8.13"/>
    <col customWidth="1" min="7" max="7" width="5.38"/>
    <col customWidth="1" min="8" max="8" width="6.13"/>
    <col customWidth="1" min="9" max="9" width="11.88"/>
    <col customWidth="1" min="12" max="12" width="4.88"/>
    <col customWidth="1" min="13" max="13" width="6.38"/>
    <col customWidth="1" min="14" max="14" width="6.25"/>
    <col customWidth="1" min="15" max="15" width="6.63"/>
  </cols>
  <sheetData>
    <row r="1">
      <c r="E1" s="25"/>
    </row>
    <row r="2">
      <c r="A2" s="179" t="s">
        <v>1536</v>
      </c>
      <c r="E2" s="25"/>
      <c r="L2" s="2" t="s">
        <v>1540</v>
      </c>
      <c r="N2" s="2" t="s">
        <v>1541</v>
      </c>
    </row>
    <row r="3">
      <c r="E3" s="67">
        <v>9.0</v>
      </c>
      <c r="F3" s="2" t="s">
        <v>1542</v>
      </c>
      <c r="H3" s="2">
        <v>50.0</v>
      </c>
      <c r="I3" s="2" t="s">
        <v>735</v>
      </c>
      <c r="K3" s="2" t="s">
        <v>1544</v>
      </c>
      <c r="L3" s="2">
        <v>20.0</v>
      </c>
      <c r="M3" s="2" t="s">
        <v>150</v>
      </c>
      <c r="N3" s="2">
        <v>3.7</v>
      </c>
      <c r="O3" s="2" t="s">
        <v>150</v>
      </c>
      <c r="P3" s="2" t="s">
        <v>1545</v>
      </c>
    </row>
    <row r="4">
      <c r="C4" s="2" t="s">
        <v>1546</v>
      </c>
      <c r="D4" s="2" t="s">
        <v>1547</v>
      </c>
      <c r="E4" s="67">
        <v>8.0</v>
      </c>
      <c r="F4" s="2" t="s">
        <v>1546</v>
      </c>
      <c r="H4" s="2">
        <v>2.0</v>
      </c>
      <c r="I4" s="2" t="s">
        <v>1548</v>
      </c>
      <c r="K4" s="2" t="s">
        <v>617</v>
      </c>
      <c r="L4" s="2">
        <v>5.0</v>
      </c>
      <c r="M4" s="2" t="s">
        <v>150</v>
      </c>
      <c r="N4" s="2">
        <v>3.4</v>
      </c>
      <c r="O4" s="2" t="s">
        <v>150</v>
      </c>
      <c r="P4" s="2" t="s">
        <v>1549</v>
      </c>
    </row>
    <row r="5">
      <c r="C5" s="2" t="s">
        <v>1551</v>
      </c>
      <c r="D5" s="2" t="s">
        <v>1552</v>
      </c>
      <c r="E5" s="67">
        <v>7.0</v>
      </c>
      <c r="F5" s="2" t="s">
        <v>1553</v>
      </c>
      <c r="H5" s="2">
        <v>500.0</v>
      </c>
      <c r="I5" s="2" t="s">
        <v>1554</v>
      </c>
      <c r="K5" s="2" t="s">
        <v>626</v>
      </c>
      <c r="L5" s="2">
        <v>5.0</v>
      </c>
      <c r="M5" s="2" t="s">
        <v>150</v>
      </c>
      <c r="N5" s="2">
        <v>7.5</v>
      </c>
      <c r="O5" s="2" t="s">
        <v>150</v>
      </c>
      <c r="P5" s="2" t="s">
        <v>1555</v>
      </c>
    </row>
    <row r="6">
      <c r="C6" s="2" t="s">
        <v>1556</v>
      </c>
      <c r="D6" s="2" t="s">
        <v>1557</v>
      </c>
      <c r="E6" s="67">
        <v>6.0</v>
      </c>
      <c r="F6" s="2" t="s">
        <v>1558</v>
      </c>
      <c r="H6" s="2">
        <v>100.0</v>
      </c>
      <c r="I6" s="2" t="s">
        <v>1554</v>
      </c>
      <c r="K6" s="2" t="s">
        <v>387</v>
      </c>
      <c r="L6" s="2">
        <v>5.0</v>
      </c>
      <c r="M6" s="2" t="s">
        <v>150</v>
      </c>
      <c r="N6" s="2">
        <v>8.0</v>
      </c>
      <c r="O6" s="2" t="s">
        <v>150</v>
      </c>
      <c r="P6" s="2" t="s">
        <v>387</v>
      </c>
    </row>
    <row r="7">
      <c r="C7" s="2" t="s">
        <v>1559</v>
      </c>
      <c r="D7" s="2" t="s">
        <v>1560</v>
      </c>
      <c r="E7" s="67">
        <v>5.0</v>
      </c>
      <c r="F7" s="2" t="s">
        <v>1561</v>
      </c>
      <c r="H7" s="2">
        <v>20.0</v>
      </c>
      <c r="I7" s="2" t="s">
        <v>1554</v>
      </c>
      <c r="K7" s="2" t="s">
        <v>471</v>
      </c>
      <c r="L7" s="2">
        <v>15.0</v>
      </c>
      <c r="M7" s="2" t="s">
        <v>150</v>
      </c>
      <c r="N7" s="2">
        <v>21.7</v>
      </c>
      <c r="O7" s="2" t="s">
        <v>150</v>
      </c>
      <c r="P7" s="2" t="s">
        <v>471</v>
      </c>
    </row>
    <row r="8">
      <c r="C8" s="2" t="s">
        <v>1562</v>
      </c>
      <c r="D8" s="2" t="s">
        <v>1563</v>
      </c>
      <c r="E8" s="25"/>
      <c r="K8" s="2" t="s">
        <v>611</v>
      </c>
      <c r="L8" s="2">
        <v>10.0</v>
      </c>
      <c r="M8" s="2" t="s">
        <v>150</v>
      </c>
    </row>
    <row r="9">
      <c r="D9" s="2" t="s">
        <v>1564</v>
      </c>
      <c r="E9" s="67">
        <v>4.0</v>
      </c>
      <c r="F9" s="2" t="s">
        <v>1565</v>
      </c>
      <c r="H9" s="2">
        <v>1.0</v>
      </c>
      <c r="I9" s="2" t="s">
        <v>1554</v>
      </c>
      <c r="K9" s="2" t="s">
        <v>71</v>
      </c>
      <c r="L9" s="2">
        <v>5.0</v>
      </c>
      <c r="M9" s="2" t="s">
        <v>150</v>
      </c>
      <c r="N9" s="2">
        <v>28.0</v>
      </c>
      <c r="O9" s="2" t="s">
        <v>150</v>
      </c>
      <c r="P9" s="2" t="s">
        <v>71</v>
      </c>
    </row>
    <row r="10">
      <c r="C10" s="2" t="s">
        <v>1566</v>
      </c>
      <c r="D10" s="2" t="s">
        <v>1567</v>
      </c>
      <c r="K10" s="2" t="s">
        <v>1568</v>
      </c>
      <c r="L10" s="2">
        <v>35.0</v>
      </c>
      <c r="M10" s="2" t="s">
        <v>150</v>
      </c>
      <c r="N10" s="2">
        <v>26.0</v>
      </c>
      <c r="O10" s="2" t="s">
        <v>150</v>
      </c>
      <c r="P10" s="2" t="s">
        <v>1568</v>
      </c>
    </row>
    <row r="11">
      <c r="C11" s="2" t="s">
        <v>1569</v>
      </c>
      <c r="D11" s="2" t="s">
        <v>251</v>
      </c>
      <c r="E11" s="67">
        <v>3.0</v>
      </c>
      <c r="F11" s="2" t="s">
        <v>1570</v>
      </c>
      <c r="H11" s="2">
        <v>300.0</v>
      </c>
      <c r="I11" s="2" t="s">
        <v>90</v>
      </c>
    </row>
    <row r="12">
      <c r="D12" s="2" t="s">
        <v>1571</v>
      </c>
      <c r="E12" s="67">
        <v>2.0</v>
      </c>
      <c r="F12" s="2" t="s">
        <v>1572</v>
      </c>
      <c r="H12" s="2">
        <v>50.0</v>
      </c>
      <c r="I12" s="2" t="s">
        <v>90</v>
      </c>
      <c r="L12">
        <f>sum(L3:L10)</f>
        <v>100</v>
      </c>
      <c r="N12">
        <f>sum(N3:N10)</f>
        <v>98.3</v>
      </c>
    </row>
    <row r="13">
      <c r="C13" s="2" t="s">
        <v>1573</v>
      </c>
      <c r="D13" s="2" t="s">
        <v>1574</v>
      </c>
      <c r="E13" s="67">
        <v>2.0</v>
      </c>
      <c r="F13" s="2" t="s">
        <v>1575</v>
      </c>
      <c r="H13" s="2">
        <v>10.0</v>
      </c>
      <c r="I13" s="2" t="s">
        <v>90</v>
      </c>
    </row>
    <row r="14">
      <c r="C14" s="2" t="s">
        <v>1576</v>
      </c>
      <c r="D14" s="2" t="s">
        <v>247</v>
      </c>
      <c r="E14" s="67">
        <v>1.0</v>
      </c>
      <c r="F14" s="2" t="s">
        <v>1577</v>
      </c>
      <c r="H14" s="2">
        <v>2.0</v>
      </c>
      <c r="I14" s="2" t="s">
        <v>90</v>
      </c>
    </row>
    <row r="15">
      <c r="E15" s="25"/>
    </row>
    <row r="16">
      <c r="E16" s="25"/>
      <c r="K16" s="2" t="s">
        <v>1578</v>
      </c>
    </row>
    <row r="17">
      <c r="C17" s="3" t="s">
        <v>1579</v>
      </c>
      <c r="D17" s="3" t="s">
        <v>155</v>
      </c>
      <c r="E17" s="27" t="s">
        <v>1580</v>
      </c>
      <c r="F17" s="3" t="s">
        <v>1581</v>
      </c>
      <c r="G17" s="3" t="s">
        <v>1582</v>
      </c>
      <c r="H17" s="3" t="s">
        <v>1583</v>
      </c>
      <c r="I17" s="3" t="s">
        <v>456</v>
      </c>
      <c r="J17" s="180"/>
      <c r="K17" s="3" t="s">
        <v>1584</v>
      </c>
      <c r="M17" s="2" t="s">
        <v>1585</v>
      </c>
      <c r="N17" s="2" t="s">
        <v>508</v>
      </c>
      <c r="O17" s="2" t="s">
        <v>1586</v>
      </c>
    </row>
    <row r="18">
      <c r="B18" s="2" t="s">
        <v>1587</v>
      </c>
      <c r="C18" s="2" t="s">
        <v>1588</v>
      </c>
      <c r="D18" s="37">
        <f t="shared" ref="D18:D26" si="1">E18/F18</f>
        <v>3.225806452</v>
      </c>
      <c r="E18" s="18">
        <v>6000.0</v>
      </c>
      <c r="F18" s="18">
        <v>1860.0</v>
      </c>
      <c r="G18" s="8">
        <v>170.0</v>
      </c>
      <c r="H18" s="8">
        <v>100.0</v>
      </c>
      <c r="I18" s="76">
        <f t="shared" ref="I18:I37" si="2">(PI()*G18*G18/4)*H18</f>
        <v>2269800.692</v>
      </c>
      <c r="K18" s="96">
        <f t="shared" ref="K18:K19" si="3">E18/I18</f>
        <v>0.002643403899</v>
      </c>
      <c r="M18" s="25">
        <f>$N$3/100*F18</f>
        <v>68.82</v>
      </c>
    </row>
    <row r="19">
      <c r="A19" s="2" t="s">
        <v>1572</v>
      </c>
      <c r="B19" s="2" t="s">
        <v>1589</v>
      </c>
      <c r="C19" s="2" t="s">
        <v>1590</v>
      </c>
      <c r="D19" s="37">
        <f t="shared" si="1"/>
        <v>2</v>
      </c>
      <c r="E19" s="18">
        <v>40.0</v>
      </c>
      <c r="F19" s="18">
        <v>20.0</v>
      </c>
      <c r="G19" s="8">
        <v>4.0</v>
      </c>
      <c r="H19" s="8">
        <v>60.0</v>
      </c>
      <c r="I19" s="76">
        <f t="shared" si="2"/>
        <v>753.9822369</v>
      </c>
      <c r="J19" s="2" t="s">
        <v>600</v>
      </c>
      <c r="K19" s="118">
        <f t="shared" si="3"/>
        <v>0.0530516477</v>
      </c>
      <c r="M19" s="111">
        <f>$L$3/100*F19</f>
        <v>4</v>
      </c>
      <c r="N19" s="111">
        <f>$L$9/100*F19</f>
        <v>1</v>
      </c>
      <c r="O19" s="111">
        <f>$L$10/100*F19</f>
        <v>7</v>
      </c>
    </row>
    <row r="20">
      <c r="A20" s="2" t="s">
        <v>1591</v>
      </c>
      <c r="B20" s="2" t="s">
        <v>1592</v>
      </c>
      <c r="C20" s="2" t="s">
        <v>1593</v>
      </c>
      <c r="D20" s="37">
        <f t="shared" si="1"/>
        <v>18.09557368</v>
      </c>
      <c r="E20" s="76">
        <f t="shared" ref="E20:E37" si="4">K20*I20</f>
        <v>45238934.21</v>
      </c>
      <c r="F20" s="167">
        <v>2500000.0</v>
      </c>
      <c r="G20" s="8">
        <v>800.0</v>
      </c>
      <c r="H20" s="8">
        <v>3000.0</v>
      </c>
      <c r="I20" s="76">
        <f t="shared" si="2"/>
        <v>1507964474</v>
      </c>
      <c r="J20" s="2" t="s">
        <v>600</v>
      </c>
      <c r="K20" s="118">
        <v>0.03</v>
      </c>
      <c r="M20" s="25">
        <f t="shared" ref="M20:M27" si="5">$N$3/100*F20</f>
        <v>92500</v>
      </c>
    </row>
    <row r="21">
      <c r="A21" s="2" t="s">
        <v>1558</v>
      </c>
      <c r="B21" s="2" t="s">
        <v>1597</v>
      </c>
      <c r="C21" s="2" t="s">
        <v>1598</v>
      </c>
      <c r="D21" s="37">
        <f t="shared" si="1"/>
        <v>2</v>
      </c>
      <c r="E21" s="76">
        <f t="shared" si="4"/>
        <v>107197.4245</v>
      </c>
      <c r="F21" s="76">
        <f t="shared" ref="F21:F26" si="6">E21/2</f>
        <v>53598.71226</v>
      </c>
      <c r="G21" s="8">
        <v>110.0</v>
      </c>
      <c r="H21" s="8">
        <v>376.0</v>
      </c>
      <c r="I21" s="76">
        <f t="shared" si="2"/>
        <v>3573247.484</v>
      </c>
      <c r="J21" s="2" t="s">
        <v>600</v>
      </c>
      <c r="K21" s="118">
        <v>0.03</v>
      </c>
      <c r="M21" s="25">
        <f t="shared" si="5"/>
        <v>1983.152354</v>
      </c>
    </row>
    <row r="22">
      <c r="A22" s="2" t="s">
        <v>1599</v>
      </c>
      <c r="B22" s="2" t="s">
        <v>1600</v>
      </c>
      <c r="C22" s="2" t="s">
        <v>1601</v>
      </c>
      <c r="D22" s="37">
        <f t="shared" si="1"/>
        <v>2</v>
      </c>
      <c r="E22" s="76">
        <f t="shared" si="4"/>
        <v>59.16404365</v>
      </c>
      <c r="F22" s="76">
        <f t="shared" si="6"/>
        <v>29.58202182</v>
      </c>
      <c r="G22" s="8">
        <v>9.0</v>
      </c>
      <c r="H22" s="8">
        <v>31.0</v>
      </c>
      <c r="I22" s="76">
        <f t="shared" si="2"/>
        <v>1972.134788</v>
      </c>
      <c r="J22" s="2" t="s">
        <v>600</v>
      </c>
      <c r="K22" s="118">
        <v>0.03</v>
      </c>
      <c r="M22" s="25">
        <f t="shared" si="5"/>
        <v>1.094534808</v>
      </c>
    </row>
    <row r="23">
      <c r="A23" s="2" t="s">
        <v>1572</v>
      </c>
      <c r="B23" s="2" t="s">
        <v>1605</v>
      </c>
      <c r="C23" s="2" t="s">
        <v>1606</v>
      </c>
      <c r="D23" s="37">
        <f t="shared" si="1"/>
        <v>2</v>
      </c>
      <c r="E23" s="76">
        <f t="shared" si="4"/>
        <v>50.26548246</v>
      </c>
      <c r="F23" s="76">
        <f t="shared" si="6"/>
        <v>25.13274123</v>
      </c>
      <c r="G23" s="8">
        <v>8.0</v>
      </c>
      <c r="H23" s="8">
        <v>20.0</v>
      </c>
      <c r="I23" s="76">
        <f t="shared" si="2"/>
        <v>1005.309649</v>
      </c>
      <c r="J23" s="2" t="s">
        <v>600</v>
      </c>
      <c r="K23" s="118">
        <v>0.05</v>
      </c>
      <c r="M23" s="25">
        <f t="shared" si="5"/>
        <v>0.9299114255</v>
      </c>
    </row>
    <row r="24">
      <c r="A24" s="2" t="s">
        <v>1565</v>
      </c>
      <c r="B24" s="2" t="s">
        <v>1610</v>
      </c>
      <c r="C24" s="2" t="s">
        <v>1611</v>
      </c>
      <c r="D24" s="37">
        <f t="shared" si="1"/>
        <v>2</v>
      </c>
      <c r="E24" s="76">
        <f t="shared" si="4"/>
        <v>22902.21044</v>
      </c>
      <c r="F24" s="76">
        <f t="shared" si="6"/>
        <v>11451.10522</v>
      </c>
      <c r="G24" s="8">
        <v>60.0</v>
      </c>
      <c r="H24" s="8">
        <v>270.0</v>
      </c>
      <c r="I24" s="76">
        <f t="shared" si="2"/>
        <v>763407.0148</v>
      </c>
      <c r="J24" s="2" t="s">
        <v>600</v>
      </c>
      <c r="K24" s="118">
        <v>0.03</v>
      </c>
      <c r="M24" s="25">
        <f t="shared" si="5"/>
        <v>423.6908932</v>
      </c>
    </row>
    <row r="25">
      <c r="A25" s="2" t="s">
        <v>1591</v>
      </c>
      <c r="B25" s="2" t="s">
        <v>1617</v>
      </c>
      <c r="C25" s="2" t="s">
        <v>1618</v>
      </c>
      <c r="D25" s="37">
        <f t="shared" si="1"/>
        <v>2</v>
      </c>
      <c r="E25" s="76">
        <f t="shared" si="4"/>
        <v>53418133.52</v>
      </c>
      <c r="F25" s="76">
        <f t="shared" si="6"/>
        <v>26709066.76</v>
      </c>
      <c r="G25" s="8">
        <v>960.0</v>
      </c>
      <c r="H25" s="8">
        <v>2460.0</v>
      </c>
      <c r="I25" s="76">
        <f t="shared" si="2"/>
        <v>1780604451</v>
      </c>
      <c r="J25" s="2" t="s">
        <v>600</v>
      </c>
      <c r="K25" s="118">
        <v>0.03</v>
      </c>
      <c r="M25" s="25">
        <f t="shared" si="5"/>
        <v>988235.4701</v>
      </c>
    </row>
    <row r="26">
      <c r="A26" s="2" t="s">
        <v>1565</v>
      </c>
      <c r="B26" s="2" t="s">
        <v>1625</v>
      </c>
      <c r="C26" s="2" t="s">
        <v>1626</v>
      </c>
      <c r="D26" s="37">
        <f t="shared" si="1"/>
        <v>2</v>
      </c>
      <c r="E26" s="76">
        <f t="shared" si="4"/>
        <v>23090.706</v>
      </c>
      <c r="F26" s="76">
        <f t="shared" si="6"/>
        <v>11545.353</v>
      </c>
      <c r="G26" s="8">
        <v>70.0</v>
      </c>
      <c r="H26" s="8">
        <v>200.0</v>
      </c>
      <c r="I26" s="76">
        <f t="shared" si="2"/>
        <v>769690.2001</v>
      </c>
      <c r="J26" s="2" t="s">
        <v>600</v>
      </c>
      <c r="K26" s="118">
        <v>0.03</v>
      </c>
      <c r="M26" s="25">
        <f t="shared" si="5"/>
        <v>427.1780611</v>
      </c>
    </row>
    <row r="27">
      <c r="A27" s="2" t="s">
        <v>1570</v>
      </c>
      <c r="B27" s="2" t="s">
        <v>1631</v>
      </c>
      <c r="C27" s="2" t="s">
        <v>1632</v>
      </c>
      <c r="D27" s="61">
        <v>1.5</v>
      </c>
      <c r="E27" s="76">
        <f t="shared" si="4"/>
        <v>684.23888</v>
      </c>
      <c r="F27" s="76">
        <f t="shared" ref="F27:F37" si="7">E27/D27</f>
        <v>456.1592533</v>
      </c>
      <c r="G27" s="8">
        <v>22.0</v>
      </c>
      <c r="H27" s="8">
        <v>60.0</v>
      </c>
      <c r="I27" s="76">
        <f t="shared" si="2"/>
        <v>22807.96267</v>
      </c>
      <c r="J27" s="2" t="s">
        <v>600</v>
      </c>
      <c r="K27" s="118">
        <v>0.03</v>
      </c>
      <c r="M27" s="25">
        <f t="shared" si="5"/>
        <v>16.87789237</v>
      </c>
    </row>
    <row r="28">
      <c r="A28" s="102" t="s">
        <v>1570</v>
      </c>
      <c r="B28" s="102" t="s">
        <v>1642</v>
      </c>
      <c r="C28" s="102" t="s">
        <v>1644</v>
      </c>
      <c r="D28" s="238">
        <v>1.5</v>
      </c>
      <c r="E28" s="108">
        <f t="shared" si="4"/>
        <v>318.0862562</v>
      </c>
      <c r="F28" s="108">
        <f t="shared" si="7"/>
        <v>212.0575041</v>
      </c>
      <c r="G28" s="104">
        <v>15.0</v>
      </c>
      <c r="H28" s="104">
        <v>60.0</v>
      </c>
      <c r="I28" s="108">
        <f t="shared" si="2"/>
        <v>10602.87521</v>
      </c>
      <c r="J28" s="102" t="s">
        <v>600</v>
      </c>
      <c r="K28" s="118">
        <v>0.03</v>
      </c>
      <c r="L28" s="239"/>
      <c r="M28" s="111">
        <f>$L$3/100*F28</f>
        <v>42.41150082</v>
      </c>
      <c r="N28" s="111">
        <f>$L$9/100*F28</f>
        <v>10.60287521</v>
      </c>
      <c r="O28" s="111">
        <f>$L$10/100*F28</f>
        <v>74.22012644</v>
      </c>
      <c r="P28" s="239"/>
      <c r="Q28" s="239"/>
      <c r="R28" s="239"/>
      <c r="S28" s="239"/>
      <c r="T28" s="239"/>
      <c r="U28" s="239"/>
      <c r="V28" s="239"/>
    </row>
    <row r="29">
      <c r="A29" s="2" t="s">
        <v>1570</v>
      </c>
      <c r="B29" s="2" t="s">
        <v>1652</v>
      </c>
      <c r="D29" s="61">
        <v>1.5</v>
      </c>
      <c r="E29" s="76">
        <f t="shared" si="4"/>
        <v>108.3849465</v>
      </c>
      <c r="F29" s="76">
        <f t="shared" si="7"/>
        <v>72.25663103</v>
      </c>
      <c r="G29" s="8">
        <v>10.0</v>
      </c>
      <c r="H29" s="8">
        <v>46.0</v>
      </c>
      <c r="I29" s="76">
        <f t="shared" si="2"/>
        <v>3612.831552</v>
      </c>
      <c r="J29" s="2" t="s">
        <v>600</v>
      </c>
      <c r="K29" s="118">
        <v>0.03</v>
      </c>
      <c r="M29" s="25">
        <f t="shared" ref="M29:M32" si="8">$N$3/100*F29</f>
        <v>2.673495348</v>
      </c>
    </row>
    <row r="30">
      <c r="A30" s="2" t="s">
        <v>1553</v>
      </c>
      <c r="D30" s="61">
        <v>1.5</v>
      </c>
      <c r="E30" s="76">
        <f t="shared" si="4"/>
        <v>471238.898</v>
      </c>
      <c r="F30" s="76">
        <f t="shared" si="7"/>
        <v>314159.2654</v>
      </c>
      <c r="G30" s="8">
        <v>200.0</v>
      </c>
      <c r="H30" s="8">
        <v>500.0</v>
      </c>
      <c r="I30" s="76">
        <f t="shared" si="2"/>
        <v>15707963.27</v>
      </c>
      <c r="J30" s="2" t="s">
        <v>600</v>
      </c>
      <c r="K30" s="118">
        <v>0.03</v>
      </c>
      <c r="M30" s="25">
        <f t="shared" si="8"/>
        <v>11623.89282</v>
      </c>
    </row>
    <row r="31">
      <c r="A31" s="2" t="s">
        <v>1558</v>
      </c>
      <c r="B31" s="2" t="s">
        <v>1658</v>
      </c>
      <c r="D31" s="61">
        <v>1.5</v>
      </c>
      <c r="E31" s="76">
        <f t="shared" si="4"/>
        <v>1256637.061</v>
      </c>
      <c r="F31" s="76">
        <f t="shared" si="7"/>
        <v>837758.041</v>
      </c>
      <c r="G31" s="8">
        <v>200.0</v>
      </c>
      <c r="H31" s="8">
        <v>800.0</v>
      </c>
      <c r="I31" s="76">
        <f t="shared" si="2"/>
        <v>25132741.23</v>
      </c>
      <c r="J31" s="2" t="s">
        <v>600</v>
      </c>
      <c r="K31" s="118">
        <v>0.05</v>
      </c>
      <c r="M31" s="25">
        <f t="shared" si="8"/>
        <v>30997.04752</v>
      </c>
    </row>
    <row r="32">
      <c r="A32" s="2" t="s">
        <v>1546</v>
      </c>
      <c r="D32" s="61">
        <v>3.0</v>
      </c>
      <c r="E32" s="76">
        <f t="shared" si="4"/>
        <v>2261946.711</v>
      </c>
      <c r="F32" s="76">
        <f t="shared" si="7"/>
        <v>753982.2369</v>
      </c>
      <c r="G32" s="8">
        <v>400.0</v>
      </c>
      <c r="H32" s="8">
        <v>600.0</v>
      </c>
      <c r="I32" s="76">
        <f t="shared" si="2"/>
        <v>75398223.69</v>
      </c>
      <c r="J32" s="2" t="s">
        <v>600</v>
      </c>
      <c r="K32" s="118">
        <v>0.03</v>
      </c>
      <c r="M32" s="25">
        <f t="shared" si="8"/>
        <v>27897.34276</v>
      </c>
    </row>
    <row r="33">
      <c r="A33" s="2" t="s">
        <v>1662</v>
      </c>
      <c r="D33" s="61">
        <v>1.5</v>
      </c>
      <c r="E33" s="76">
        <f t="shared" si="4"/>
        <v>106028752.1</v>
      </c>
      <c r="F33" s="76">
        <f t="shared" si="7"/>
        <v>70685834.71</v>
      </c>
      <c r="G33" s="8">
        <v>3000.0</v>
      </c>
      <c r="H33" s="8">
        <v>500.0</v>
      </c>
      <c r="I33" s="76">
        <f t="shared" si="2"/>
        <v>3534291735</v>
      </c>
      <c r="J33" s="2" t="s">
        <v>600</v>
      </c>
      <c r="K33" s="118">
        <v>0.03</v>
      </c>
    </row>
    <row r="34">
      <c r="A34" s="2" t="s">
        <v>1561</v>
      </c>
      <c r="B34" s="2" t="s">
        <v>1625</v>
      </c>
      <c r="D34" s="61">
        <v>1.5</v>
      </c>
      <c r="E34" s="76">
        <f t="shared" si="4"/>
        <v>94247.77961</v>
      </c>
      <c r="F34" s="76">
        <f t="shared" si="7"/>
        <v>62831.85307</v>
      </c>
      <c r="G34" s="8">
        <v>100.0</v>
      </c>
      <c r="H34" s="8">
        <v>400.0</v>
      </c>
      <c r="I34" s="76">
        <f t="shared" si="2"/>
        <v>3141592.654</v>
      </c>
      <c r="J34" s="2" t="s">
        <v>600</v>
      </c>
      <c r="K34" s="118">
        <v>0.03</v>
      </c>
    </row>
    <row r="35">
      <c r="A35" s="2" t="s">
        <v>1565</v>
      </c>
      <c r="D35" s="61">
        <v>1.5</v>
      </c>
      <c r="E35" s="76">
        <f t="shared" si="4"/>
        <v>2120.575041</v>
      </c>
      <c r="F35" s="76">
        <f t="shared" si="7"/>
        <v>1413.716694</v>
      </c>
      <c r="G35" s="8">
        <v>30.0</v>
      </c>
      <c r="H35" s="8">
        <v>100.0</v>
      </c>
      <c r="I35" s="76">
        <f t="shared" si="2"/>
        <v>70685.83471</v>
      </c>
      <c r="J35" s="2" t="s">
        <v>600</v>
      </c>
      <c r="K35" s="118">
        <v>0.03</v>
      </c>
    </row>
    <row r="36">
      <c r="A36" s="2" t="s">
        <v>1672</v>
      </c>
      <c r="D36" s="61">
        <v>1.5</v>
      </c>
      <c r="E36" s="242">
        <f t="shared" si="4"/>
        <v>2120575041</v>
      </c>
      <c r="F36" s="76">
        <f t="shared" si="7"/>
        <v>1413716694</v>
      </c>
      <c r="G36" s="8">
        <v>3000.0</v>
      </c>
      <c r="H36" s="8">
        <v>10000.0</v>
      </c>
      <c r="I36" s="76">
        <f t="shared" si="2"/>
        <v>70685834706</v>
      </c>
      <c r="J36" s="2" t="s">
        <v>600</v>
      </c>
      <c r="K36" s="118">
        <v>0.03</v>
      </c>
    </row>
    <row r="37">
      <c r="A37" s="2" t="s">
        <v>1678</v>
      </c>
      <c r="D37" s="61">
        <v>1.5</v>
      </c>
      <c r="E37" s="242">
        <f t="shared" si="4"/>
        <v>94247779.61</v>
      </c>
      <c r="F37" s="76">
        <f t="shared" si="7"/>
        <v>62831853.07</v>
      </c>
      <c r="G37" s="8">
        <v>1000.0</v>
      </c>
      <c r="H37" s="8">
        <v>4000.0</v>
      </c>
      <c r="I37" s="76">
        <f t="shared" si="2"/>
        <v>3141592654</v>
      </c>
      <c r="J37" s="2" t="s">
        <v>600</v>
      </c>
      <c r="K37" s="118">
        <v>0.03</v>
      </c>
    </row>
    <row r="38">
      <c r="E38" s="25"/>
      <c r="G38">
        <f t="shared" ref="G38:G47" si="9">H24/G24</f>
        <v>4.5</v>
      </c>
      <c r="I38" s="76"/>
    </row>
    <row r="39">
      <c r="E39" s="25"/>
      <c r="G39">
        <f t="shared" si="9"/>
        <v>2.5625</v>
      </c>
      <c r="I39" s="76"/>
    </row>
    <row r="40">
      <c r="E40" s="76"/>
      <c r="F40" s="39"/>
      <c r="G40">
        <f t="shared" si="9"/>
        <v>2.857142857</v>
      </c>
      <c r="H40" s="8"/>
      <c r="I40" s="76"/>
    </row>
    <row r="41">
      <c r="C41" s="2" t="s">
        <v>591</v>
      </c>
      <c r="D41" s="2">
        <v>0.05</v>
      </c>
      <c r="E41" s="67" t="s">
        <v>1683</v>
      </c>
      <c r="G41">
        <f t="shared" si="9"/>
        <v>2.727272727</v>
      </c>
    </row>
    <row r="42">
      <c r="C42" s="2" t="s">
        <v>73</v>
      </c>
      <c r="D42" s="2">
        <v>1000.0</v>
      </c>
      <c r="E42" s="67" t="s">
        <v>90</v>
      </c>
      <c r="G42">
        <f t="shared" si="9"/>
        <v>4</v>
      </c>
    </row>
    <row r="43">
      <c r="C43" s="2" t="s">
        <v>1684</v>
      </c>
      <c r="D43">
        <f>D42/D41</f>
        <v>20000</v>
      </c>
      <c r="E43" s="67" t="s">
        <v>600</v>
      </c>
      <c r="G43">
        <f t="shared" si="9"/>
        <v>4.6</v>
      </c>
    </row>
    <row r="44">
      <c r="B44" s="2" t="s">
        <v>1687</v>
      </c>
      <c r="C44" s="2" t="s">
        <v>636</v>
      </c>
      <c r="D44" s="25">
        <f>(D43/(6*PI()))^(1/3)</f>
        <v>10.19943914</v>
      </c>
      <c r="E44" s="67" t="s">
        <v>189</v>
      </c>
      <c r="G44">
        <f t="shared" si="9"/>
        <v>2.5</v>
      </c>
    </row>
    <row r="45">
      <c r="C45" s="2" t="s">
        <v>115</v>
      </c>
      <c r="D45" s="25">
        <f>8*D44</f>
        <v>81.59551312</v>
      </c>
      <c r="E45" s="67" t="s">
        <v>189</v>
      </c>
      <c r="G45">
        <f t="shared" si="9"/>
        <v>4</v>
      </c>
    </row>
    <row r="46">
      <c r="E46" s="25"/>
      <c r="G46">
        <f t="shared" si="9"/>
        <v>1.5</v>
      </c>
    </row>
    <row r="47">
      <c r="E47" s="25"/>
      <c r="G47">
        <f t="shared" si="9"/>
        <v>0.1666666667</v>
      </c>
    </row>
    <row r="48">
      <c r="E48" s="25"/>
      <c r="G48">
        <f t="shared" ref="G48:G49" si="10">H38/G38</f>
        <v>0</v>
      </c>
    </row>
    <row r="49">
      <c r="E49" s="25"/>
      <c r="G49">
        <f t="shared" si="10"/>
        <v>0</v>
      </c>
    </row>
    <row r="50">
      <c r="E50" s="25"/>
    </row>
    <row r="51">
      <c r="E51" s="25"/>
    </row>
    <row r="52">
      <c r="E52" s="25"/>
    </row>
    <row r="53">
      <c r="E53" s="25"/>
    </row>
    <row r="54">
      <c r="E54" s="25"/>
    </row>
    <row r="55">
      <c r="E55" s="25"/>
    </row>
    <row r="56">
      <c r="E56" s="25"/>
    </row>
    <row r="57">
      <c r="E57" s="25"/>
    </row>
    <row r="58">
      <c r="E58" s="25"/>
    </row>
    <row r="59">
      <c r="E59" s="25"/>
    </row>
    <row r="60">
      <c r="E60" s="25"/>
    </row>
    <row r="61">
      <c r="E61" s="25"/>
    </row>
    <row r="62">
      <c r="E62" s="25"/>
    </row>
    <row r="63">
      <c r="E63" s="25"/>
    </row>
    <row r="64">
      <c r="E64" s="25"/>
    </row>
    <row r="65">
      <c r="E65" s="25"/>
    </row>
    <row r="66">
      <c r="E66" s="25"/>
    </row>
    <row r="67">
      <c r="E67" s="25"/>
    </row>
    <row r="68">
      <c r="E68" s="25"/>
    </row>
    <row r="69">
      <c r="E69" s="25"/>
    </row>
    <row r="70">
      <c r="E70" s="25"/>
    </row>
    <row r="71">
      <c r="E71" s="25"/>
    </row>
    <row r="72">
      <c r="E72" s="25"/>
    </row>
    <row r="73">
      <c r="E73" s="25"/>
    </row>
    <row r="74">
      <c r="E74" s="25"/>
    </row>
    <row r="75">
      <c r="E75" s="25"/>
    </row>
    <row r="76">
      <c r="E76" s="25"/>
    </row>
    <row r="77">
      <c r="E77" s="25"/>
    </row>
    <row r="78">
      <c r="E78" s="25"/>
    </row>
    <row r="79">
      <c r="E79" s="25"/>
    </row>
    <row r="80">
      <c r="E80" s="25"/>
    </row>
    <row r="81">
      <c r="E81" s="25"/>
    </row>
    <row r="82">
      <c r="E82" s="25"/>
    </row>
    <row r="83">
      <c r="E83" s="25"/>
    </row>
    <row r="84">
      <c r="E84" s="25"/>
    </row>
    <row r="85">
      <c r="E85" s="25"/>
    </row>
    <row r="86">
      <c r="E86" s="25"/>
    </row>
    <row r="87">
      <c r="E87" s="25"/>
    </row>
    <row r="88">
      <c r="E88" s="25"/>
    </row>
    <row r="89">
      <c r="E89" s="25"/>
    </row>
    <row r="90">
      <c r="E90" s="25"/>
    </row>
    <row r="91">
      <c r="E91" s="25"/>
    </row>
    <row r="92">
      <c r="E92" s="25"/>
    </row>
    <row r="93">
      <c r="E93" s="25"/>
    </row>
    <row r="94">
      <c r="E94" s="25"/>
    </row>
    <row r="95">
      <c r="E95" s="25"/>
    </row>
    <row r="96">
      <c r="E96" s="25"/>
    </row>
    <row r="97">
      <c r="E97" s="25"/>
    </row>
    <row r="98">
      <c r="E98" s="25"/>
    </row>
    <row r="99">
      <c r="E99" s="25"/>
    </row>
    <row r="100">
      <c r="E100" s="25"/>
    </row>
    <row r="101">
      <c r="E101" s="25"/>
    </row>
    <row r="102">
      <c r="E102" s="25"/>
    </row>
    <row r="103">
      <c r="E103" s="25"/>
    </row>
    <row r="104">
      <c r="E104" s="25"/>
    </row>
    <row r="105">
      <c r="E105" s="25"/>
    </row>
    <row r="106">
      <c r="E106" s="25"/>
    </row>
    <row r="107">
      <c r="E107" s="25"/>
    </row>
    <row r="108">
      <c r="E108" s="25"/>
    </row>
    <row r="109">
      <c r="E109" s="25"/>
    </row>
    <row r="110">
      <c r="E110" s="25"/>
    </row>
    <row r="111">
      <c r="E111" s="25"/>
    </row>
    <row r="112">
      <c r="E112" s="25"/>
    </row>
    <row r="113">
      <c r="E113" s="25"/>
    </row>
    <row r="114">
      <c r="E114" s="25"/>
    </row>
    <row r="115">
      <c r="E115" s="25"/>
    </row>
    <row r="116">
      <c r="E116" s="25"/>
    </row>
    <row r="117">
      <c r="E117" s="25"/>
    </row>
    <row r="118">
      <c r="E118" s="25"/>
    </row>
    <row r="119">
      <c r="E119" s="25"/>
    </row>
    <row r="120">
      <c r="E120" s="25"/>
    </row>
    <row r="121">
      <c r="E121" s="25"/>
    </row>
    <row r="122">
      <c r="E122" s="25"/>
    </row>
    <row r="123">
      <c r="E123" s="25"/>
    </row>
    <row r="124">
      <c r="E124" s="25"/>
    </row>
    <row r="125">
      <c r="E125" s="25"/>
    </row>
    <row r="126">
      <c r="E126" s="25"/>
    </row>
    <row r="127">
      <c r="E127" s="25"/>
    </row>
    <row r="128">
      <c r="E128" s="25"/>
    </row>
    <row r="129">
      <c r="E129" s="25"/>
    </row>
    <row r="130">
      <c r="E130" s="25"/>
    </row>
    <row r="131">
      <c r="E131" s="25"/>
    </row>
    <row r="132">
      <c r="E132" s="25"/>
    </row>
    <row r="133">
      <c r="E133" s="25"/>
    </row>
    <row r="134">
      <c r="E134" s="25"/>
    </row>
    <row r="135">
      <c r="E135" s="25"/>
    </row>
    <row r="136">
      <c r="E136" s="25"/>
    </row>
    <row r="137">
      <c r="E137" s="25"/>
    </row>
    <row r="138">
      <c r="E138" s="25"/>
    </row>
    <row r="139">
      <c r="E139" s="25"/>
    </row>
    <row r="140">
      <c r="E140" s="25"/>
    </row>
    <row r="141">
      <c r="E141" s="25"/>
    </row>
    <row r="142">
      <c r="E142" s="25"/>
    </row>
    <row r="143">
      <c r="E143" s="25"/>
    </row>
    <row r="144">
      <c r="E144" s="25"/>
    </row>
    <row r="145">
      <c r="E145" s="25"/>
    </row>
    <row r="146">
      <c r="E146" s="25"/>
    </row>
    <row r="147">
      <c r="E147" s="25"/>
    </row>
    <row r="148">
      <c r="E148" s="25"/>
    </row>
    <row r="149">
      <c r="E149" s="25"/>
    </row>
    <row r="150">
      <c r="E150" s="25"/>
    </row>
    <row r="151">
      <c r="E151" s="25"/>
    </row>
    <row r="152">
      <c r="E152" s="25"/>
    </row>
    <row r="153">
      <c r="E153" s="25"/>
    </row>
    <row r="154">
      <c r="E154" s="25"/>
    </row>
    <row r="155">
      <c r="E155" s="25"/>
    </row>
    <row r="156">
      <c r="E156" s="25"/>
    </row>
    <row r="157">
      <c r="E157" s="25"/>
    </row>
    <row r="158">
      <c r="E158" s="25"/>
    </row>
    <row r="159">
      <c r="E159" s="25"/>
    </row>
    <row r="160">
      <c r="E160" s="25"/>
    </row>
    <row r="161">
      <c r="E161" s="25"/>
    </row>
    <row r="162">
      <c r="E162" s="25"/>
    </row>
    <row r="163">
      <c r="E163" s="25"/>
    </row>
    <row r="164">
      <c r="E164" s="25"/>
    </row>
    <row r="165">
      <c r="E165" s="25"/>
    </row>
    <row r="166">
      <c r="E166" s="25"/>
    </row>
    <row r="167">
      <c r="E167" s="25"/>
    </row>
    <row r="168">
      <c r="E168" s="25"/>
    </row>
    <row r="169">
      <c r="E169" s="25"/>
    </row>
    <row r="170">
      <c r="E170" s="25"/>
    </row>
    <row r="171">
      <c r="E171" s="25"/>
    </row>
    <row r="172">
      <c r="E172" s="25"/>
    </row>
    <row r="173">
      <c r="E173" s="25"/>
    </row>
    <row r="174">
      <c r="E174" s="25"/>
    </row>
    <row r="175">
      <c r="E175" s="25"/>
    </row>
    <row r="176">
      <c r="E176" s="25"/>
    </row>
    <row r="177">
      <c r="E177" s="25"/>
    </row>
    <row r="178">
      <c r="E178" s="25"/>
    </row>
    <row r="179">
      <c r="E179" s="25"/>
    </row>
    <row r="180">
      <c r="E180" s="25"/>
    </row>
    <row r="181">
      <c r="E181" s="25"/>
    </row>
    <row r="182">
      <c r="E182" s="25"/>
    </row>
    <row r="183">
      <c r="E183" s="25"/>
    </row>
    <row r="184">
      <c r="E184" s="25"/>
    </row>
    <row r="185">
      <c r="E185" s="25"/>
    </row>
    <row r="186">
      <c r="E186" s="25"/>
    </row>
    <row r="187">
      <c r="E187" s="25"/>
    </row>
    <row r="188">
      <c r="E188" s="25"/>
    </row>
    <row r="189">
      <c r="E189" s="25"/>
    </row>
    <row r="190">
      <c r="E190" s="25"/>
    </row>
    <row r="191">
      <c r="E191" s="25"/>
    </row>
    <row r="192">
      <c r="E192" s="25"/>
    </row>
    <row r="193">
      <c r="E193" s="25"/>
    </row>
    <row r="194">
      <c r="E194" s="25"/>
    </row>
    <row r="195">
      <c r="E195" s="25"/>
    </row>
    <row r="196">
      <c r="E196" s="25"/>
    </row>
    <row r="197">
      <c r="E197" s="25"/>
    </row>
    <row r="198">
      <c r="E198" s="25"/>
    </row>
    <row r="199">
      <c r="E199" s="25"/>
    </row>
    <row r="200">
      <c r="E200" s="25"/>
    </row>
    <row r="201">
      <c r="E201" s="25"/>
    </row>
    <row r="202">
      <c r="E202" s="25"/>
    </row>
    <row r="203">
      <c r="E203" s="25"/>
    </row>
    <row r="204">
      <c r="E204" s="25"/>
    </row>
    <row r="205">
      <c r="E205" s="25"/>
    </row>
    <row r="206">
      <c r="E206" s="25"/>
    </row>
    <row r="207">
      <c r="E207" s="25"/>
    </row>
    <row r="208">
      <c r="E208" s="25"/>
    </row>
    <row r="209">
      <c r="E209" s="25"/>
    </row>
    <row r="210">
      <c r="E210" s="25"/>
    </row>
    <row r="211">
      <c r="E211" s="25"/>
    </row>
    <row r="212">
      <c r="E212" s="25"/>
    </row>
    <row r="213">
      <c r="E213" s="25"/>
    </row>
    <row r="214">
      <c r="E214" s="25"/>
    </row>
    <row r="215">
      <c r="E215" s="25"/>
    </row>
    <row r="216">
      <c r="E216" s="25"/>
    </row>
    <row r="217">
      <c r="E217" s="25"/>
    </row>
    <row r="218">
      <c r="E218" s="25"/>
    </row>
    <row r="219">
      <c r="E219" s="25"/>
    </row>
    <row r="220">
      <c r="E220" s="25"/>
    </row>
    <row r="221">
      <c r="E221" s="25"/>
    </row>
    <row r="222">
      <c r="E222" s="25"/>
    </row>
    <row r="223">
      <c r="E223" s="25"/>
    </row>
    <row r="224">
      <c r="E224" s="25"/>
    </row>
    <row r="225">
      <c r="E225" s="25"/>
    </row>
    <row r="226">
      <c r="E226" s="25"/>
    </row>
    <row r="227">
      <c r="E227" s="25"/>
    </row>
    <row r="228">
      <c r="E228" s="25"/>
    </row>
    <row r="229">
      <c r="E229" s="25"/>
    </row>
    <row r="230">
      <c r="E230" s="25"/>
    </row>
    <row r="231">
      <c r="E231" s="25"/>
    </row>
    <row r="232">
      <c r="E232" s="25"/>
    </row>
    <row r="233">
      <c r="E233" s="25"/>
    </row>
    <row r="234">
      <c r="E234" s="25"/>
    </row>
    <row r="235">
      <c r="E235" s="25"/>
    </row>
    <row r="236">
      <c r="E236" s="25"/>
    </row>
    <row r="237">
      <c r="E237" s="25"/>
    </row>
    <row r="238">
      <c r="E238" s="25"/>
    </row>
    <row r="239">
      <c r="E239" s="25"/>
    </row>
    <row r="240">
      <c r="E240" s="25"/>
    </row>
    <row r="241">
      <c r="E241" s="25"/>
    </row>
    <row r="242">
      <c r="E242" s="25"/>
    </row>
    <row r="243">
      <c r="E243" s="25"/>
    </row>
    <row r="244">
      <c r="E244" s="25"/>
    </row>
    <row r="245">
      <c r="E245" s="25"/>
    </row>
    <row r="246">
      <c r="E246" s="25"/>
    </row>
    <row r="247">
      <c r="E247" s="25"/>
    </row>
    <row r="248">
      <c r="E248" s="25"/>
    </row>
    <row r="249">
      <c r="E249" s="25"/>
    </row>
    <row r="250">
      <c r="E250" s="25"/>
    </row>
    <row r="251">
      <c r="E251" s="25"/>
    </row>
    <row r="252">
      <c r="E252" s="25"/>
    </row>
    <row r="253">
      <c r="E253" s="25"/>
    </row>
    <row r="254">
      <c r="E254" s="25"/>
    </row>
    <row r="255">
      <c r="E255" s="25"/>
    </row>
    <row r="256">
      <c r="E256" s="25"/>
    </row>
    <row r="257">
      <c r="E257" s="25"/>
    </row>
    <row r="258">
      <c r="E258" s="25"/>
    </row>
    <row r="259">
      <c r="E259" s="25"/>
    </row>
    <row r="260">
      <c r="E260" s="25"/>
    </row>
    <row r="261">
      <c r="E261" s="25"/>
    </row>
    <row r="262">
      <c r="E262" s="25"/>
    </row>
    <row r="263">
      <c r="E263" s="25"/>
    </row>
    <row r="264">
      <c r="E264" s="25"/>
    </row>
    <row r="265">
      <c r="E265" s="25"/>
    </row>
    <row r="266">
      <c r="E266" s="25"/>
    </row>
    <row r="267">
      <c r="E267" s="25"/>
    </row>
    <row r="268">
      <c r="E268" s="25"/>
    </row>
    <row r="269">
      <c r="E269" s="25"/>
    </row>
    <row r="270">
      <c r="E270" s="25"/>
    </row>
    <row r="271">
      <c r="E271" s="25"/>
    </row>
    <row r="272">
      <c r="E272" s="25"/>
    </row>
    <row r="273">
      <c r="E273" s="25"/>
    </row>
    <row r="274">
      <c r="E274" s="25"/>
    </row>
    <row r="275">
      <c r="E275" s="25"/>
    </row>
    <row r="276">
      <c r="E276" s="25"/>
    </row>
    <row r="277">
      <c r="E277" s="25"/>
    </row>
    <row r="278">
      <c r="E278" s="25"/>
    </row>
    <row r="279">
      <c r="E279" s="25"/>
    </row>
    <row r="280">
      <c r="E280" s="25"/>
    </row>
    <row r="281">
      <c r="E281" s="25"/>
    </row>
    <row r="282">
      <c r="E282" s="25"/>
    </row>
    <row r="283">
      <c r="E283" s="25"/>
    </row>
    <row r="284">
      <c r="E284" s="25"/>
    </row>
    <row r="285">
      <c r="E285" s="25"/>
    </row>
    <row r="286">
      <c r="E286" s="25"/>
    </row>
    <row r="287">
      <c r="E287" s="25"/>
    </row>
    <row r="288">
      <c r="E288" s="25"/>
    </row>
    <row r="289">
      <c r="E289" s="25"/>
    </row>
    <row r="290">
      <c r="E290" s="25"/>
    </row>
    <row r="291">
      <c r="E291" s="25"/>
    </row>
    <row r="292">
      <c r="E292" s="25"/>
    </row>
    <row r="293">
      <c r="E293" s="25"/>
    </row>
    <row r="294">
      <c r="E294" s="25"/>
    </row>
    <row r="295">
      <c r="E295" s="25"/>
    </row>
    <row r="296">
      <c r="E296" s="25"/>
    </row>
    <row r="297">
      <c r="E297" s="25"/>
    </row>
    <row r="298">
      <c r="E298" s="25"/>
    </row>
    <row r="299">
      <c r="E299" s="25"/>
    </row>
    <row r="300">
      <c r="E300" s="25"/>
    </row>
    <row r="301">
      <c r="E301" s="25"/>
    </row>
    <row r="302">
      <c r="E302" s="25"/>
    </row>
    <row r="303">
      <c r="E303" s="25"/>
    </row>
    <row r="304">
      <c r="E304" s="25"/>
    </row>
    <row r="305">
      <c r="E305" s="25"/>
    </row>
    <row r="306">
      <c r="E306" s="25"/>
    </row>
    <row r="307">
      <c r="E307" s="25"/>
    </row>
    <row r="308">
      <c r="E308" s="25"/>
    </row>
    <row r="309">
      <c r="E309" s="25"/>
    </row>
    <row r="310">
      <c r="E310" s="25"/>
    </row>
    <row r="311">
      <c r="E311" s="25"/>
    </row>
    <row r="312">
      <c r="E312" s="25"/>
    </row>
    <row r="313">
      <c r="E313" s="25"/>
    </row>
    <row r="314">
      <c r="E314" s="25"/>
    </row>
    <row r="315">
      <c r="E315" s="25"/>
    </row>
    <row r="316">
      <c r="E316" s="25"/>
    </row>
    <row r="317">
      <c r="E317" s="25"/>
    </row>
    <row r="318">
      <c r="E318" s="25"/>
    </row>
    <row r="319">
      <c r="E319" s="25"/>
    </row>
    <row r="320">
      <c r="E320" s="25"/>
    </row>
    <row r="321">
      <c r="E321" s="25"/>
    </row>
    <row r="322">
      <c r="E322" s="25"/>
    </row>
    <row r="323">
      <c r="E323" s="25"/>
    </row>
    <row r="324">
      <c r="E324" s="25"/>
    </row>
    <row r="325">
      <c r="E325" s="25"/>
    </row>
    <row r="326">
      <c r="E326" s="25"/>
    </row>
    <row r="327">
      <c r="E327" s="25"/>
    </row>
    <row r="328">
      <c r="E328" s="25"/>
    </row>
    <row r="329">
      <c r="E329" s="25"/>
    </row>
    <row r="330">
      <c r="E330" s="25"/>
    </row>
    <row r="331">
      <c r="E331" s="25"/>
    </row>
    <row r="332">
      <c r="E332" s="25"/>
    </row>
    <row r="333">
      <c r="E333" s="25"/>
    </row>
    <row r="334">
      <c r="E334" s="25"/>
    </row>
    <row r="335">
      <c r="E335" s="25"/>
    </row>
    <row r="336">
      <c r="E336" s="25"/>
    </row>
    <row r="337">
      <c r="E337" s="25"/>
    </row>
    <row r="338">
      <c r="E338" s="25"/>
    </row>
    <row r="339">
      <c r="E339" s="25"/>
    </row>
    <row r="340">
      <c r="E340" s="25"/>
    </row>
    <row r="341">
      <c r="E341" s="25"/>
    </row>
    <row r="342">
      <c r="E342" s="25"/>
    </row>
    <row r="343">
      <c r="E343" s="25"/>
    </row>
    <row r="344">
      <c r="E344" s="25"/>
    </row>
    <row r="345">
      <c r="E345" s="25"/>
    </row>
    <row r="346">
      <c r="E346" s="25"/>
    </row>
    <row r="347">
      <c r="E347" s="25"/>
    </row>
    <row r="348">
      <c r="E348" s="25"/>
    </row>
    <row r="349">
      <c r="E349" s="25"/>
    </row>
    <row r="350">
      <c r="E350" s="25"/>
    </row>
    <row r="351">
      <c r="E351" s="25"/>
    </row>
    <row r="352">
      <c r="E352" s="25"/>
    </row>
    <row r="353">
      <c r="E353" s="25"/>
    </row>
    <row r="354">
      <c r="E354" s="25"/>
    </row>
    <row r="355">
      <c r="E355" s="25"/>
    </row>
    <row r="356">
      <c r="E356" s="25"/>
    </row>
    <row r="357">
      <c r="E357" s="25"/>
    </row>
    <row r="358">
      <c r="E358" s="25"/>
    </row>
    <row r="359">
      <c r="E359" s="25"/>
    </row>
    <row r="360">
      <c r="E360" s="25"/>
    </row>
    <row r="361">
      <c r="E361" s="25"/>
    </row>
    <row r="362">
      <c r="E362" s="25"/>
    </row>
    <row r="363">
      <c r="E363" s="25"/>
    </row>
    <row r="364">
      <c r="E364" s="25"/>
    </row>
    <row r="365">
      <c r="E365" s="25"/>
    </row>
    <row r="366">
      <c r="E366" s="25"/>
    </row>
    <row r="367">
      <c r="E367" s="25"/>
    </row>
    <row r="368">
      <c r="E368" s="25"/>
    </row>
    <row r="369">
      <c r="E369" s="25"/>
    </row>
    <row r="370">
      <c r="E370" s="25"/>
    </row>
    <row r="371">
      <c r="E371" s="25"/>
    </row>
    <row r="372">
      <c r="E372" s="25"/>
    </row>
    <row r="373">
      <c r="E373" s="25"/>
    </row>
    <row r="374">
      <c r="E374" s="25"/>
    </row>
    <row r="375">
      <c r="E375" s="25"/>
    </row>
    <row r="376">
      <c r="E376" s="25"/>
    </row>
    <row r="377">
      <c r="E377" s="25"/>
    </row>
    <row r="378">
      <c r="E378" s="25"/>
    </row>
    <row r="379">
      <c r="E379" s="25"/>
    </row>
    <row r="380">
      <c r="E380" s="25"/>
    </row>
    <row r="381">
      <c r="E381" s="25"/>
    </row>
    <row r="382">
      <c r="E382" s="25"/>
    </row>
    <row r="383">
      <c r="E383" s="25"/>
    </row>
    <row r="384">
      <c r="E384" s="25"/>
    </row>
    <row r="385">
      <c r="E385" s="25"/>
    </row>
    <row r="386">
      <c r="E386" s="25"/>
    </row>
    <row r="387">
      <c r="E387" s="25"/>
    </row>
    <row r="388">
      <c r="E388" s="25"/>
    </row>
    <row r="389">
      <c r="E389" s="25"/>
    </row>
    <row r="390">
      <c r="E390" s="25"/>
    </row>
    <row r="391">
      <c r="E391" s="25"/>
    </row>
    <row r="392">
      <c r="E392" s="25"/>
    </row>
    <row r="393">
      <c r="E393" s="25"/>
    </row>
    <row r="394">
      <c r="E394" s="25"/>
    </row>
    <row r="395">
      <c r="E395" s="25"/>
    </row>
    <row r="396">
      <c r="E396" s="25"/>
    </row>
    <row r="397">
      <c r="E397" s="25"/>
    </row>
    <row r="398">
      <c r="E398" s="25"/>
    </row>
    <row r="399">
      <c r="E399" s="25"/>
    </row>
    <row r="400">
      <c r="E400" s="25"/>
    </row>
    <row r="401">
      <c r="E401" s="25"/>
    </row>
    <row r="402">
      <c r="E402" s="25"/>
    </row>
    <row r="403">
      <c r="E403" s="25"/>
    </row>
    <row r="404">
      <c r="E404" s="25"/>
    </row>
    <row r="405">
      <c r="E405" s="25"/>
    </row>
    <row r="406">
      <c r="E406" s="25"/>
    </row>
    <row r="407">
      <c r="E407" s="25"/>
    </row>
    <row r="408">
      <c r="E408" s="25"/>
    </row>
    <row r="409">
      <c r="E409" s="25"/>
    </row>
    <row r="410">
      <c r="E410" s="25"/>
    </row>
    <row r="411">
      <c r="E411" s="25"/>
    </row>
    <row r="412">
      <c r="E412" s="25"/>
    </row>
    <row r="413">
      <c r="E413" s="25"/>
    </row>
    <row r="414">
      <c r="E414" s="25"/>
    </row>
    <row r="415">
      <c r="E415" s="25"/>
    </row>
    <row r="416">
      <c r="E416" s="25"/>
    </row>
    <row r="417">
      <c r="E417" s="25"/>
    </row>
    <row r="418">
      <c r="E418" s="25"/>
    </row>
    <row r="419">
      <c r="E419" s="25"/>
    </row>
    <row r="420">
      <c r="E420" s="25"/>
    </row>
    <row r="421">
      <c r="E421" s="25"/>
    </row>
    <row r="422">
      <c r="E422" s="25"/>
    </row>
    <row r="423">
      <c r="E423" s="25"/>
    </row>
    <row r="424">
      <c r="E424" s="25"/>
    </row>
    <row r="425">
      <c r="E425" s="25"/>
    </row>
    <row r="426">
      <c r="E426" s="25"/>
    </row>
    <row r="427">
      <c r="E427" s="25"/>
    </row>
    <row r="428">
      <c r="E428" s="25"/>
    </row>
    <row r="429">
      <c r="E429" s="25"/>
    </row>
    <row r="430">
      <c r="E430" s="25"/>
    </row>
    <row r="431">
      <c r="E431" s="25"/>
    </row>
    <row r="432">
      <c r="E432" s="25"/>
    </row>
    <row r="433">
      <c r="E433" s="25"/>
    </row>
    <row r="434">
      <c r="E434" s="25"/>
    </row>
    <row r="435">
      <c r="E435" s="25"/>
    </row>
    <row r="436">
      <c r="E436" s="25"/>
    </row>
    <row r="437">
      <c r="E437" s="25"/>
    </row>
    <row r="438">
      <c r="E438" s="25"/>
    </row>
    <row r="439">
      <c r="E439" s="25"/>
    </row>
    <row r="440">
      <c r="E440" s="25"/>
    </row>
    <row r="441">
      <c r="E441" s="25"/>
    </row>
    <row r="442">
      <c r="E442" s="25"/>
    </row>
    <row r="443">
      <c r="E443" s="25"/>
    </row>
    <row r="444">
      <c r="E444" s="25"/>
    </row>
    <row r="445">
      <c r="E445" s="25"/>
    </row>
    <row r="446">
      <c r="E446" s="25"/>
    </row>
    <row r="447">
      <c r="E447" s="25"/>
    </row>
    <row r="448">
      <c r="E448" s="25"/>
    </row>
    <row r="449">
      <c r="E449" s="25"/>
    </row>
    <row r="450">
      <c r="E450" s="25"/>
    </row>
    <row r="451">
      <c r="E451" s="25"/>
    </row>
    <row r="452">
      <c r="E452" s="25"/>
    </row>
    <row r="453">
      <c r="E453" s="25"/>
    </row>
    <row r="454">
      <c r="E454" s="25"/>
    </row>
    <row r="455">
      <c r="E455" s="25"/>
    </row>
    <row r="456">
      <c r="E456" s="25"/>
    </row>
    <row r="457">
      <c r="E457" s="25"/>
    </row>
    <row r="458">
      <c r="E458" s="25"/>
    </row>
    <row r="459">
      <c r="E459" s="25"/>
    </row>
    <row r="460">
      <c r="E460" s="25"/>
    </row>
    <row r="461">
      <c r="E461" s="25"/>
    </row>
    <row r="462">
      <c r="E462" s="25"/>
    </row>
    <row r="463">
      <c r="E463" s="25"/>
    </row>
    <row r="464">
      <c r="E464" s="25"/>
    </row>
    <row r="465">
      <c r="E465" s="25"/>
    </row>
    <row r="466">
      <c r="E466" s="25"/>
    </row>
    <row r="467">
      <c r="E467" s="25"/>
    </row>
    <row r="468">
      <c r="E468" s="25"/>
    </row>
    <row r="469">
      <c r="E469" s="25"/>
    </row>
    <row r="470">
      <c r="E470" s="25"/>
    </row>
    <row r="471">
      <c r="E471" s="25"/>
    </row>
    <row r="472">
      <c r="E472" s="25"/>
    </row>
    <row r="473">
      <c r="E473" s="25"/>
    </row>
    <row r="474">
      <c r="E474" s="25"/>
    </row>
    <row r="475">
      <c r="E475" s="25"/>
    </row>
    <row r="476">
      <c r="E476" s="25"/>
    </row>
    <row r="477">
      <c r="E477" s="25"/>
    </row>
    <row r="478">
      <c r="E478" s="25"/>
    </row>
    <row r="479">
      <c r="E479" s="25"/>
    </row>
    <row r="480">
      <c r="E480" s="25"/>
    </row>
    <row r="481">
      <c r="E481" s="25"/>
    </row>
    <row r="482">
      <c r="E482" s="25"/>
    </row>
    <row r="483">
      <c r="E483" s="25"/>
    </row>
    <row r="484">
      <c r="E484" s="25"/>
    </row>
    <row r="485">
      <c r="E485" s="25"/>
    </row>
    <row r="486">
      <c r="E486" s="25"/>
    </row>
    <row r="487">
      <c r="E487" s="25"/>
    </row>
    <row r="488">
      <c r="E488" s="25"/>
    </row>
    <row r="489">
      <c r="E489" s="25"/>
    </row>
    <row r="490">
      <c r="E490" s="25"/>
    </row>
    <row r="491">
      <c r="E491" s="25"/>
    </row>
    <row r="492">
      <c r="E492" s="25"/>
    </row>
    <row r="493">
      <c r="E493" s="25"/>
    </row>
    <row r="494">
      <c r="E494" s="25"/>
    </row>
    <row r="495">
      <c r="E495" s="25"/>
    </row>
    <row r="496">
      <c r="E496" s="25"/>
    </row>
    <row r="497">
      <c r="E497" s="25"/>
    </row>
    <row r="498">
      <c r="E498" s="25"/>
    </row>
    <row r="499">
      <c r="E499" s="25"/>
    </row>
    <row r="500">
      <c r="E500" s="25"/>
    </row>
    <row r="501">
      <c r="E501" s="25"/>
    </row>
    <row r="502">
      <c r="E502" s="25"/>
    </row>
    <row r="503">
      <c r="E503" s="25"/>
    </row>
    <row r="504">
      <c r="E504" s="25"/>
    </row>
    <row r="505">
      <c r="E505" s="25"/>
    </row>
    <row r="506">
      <c r="E506" s="25"/>
    </row>
    <row r="507">
      <c r="E507" s="25"/>
    </row>
    <row r="508">
      <c r="E508" s="25"/>
    </row>
    <row r="509">
      <c r="E509" s="25"/>
    </row>
    <row r="510">
      <c r="E510" s="25"/>
    </row>
    <row r="511">
      <c r="E511" s="25"/>
    </row>
    <row r="512">
      <c r="E512" s="25"/>
    </row>
    <row r="513">
      <c r="E513" s="25"/>
    </row>
    <row r="514">
      <c r="E514" s="25"/>
    </row>
    <row r="515">
      <c r="E515" s="25"/>
    </row>
    <row r="516">
      <c r="E516" s="25"/>
    </row>
    <row r="517">
      <c r="E517" s="25"/>
    </row>
    <row r="518">
      <c r="E518" s="25"/>
    </row>
    <row r="519">
      <c r="E519" s="25"/>
    </row>
    <row r="520">
      <c r="E520" s="25"/>
    </row>
    <row r="521">
      <c r="E521" s="25"/>
    </row>
    <row r="522">
      <c r="E522" s="25"/>
    </row>
    <row r="523">
      <c r="E523" s="25"/>
    </row>
    <row r="524">
      <c r="E524" s="25"/>
    </row>
    <row r="525">
      <c r="E525" s="25"/>
    </row>
    <row r="526">
      <c r="E526" s="25"/>
    </row>
    <row r="527">
      <c r="E527" s="25"/>
    </row>
    <row r="528">
      <c r="E528" s="25"/>
    </row>
    <row r="529">
      <c r="E529" s="25"/>
    </row>
    <row r="530">
      <c r="E530" s="25"/>
    </row>
    <row r="531">
      <c r="E531" s="25"/>
    </row>
    <row r="532">
      <c r="E532" s="25"/>
    </row>
    <row r="533">
      <c r="E533" s="25"/>
    </row>
    <row r="534">
      <c r="E534" s="25"/>
    </row>
    <row r="535">
      <c r="E535" s="25"/>
    </row>
    <row r="536">
      <c r="E536" s="25"/>
    </row>
    <row r="537">
      <c r="E537" s="25"/>
    </row>
    <row r="538">
      <c r="E538" s="25"/>
    </row>
    <row r="539">
      <c r="E539" s="25"/>
    </row>
    <row r="540">
      <c r="E540" s="25"/>
    </row>
    <row r="541">
      <c r="E541" s="25"/>
    </row>
    <row r="542">
      <c r="E542" s="25"/>
    </row>
    <row r="543">
      <c r="E543" s="25"/>
    </row>
    <row r="544">
      <c r="E544" s="25"/>
    </row>
    <row r="545">
      <c r="E545" s="25"/>
    </row>
    <row r="546">
      <c r="E546" s="25"/>
    </row>
    <row r="547">
      <c r="E547" s="25"/>
    </row>
    <row r="548">
      <c r="E548" s="25"/>
    </row>
    <row r="549">
      <c r="E549" s="25"/>
    </row>
    <row r="550">
      <c r="E550" s="25"/>
    </row>
    <row r="551">
      <c r="E551" s="25"/>
    </row>
    <row r="552">
      <c r="E552" s="25"/>
    </row>
    <row r="553">
      <c r="E553" s="25"/>
    </row>
    <row r="554">
      <c r="E554" s="25"/>
    </row>
    <row r="555">
      <c r="E555" s="25"/>
    </row>
    <row r="556">
      <c r="E556" s="25"/>
    </row>
    <row r="557">
      <c r="E557" s="25"/>
    </row>
    <row r="558">
      <c r="E558" s="25"/>
    </row>
    <row r="559">
      <c r="E559" s="25"/>
    </row>
    <row r="560">
      <c r="E560" s="25"/>
    </row>
    <row r="561">
      <c r="E561" s="25"/>
    </row>
    <row r="562">
      <c r="E562" s="25"/>
    </row>
    <row r="563">
      <c r="E563" s="25"/>
    </row>
    <row r="564">
      <c r="E564" s="25"/>
    </row>
    <row r="565">
      <c r="E565" s="25"/>
    </row>
    <row r="566">
      <c r="E566" s="25"/>
    </row>
    <row r="567">
      <c r="E567" s="25"/>
    </row>
    <row r="568">
      <c r="E568" s="25"/>
    </row>
    <row r="569">
      <c r="E569" s="25"/>
    </row>
    <row r="570">
      <c r="E570" s="25"/>
    </row>
    <row r="571">
      <c r="E571" s="25"/>
    </row>
    <row r="572">
      <c r="E572" s="25"/>
    </row>
    <row r="573">
      <c r="E573" s="25"/>
    </row>
    <row r="574">
      <c r="E574" s="25"/>
    </row>
    <row r="575">
      <c r="E575" s="25"/>
    </row>
    <row r="576">
      <c r="E576" s="25"/>
    </row>
    <row r="577">
      <c r="E577" s="25"/>
    </row>
    <row r="578">
      <c r="E578" s="25"/>
    </row>
    <row r="579">
      <c r="E579" s="25"/>
    </row>
    <row r="580">
      <c r="E580" s="25"/>
    </row>
    <row r="581">
      <c r="E581" s="25"/>
    </row>
    <row r="582">
      <c r="E582" s="25"/>
    </row>
    <row r="583">
      <c r="E583" s="25"/>
    </row>
    <row r="584">
      <c r="E584" s="25"/>
    </row>
    <row r="585">
      <c r="E585" s="25"/>
    </row>
    <row r="586">
      <c r="E586" s="25"/>
    </row>
    <row r="587">
      <c r="E587" s="25"/>
    </row>
    <row r="588">
      <c r="E588" s="25"/>
    </row>
    <row r="589">
      <c r="E589" s="25"/>
    </row>
    <row r="590">
      <c r="E590" s="25"/>
    </row>
    <row r="591">
      <c r="E591" s="25"/>
    </row>
    <row r="592">
      <c r="E592" s="25"/>
    </row>
    <row r="593">
      <c r="E593" s="25"/>
    </row>
    <row r="594">
      <c r="E594" s="25"/>
    </row>
    <row r="595">
      <c r="E595" s="25"/>
    </row>
    <row r="596">
      <c r="E596" s="25"/>
    </row>
    <row r="597">
      <c r="E597" s="25"/>
    </row>
    <row r="598">
      <c r="E598" s="25"/>
    </row>
    <row r="599">
      <c r="E599" s="25"/>
    </row>
    <row r="600">
      <c r="E600" s="25"/>
    </row>
    <row r="601">
      <c r="E601" s="25"/>
    </row>
    <row r="602">
      <c r="E602" s="25"/>
    </row>
    <row r="603">
      <c r="E603" s="25"/>
    </row>
    <row r="604">
      <c r="E604" s="25"/>
    </row>
    <row r="605">
      <c r="E605" s="25"/>
    </row>
    <row r="606">
      <c r="E606" s="25"/>
    </row>
    <row r="607">
      <c r="E607" s="25"/>
    </row>
    <row r="608">
      <c r="E608" s="25"/>
    </row>
    <row r="609">
      <c r="E609" s="25"/>
    </row>
    <row r="610">
      <c r="E610" s="25"/>
    </row>
    <row r="611">
      <c r="E611" s="25"/>
    </row>
    <row r="612">
      <c r="E612" s="25"/>
    </row>
    <row r="613">
      <c r="E613" s="25"/>
    </row>
    <row r="614">
      <c r="E614" s="25"/>
    </row>
    <row r="615">
      <c r="E615" s="25"/>
    </row>
    <row r="616">
      <c r="E616" s="25"/>
    </row>
    <row r="617">
      <c r="E617" s="25"/>
    </row>
    <row r="618">
      <c r="E618" s="25"/>
    </row>
    <row r="619">
      <c r="E619" s="25"/>
    </row>
    <row r="620">
      <c r="E620" s="25"/>
    </row>
    <row r="621">
      <c r="E621" s="25"/>
    </row>
    <row r="622">
      <c r="E622" s="25"/>
    </row>
    <row r="623">
      <c r="E623" s="25"/>
    </row>
    <row r="624">
      <c r="E624" s="25"/>
    </row>
    <row r="625">
      <c r="E625" s="25"/>
    </row>
    <row r="626">
      <c r="E626" s="25"/>
    </row>
    <row r="627">
      <c r="E627" s="25"/>
    </row>
    <row r="628">
      <c r="E628" s="25"/>
    </row>
    <row r="629">
      <c r="E629" s="25"/>
    </row>
    <row r="630">
      <c r="E630" s="25"/>
    </row>
    <row r="631">
      <c r="E631" s="25"/>
    </row>
    <row r="632">
      <c r="E632" s="25"/>
    </row>
    <row r="633">
      <c r="E633" s="25"/>
    </row>
    <row r="634">
      <c r="E634" s="25"/>
    </row>
    <row r="635">
      <c r="E635" s="25"/>
    </row>
    <row r="636">
      <c r="E636" s="25"/>
    </row>
    <row r="637">
      <c r="E637" s="25"/>
    </row>
    <row r="638">
      <c r="E638" s="25"/>
    </row>
    <row r="639">
      <c r="E639" s="25"/>
    </row>
    <row r="640">
      <c r="E640" s="25"/>
    </row>
    <row r="641">
      <c r="E641" s="25"/>
    </row>
    <row r="642">
      <c r="E642" s="25"/>
    </row>
    <row r="643">
      <c r="E643" s="25"/>
    </row>
    <row r="644">
      <c r="E644" s="25"/>
    </row>
    <row r="645">
      <c r="E645" s="25"/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  <row r="971">
      <c r="E971" s="25"/>
    </row>
    <row r="972">
      <c r="E972" s="25"/>
    </row>
    <row r="973">
      <c r="E973" s="25"/>
    </row>
    <row r="974">
      <c r="E974" s="25"/>
    </row>
    <row r="975">
      <c r="E975" s="25"/>
    </row>
    <row r="976">
      <c r="E976" s="25"/>
    </row>
    <row r="977">
      <c r="E977" s="25"/>
    </row>
    <row r="978">
      <c r="E978" s="25"/>
    </row>
    <row r="979">
      <c r="E979" s="25"/>
    </row>
    <row r="980">
      <c r="E980" s="25"/>
    </row>
    <row r="981">
      <c r="E981" s="25"/>
    </row>
    <row r="982">
      <c r="E982" s="25"/>
    </row>
    <row r="983">
      <c r="E983" s="25"/>
    </row>
    <row r="984">
      <c r="E984" s="25"/>
    </row>
    <row r="985">
      <c r="E985" s="25"/>
    </row>
    <row r="986">
      <c r="E986" s="25"/>
    </row>
    <row r="987">
      <c r="E987" s="25"/>
    </row>
    <row r="988">
      <c r="E988" s="25"/>
    </row>
    <row r="989">
      <c r="E989" s="25"/>
    </row>
    <row r="990">
      <c r="E990" s="25"/>
    </row>
    <row r="991">
      <c r="E991" s="25"/>
    </row>
    <row r="992">
      <c r="E992" s="25"/>
    </row>
    <row r="993">
      <c r="E993" s="25"/>
    </row>
    <row r="994">
      <c r="E994" s="25"/>
    </row>
    <row r="995">
      <c r="E995" s="25"/>
    </row>
    <row r="996">
      <c r="E996" s="25"/>
    </row>
    <row r="997">
      <c r="E997" s="25"/>
    </row>
    <row r="998">
      <c r="E998" s="25"/>
    </row>
    <row r="999">
      <c r="E999" s="25"/>
    </row>
    <row r="1000">
      <c r="E1000" s="25"/>
    </row>
    <row r="1001">
      <c r="E1001" s="25"/>
    </row>
    <row r="1002">
      <c r="E1002" s="25"/>
    </row>
    <row r="1003">
      <c r="E1003" s="25"/>
    </row>
    <row r="1004">
      <c r="E1004" s="25"/>
    </row>
  </sheetData>
  <hyperlinks>
    <hyperlink r:id="rId1" location="id--Ship_Types--Quick-n-Dirty_Ship_Types" ref="A2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4.5"/>
  </cols>
  <sheetData>
    <row r="4">
      <c r="G4" s="2" t="s">
        <v>1602</v>
      </c>
    </row>
    <row r="5">
      <c r="B5" s="2" t="s">
        <v>1603</v>
      </c>
      <c r="C5" s="2">
        <v>0.5</v>
      </c>
      <c r="D5" s="2" t="s">
        <v>90</v>
      </c>
      <c r="G5" s="205" t="s">
        <v>1604</v>
      </c>
    </row>
    <row r="6">
      <c r="B6" s="2" t="s">
        <v>1607</v>
      </c>
      <c r="C6" s="2">
        <v>1.0</v>
      </c>
      <c r="D6" s="2" t="s">
        <v>90</v>
      </c>
      <c r="G6" s="2" t="s">
        <v>1608</v>
      </c>
    </row>
    <row r="7">
      <c r="B7" s="2" t="s">
        <v>1609</v>
      </c>
      <c r="C7" s="2">
        <v>2.0</v>
      </c>
      <c r="D7" s="2" t="s">
        <v>90</v>
      </c>
      <c r="H7" s="2" t="s">
        <v>1612</v>
      </c>
    </row>
    <row r="9">
      <c r="B9" s="2" t="s">
        <v>1613</v>
      </c>
      <c r="D9" s="2" t="s">
        <v>1614</v>
      </c>
      <c r="H9" s="2" t="s">
        <v>1615</v>
      </c>
    </row>
    <row r="10">
      <c r="D10" s="179" t="s">
        <v>1616</v>
      </c>
    </row>
    <row r="11">
      <c r="H11" s="2" t="s">
        <v>1619</v>
      </c>
    </row>
    <row r="12">
      <c r="H12" s="2" t="s">
        <v>1620</v>
      </c>
    </row>
    <row r="13">
      <c r="H13" s="2" t="s">
        <v>1621</v>
      </c>
    </row>
    <row r="14">
      <c r="H14" s="2" t="s">
        <v>1623</v>
      </c>
    </row>
    <row r="16">
      <c r="H16" s="2" t="s">
        <v>1624</v>
      </c>
    </row>
    <row r="22">
      <c r="H22" s="179" t="s">
        <v>1627</v>
      </c>
    </row>
  </sheetData>
  <hyperlinks>
    <hyperlink r:id="rId1" location="id--Force_Fields--Considerations" ref="G5"/>
    <hyperlink r:id="rId2" ref="D10"/>
    <hyperlink r:id="rId3" ref="H22"/>
  </hyperlink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63"/>
    <col customWidth="1" min="9" max="9" width="4.25"/>
    <col customWidth="1" min="10" max="10" width="8.13"/>
    <col customWidth="1" min="11" max="11" width="7.0"/>
    <col customWidth="1" min="12" max="12" width="8.63"/>
    <col customWidth="1" min="13" max="13" width="9.25"/>
    <col customWidth="1" min="14" max="14" width="9.75"/>
    <col customWidth="1" min="15" max="15" width="9.5"/>
    <col customWidth="1" min="16" max="16" width="7.5"/>
    <col customWidth="1" min="17" max="17" width="10.0"/>
    <col customWidth="1" min="18" max="18" width="10.63"/>
    <col customWidth="1" min="19" max="19" width="5.75"/>
    <col customWidth="1" min="20" max="20" width="11.75"/>
    <col customWidth="1" min="21" max="21" width="7.75"/>
    <col customWidth="1" min="22" max="22" width="4.5"/>
  </cols>
  <sheetData>
    <row r="1">
      <c r="A1" s="2" t="s">
        <v>1622</v>
      </c>
    </row>
    <row r="4">
      <c r="L4" s="52" t="s">
        <v>1628</v>
      </c>
    </row>
    <row r="5">
      <c r="B5" s="2" t="s">
        <v>1629</v>
      </c>
      <c r="C5" s="2" t="s">
        <v>1630</v>
      </c>
    </row>
    <row r="6">
      <c r="C6" s="2" t="s">
        <v>1633</v>
      </c>
      <c r="L6" s="236" t="s">
        <v>1634</v>
      </c>
      <c r="M6" s="2" t="s">
        <v>1635</v>
      </c>
      <c r="N6" s="2" t="s">
        <v>1636</v>
      </c>
      <c r="O6" s="2" t="s">
        <v>1638</v>
      </c>
      <c r="P6" s="2" t="s">
        <v>1639</v>
      </c>
      <c r="Q6" s="2" t="s">
        <v>1640</v>
      </c>
      <c r="R6" s="2" t="s">
        <v>1641</v>
      </c>
      <c r="S6" s="2" t="s">
        <v>1643</v>
      </c>
      <c r="T6" s="2" t="s">
        <v>1645</v>
      </c>
      <c r="U6" s="2" t="s">
        <v>1646</v>
      </c>
      <c r="V6" s="52" t="s">
        <v>1647</v>
      </c>
      <c r="W6" s="52" t="s">
        <v>1648</v>
      </c>
    </row>
    <row r="7">
      <c r="E7" s="163">
        <f>E9*1000000</f>
        <v>4500000000</v>
      </c>
      <c r="F7" s="2" t="s">
        <v>496</v>
      </c>
      <c r="H7" s="2" t="s">
        <v>1649</v>
      </c>
      <c r="S7" s="2"/>
      <c r="T7" s="2"/>
      <c r="U7" s="2"/>
      <c r="V7" s="2"/>
      <c r="W7" s="2" t="s">
        <v>1650</v>
      </c>
      <c r="X7" s="2" t="s">
        <v>1651</v>
      </c>
    </row>
    <row r="8">
      <c r="D8" s="2" t="s">
        <v>739</v>
      </c>
      <c r="E8" s="2">
        <v>0.9</v>
      </c>
      <c r="G8" s="5" t="s">
        <v>1491</v>
      </c>
      <c r="H8" s="240">
        <v>10.0</v>
      </c>
      <c r="I8" s="2" t="s">
        <v>36</v>
      </c>
      <c r="J8" s="157">
        <f>H8*10^3</f>
        <v>10000</v>
      </c>
      <c r="K8" s="2" t="s">
        <v>93</v>
      </c>
      <c r="L8" s="236" t="s">
        <v>1653</v>
      </c>
      <c r="M8" s="2">
        <v>0.01</v>
      </c>
      <c r="N8" s="2">
        <v>3.0</v>
      </c>
      <c r="O8" s="2" t="s">
        <v>1653</v>
      </c>
      <c r="P8" s="2">
        <v>30.0</v>
      </c>
      <c r="Q8" s="2">
        <v>0.04</v>
      </c>
      <c r="R8" s="2">
        <v>0.04</v>
      </c>
      <c r="S8" s="2" t="s">
        <v>1654</v>
      </c>
      <c r="T8" s="77">
        <v>0.005</v>
      </c>
      <c r="U8" s="77" t="s">
        <v>1655</v>
      </c>
      <c r="V8" s="2"/>
      <c r="W8" s="2" t="s">
        <v>13</v>
      </c>
      <c r="X8" s="2" t="s">
        <v>1656</v>
      </c>
    </row>
    <row r="9">
      <c r="B9" s="2" t="s">
        <v>1657</v>
      </c>
      <c r="E9" s="163">
        <f>10^-6*0.5*H8*(H12)^2</f>
        <v>4500</v>
      </c>
      <c r="F9" s="2" t="s">
        <v>43</v>
      </c>
      <c r="G9" s="5" t="s">
        <v>1418</v>
      </c>
      <c r="H9" s="206">
        <v>25.0</v>
      </c>
      <c r="I9" s="2" t="s">
        <v>1469</v>
      </c>
      <c r="J9">
        <f>H9/10</f>
        <v>2.5</v>
      </c>
      <c r="K9" s="2" t="s">
        <v>1399</v>
      </c>
      <c r="L9" s="236" t="s">
        <v>1655</v>
      </c>
      <c r="M9" s="2">
        <v>0.1</v>
      </c>
      <c r="N9" s="2">
        <v>3.0</v>
      </c>
      <c r="O9" s="2" t="s">
        <v>1655</v>
      </c>
      <c r="P9" s="2">
        <v>30.0</v>
      </c>
      <c r="Q9" s="2">
        <v>0.4</v>
      </c>
      <c r="R9" s="2">
        <v>0.04</v>
      </c>
      <c r="S9" s="2" t="s">
        <v>1663</v>
      </c>
      <c r="T9" s="77" t="s">
        <v>1664</v>
      </c>
      <c r="U9" s="77" t="s">
        <v>1665</v>
      </c>
      <c r="V9" s="2"/>
      <c r="W9" s="2" t="s">
        <v>1666</v>
      </c>
      <c r="X9" s="2" t="s">
        <v>1667</v>
      </c>
      <c r="AA9" s="2" t="s">
        <v>1668</v>
      </c>
    </row>
    <row r="10">
      <c r="E10" s="25">
        <f>E9/(PI()*J9^2)</f>
        <v>229.1831181</v>
      </c>
      <c r="F10" s="2" t="s">
        <v>1134</v>
      </c>
      <c r="G10" s="5" t="s">
        <v>1498</v>
      </c>
      <c r="H10" s="206">
        <v>30.0</v>
      </c>
      <c r="I10" s="2" t="s">
        <v>87</v>
      </c>
      <c r="K10" s="38"/>
      <c r="L10" s="241"/>
      <c r="M10" s="2"/>
      <c r="AA10" s="2" t="s">
        <v>1671</v>
      </c>
    </row>
    <row r="11">
      <c r="B11" s="2" t="s">
        <v>1675</v>
      </c>
      <c r="E11" s="25">
        <f>0.5 * (1/E8-1) * E9</f>
        <v>250</v>
      </c>
      <c r="F11" s="2" t="s">
        <v>43</v>
      </c>
      <c r="G11" s="5" t="s">
        <v>1418</v>
      </c>
      <c r="H11">
        <f>H9/1000</f>
        <v>0.025</v>
      </c>
      <c r="I11" s="2" t="s">
        <v>189</v>
      </c>
      <c r="L11" s="236" t="s">
        <v>1655</v>
      </c>
      <c r="M11" s="2">
        <v>0.1</v>
      </c>
      <c r="N11" s="2">
        <v>10.0</v>
      </c>
      <c r="O11" s="2" t="s">
        <v>1679</v>
      </c>
      <c r="P11" s="2">
        <v>100.0</v>
      </c>
      <c r="Q11" s="2">
        <v>0.4</v>
      </c>
      <c r="R11" s="2">
        <v>0.04</v>
      </c>
      <c r="S11" s="2" t="s">
        <v>1680</v>
      </c>
      <c r="T11" s="77">
        <v>40.0</v>
      </c>
      <c r="U11" s="77">
        <v>0.007</v>
      </c>
      <c r="AA11" s="2" t="s">
        <v>1681</v>
      </c>
    </row>
    <row r="12">
      <c r="B12" s="2" t="s">
        <v>1682</v>
      </c>
      <c r="E12" s="25">
        <f>100*E11/(H13*H8)</f>
        <v>55.55555556</v>
      </c>
      <c r="F12" s="2" t="s">
        <v>150</v>
      </c>
      <c r="G12" s="5" t="s">
        <v>1498</v>
      </c>
      <c r="H12">
        <f>H10*10^3</f>
        <v>30000</v>
      </c>
      <c r="I12" s="2" t="s">
        <v>201</v>
      </c>
      <c r="L12" s="236">
        <v>0.001</v>
      </c>
      <c r="M12" s="2">
        <v>1.0</v>
      </c>
      <c r="N12" s="2">
        <v>10.0</v>
      </c>
      <c r="O12" s="2">
        <v>0.05</v>
      </c>
      <c r="P12" s="2"/>
      <c r="Q12" s="2">
        <v>1.8</v>
      </c>
      <c r="S12" s="2" t="s">
        <v>1685</v>
      </c>
      <c r="T12" s="77">
        <v>4000.0</v>
      </c>
      <c r="U12" s="77">
        <v>0.7</v>
      </c>
    </row>
    <row r="13">
      <c r="B13" s="2" t="s">
        <v>1686</v>
      </c>
      <c r="E13" s="157">
        <f>E9*10^6/(H20*(H22)^2)</f>
        <v>0.5026548246</v>
      </c>
      <c r="F13" s="2" t="s">
        <v>600</v>
      </c>
      <c r="G13" s="5" t="s">
        <v>1688</v>
      </c>
      <c r="H13" s="102">
        <v>45.0</v>
      </c>
      <c r="J13" s="2" t="s">
        <v>1470</v>
      </c>
      <c r="L13" s="236">
        <v>0.01</v>
      </c>
      <c r="M13" s="2">
        <v>2.0</v>
      </c>
      <c r="N13" s="2">
        <v>10.0</v>
      </c>
      <c r="O13" s="2">
        <v>0.5</v>
      </c>
      <c r="P13" s="2"/>
      <c r="Q13" s="2">
        <v>4.5</v>
      </c>
      <c r="S13" s="2" t="s">
        <v>1689</v>
      </c>
      <c r="T13" s="77" t="s">
        <v>1637</v>
      </c>
      <c r="U13" s="77" t="s">
        <v>1664</v>
      </c>
      <c r="V13">
        <f t="shared" ref="V13:V16" si="1">Q13/Q12</f>
        <v>2.5</v>
      </c>
      <c r="W13" s="2" t="s">
        <v>1690</v>
      </c>
      <c r="X13" s="2" t="s">
        <v>1691</v>
      </c>
      <c r="AA13" s="2" t="s">
        <v>1692</v>
      </c>
    </row>
    <row r="14">
      <c r="B14" s="2" t="s">
        <v>1693</v>
      </c>
      <c r="E14" s="213">
        <f>E13/(PI()*H11^2)</f>
        <v>256</v>
      </c>
      <c r="F14" s="2" t="s">
        <v>189</v>
      </c>
      <c r="G14" s="5" t="s">
        <v>13</v>
      </c>
      <c r="H14" s="102">
        <v>20000.0</v>
      </c>
      <c r="I14" s="2" t="s">
        <v>592</v>
      </c>
      <c r="L14" s="236">
        <v>0.1</v>
      </c>
      <c r="M14" s="2">
        <v>4.5</v>
      </c>
      <c r="N14" s="2">
        <v>10.0</v>
      </c>
      <c r="O14" s="2">
        <v>5.0</v>
      </c>
      <c r="P14" s="2"/>
      <c r="Q14" s="2">
        <v>9.0</v>
      </c>
      <c r="T14" s="77" t="s">
        <v>1663</v>
      </c>
      <c r="U14" s="77" t="s">
        <v>1594</v>
      </c>
      <c r="V14">
        <f t="shared" si="1"/>
        <v>2</v>
      </c>
      <c r="AA14" s="2" t="s">
        <v>1696</v>
      </c>
    </row>
    <row r="15">
      <c r="G15" s="5" t="s">
        <v>1697</v>
      </c>
      <c r="H15" s="118">
        <f>H8/(H14* PI()*H11^2)</f>
        <v>0.2546479089</v>
      </c>
      <c r="I15" s="2" t="s">
        <v>189</v>
      </c>
      <c r="K15" s="245"/>
      <c r="L15" s="236">
        <v>1.0</v>
      </c>
      <c r="M15" s="2">
        <v>10.0</v>
      </c>
      <c r="N15" s="2">
        <v>10.0</v>
      </c>
      <c r="O15" s="2">
        <v>50.0</v>
      </c>
      <c r="P15" s="2"/>
      <c r="Q15" s="2">
        <v>18.0</v>
      </c>
      <c r="S15" s="2" t="s">
        <v>1700</v>
      </c>
      <c r="T15" s="157"/>
      <c r="U15" s="157"/>
      <c r="V15">
        <f t="shared" si="1"/>
        <v>2</v>
      </c>
      <c r="AA15" s="2" t="s">
        <v>1701</v>
      </c>
    </row>
    <row r="16">
      <c r="B16" s="2" t="s">
        <v>1702</v>
      </c>
      <c r="E16" s="157">
        <f>H23*E13*H24</f>
        <v>502.6548246</v>
      </c>
      <c r="F16" s="2" t="s">
        <v>36</v>
      </c>
      <c r="G16" s="5" t="s">
        <v>1704</v>
      </c>
      <c r="H16" s="74">
        <f>H15/(H11*2)</f>
        <v>5.092958179</v>
      </c>
      <c r="L16" s="2">
        <v>10.0</v>
      </c>
      <c r="M16" s="2">
        <v>20.0</v>
      </c>
      <c r="N16" s="2">
        <v>10.0</v>
      </c>
      <c r="O16" s="2">
        <v>500.0</v>
      </c>
      <c r="P16" s="2"/>
      <c r="Q16" s="2">
        <v>45.0</v>
      </c>
      <c r="T16" s="157"/>
      <c r="U16" s="157"/>
      <c r="V16">
        <f t="shared" si="1"/>
        <v>2.5</v>
      </c>
    </row>
    <row r="17">
      <c r="E17" s="224">
        <f>E16*1000</f>
        <v>502654.8246</v>
      </c>
      <c r="F17" s="2" t="s">
        <v>93</v>
      </c>
      <c r="S17" s="2"/>
      <c r="T17" s="77"/>
      <c r="U17" s="77"/>
      <c r="V17" s="2"/>
      <c r="W17" s="2" t="s">
        <v>1714</v>
      </c>
      <c r="AA17" s="2" t="s">
        <v>1715</v>
      </c>
    </row>
    <row r="18">
      <c r="H18" s="2" t="s">
        <v>1716</v>
      </c>
      <c r="L18" s="2">
        <v>0.1</v>
      </c>
      <c r="M18" s="2">
        <v>5.0</v>
      </c>
      <c r="N18" s="2">
        <v>30.0</v>
      </c>
      <c r="O18" s="2">
        <v>50.0</v>
      </c>
      <c r="P18" s="2"/>
      <c r="Q18" s="2">
        <v>64.0</v>
      </c>
      <c r="S18" s="2" t="s">
        <v>1700</v>
      </c>
      <c r="T18" s="157"/>
      <c r="U18" s="157"/>
      <c r="X18" s="2" t="s">
        <v>1720</v>
      </c>
      <c r="Y18" s="163">
        <f>4*PI()*10^-7</f>
        <v>0.000001256637061</v>
      </c>
      <c r="Z18" s="2" t="s">
        <v>1723</v>
      </c>
      <c r="AA18" s="2" t="s">
        <v>1724</v>
      </c>
    </row>
    <row r="19">
      <c r="B19" s="2" t="s">
        <v>1726</v>
      </c>
      <c r="E19" s="157">
        <f>H8*H10* 10^-3</f>
        <v>0.3</v>
      </c>
      <c r="G19" s="5" t="s">
        <v>1729</v>
      </c>
      <c r="H19" s="2">
        <v>400.0</v>
      </c>
      <c r="I19" s="2" t="s">
        <v>1730</v>
      </c>
      <c r="K19" s="2" t="s">
        <v>1731</v>
      </c>
      <c r="L19" s="2">
        <v>1.0</v>
      </c>
      <c r="M19" s="2">
        <v>10.0</v>
      </c>
      <c r="N19" s="2">
        <v>30.0</v>
      </c>
      <c r="O19" s="2">
        <v>500.0</v>
      </c>
      <c r="P19" s="2"/>
      <c r="Q19" s="2">
        <v>160.0</v>
      </c>
      <c r="T19" s="157"/>
      <c r="U19" s="157"/>
      <c r="V19">
        <f t="shared" ref="V19:V20" si="2">Q19/Q18</f>
        <v>2.5</v>
      </c>
      <c r="AA19" s="2" t="s">
        <v>1734</v>
      </c>
    </row>
    <row r="20">
      <c r="G20" s="5" t="s">
        <v>412</v>
      </c>
      <c r="H20" s="246">
        <f>1/ (2*Y18)</f>
        <v>397887.3577</v>
      </c>
      <c r="I20" s="2" t="s">
        <v>1735</v>
      </c>
      <c r="L20" s="2">
        <v>10.0</v>
      </c>
      <c r="M20" s="2">
        <v>20.0</v>
      </c>
      <c r="N20" s="2">
        <v>30.0</v>
      </c>
      <c r="O20" s="2">
        <v>5000.0</v>
      </c>
      <c r="P20" s="2"/>
      <c r="Q20" s="2">
        <v>400.0</v>
      </c>
      <c r="S20" s="2" t="s">
        <v>140</v>
      </c>
      <c r="T20" s="157"/>
      <c r="U20" s="157"/>
      <c r="V20">
        <f t="shared" si="2"/>
        <v>2.5</v>
      </c>
      <c r="AA20" s="2" t="s">
        <v>1738</v>
      </c>
    </row>
    <row r="21">
      <c r="B21" s="2" t="s">
        <v>100</v>
      </c>
      <c r="C21" s="2" t="s">
        <v>1739</v>
      </c>
      <c r="D21" s="2" t="s">
        <v>1740</v>
      </c>
      <c r="E21" s="163">
        <f>H12^2 / (2*E14)</f>
        <v>1757812.5</v>
      </c>
      <c r="F21" s="2" t="s">
        <v>211</v>
      </c>
      <c r="G21" s="5" t="s">
        <v>1743</v>
      </c>
      <c r="H21" s="2">
        <v>200.0</v>
      </c>
      <c r="I21" s="2" t="s">
        <v>1744</v>
      </c>
      <c r="S21" s="2"/>
      <c r="T21" s="77"/>
      <c r="U21" s="77"/>
      <c r="V21" s="2"/>
      <c r="W21" s="2" t="s">
        <v>1745</v>
      </c>
    </row>
    <row r="22">
      <c r="E22" s="163">
        <f>E21/10</f>
        <v>175781.25</v>
      </c>
      <c r="F22" s="2" t="s">
        <v>93</v>
      </c>
      <c r="G22" s="5" t="s">
        <v>1747</v>
      </c>
      <c r="H22" s="206">
        <v>150.0</v>
      </c>
      <c r="I22" s="2" t="s">
        <v>1744</v>
      </c>
      <c r="L22" s="2" t="s">
        <v>1655</v>
      </c>
      <c r="M22" s="2">
        <v>0.1</v>
      </c>
      <c r="S22" s="77"/>
      <c r="T22" s="77"/>
      <c r="U22" s="77">
        <v>2.0E-5</v>
      </c>
    </row>
    <row r="23">
      <c r="B23" s="2" t="s">
        <v>1748</v>
      </c>
      <c r="C23" s="2" t="s">
        <v>1749</v>
      </c>
      <c r="D23" s="2" t="s">
        <v>1667</v>
      </c>
      <c r="E23">
        <f>H12^2 / (2*10^8)</f>
        <v>4.5</v>
      </c>
      <c r="F23" s="2" t="s">
        <v>189</v>
      </c>
      <c r="G23" s="5" t="s">
        <v>13</v>
      </c>
      <c r="H23" s="102">
        <v>10000.0</v>
      </c>
      <c r="I23" s="2" t="s">
        <v>592</v>
      </c>
      <c r="L23" s="236">
        <v>0.1</v>
      </c>
      <c r="M23" s="2">
        <v>6.0</v>
      </c>
      <c r="N23" s="2">
        <v>0.3</v>
      </c>
      <c r="O23" s="2">
        <v>0.005</v>
      </c>
      <c r="P23" s="2">
        <v>10.0</v>
      </c>
      <c r="Q23" s="2">
        <v>1.0</v>
      </c>
      <c r="S23" s="2" t="s">
        <v>1680</v>
      </c>
      <c r="T23" s="77" t="s">
        <v>1594</v>
      </c>
      <c r="U23" s="77" t="s">
        <v>1750</v>
      </c>
      <c r="V23" s="2"/>
      <c r="W23" s="2" t="s">
        <v>1751</v>
      </c>
      <c r="AA23" s="2" t="s">
        <v>1752</v>
      </c>
    </row>
    <row r="24">
      <c r="G24" s="5" t="s">
        <v>1754</v>
      </c>
      <c r="H24" s="102">
        <v>0.1</v>
      </c>
      <c r="L24" s="236">
        <v>1.0</v>
      </c>
      <c r="M24" s="2">
        <v>10.0</v>
      </c>
      <c r="N24" s="2">
        <v>0.3</v>
      </c>
      <c r="O24" s="2">
        <v>0.05</v>
      </c>
      <c r="P24" s="2"/>
      <c r="R24" s="2">
        <v>0.16</v>
      </c>
      <c r="S24" s="2"/>
      <c r="T24" s="157"/>
      <c r="U24" s="157"/>
      <c r="X24" s="2" t="s">
        <v>866</v>
      </c>
      <c r="Y24" s="163">
        <f>H22^2 / (2*Y18)</f>
        <v>8952465549</v>
      </c>
      <c r="Z24" s="2" t="s">
        <v>1755</v>
      </c>
      <c r="AA24" s="2" t="s">
        <v>1756</v>
      </c>
    </row>
    <row r="25">
      <c r="B25" s="2" t="s">
        <v>1757</v>
      </c>
      <c r="C25" s="2" t="s">
        <v>1758</v>
      </c>
      <c r="E25" s="157">
        <f>H12/E21</f>
        <v>0.01706666667</v>
      </c>
      <c r="F25" s="2" t="s">
        <v>260</v>
      </c>
      <c r="L25" s="2">
        <v>10.0</v>
      </c>
      <c r="M25" s="2">
        <v>20.0</v>
      </c>
      <c r="N25" s="2">
        <v>0.3</v>
      </c>
      <c r="O25" s="2">
        <v>0.5</v>
      </c>
      <c r="P25" s="2"/>
      <c r="R25" s="2">
        <v>0.4</v>
      </c>
      <c r="S25" s="2" t="s">
        <v>1689</v>
      </c>
      <c r="T25" s="157"/>
      <c r="U25" s="157"/>
      <c r="Y25" s="158">
        <f>Y24*10^-9</f>
        <v>8.952465549</v>
      </c>
      <c r="Z25" s="2" t="s">
        <v>1759</v>
      </c>
    </row>
    <row r="26">
      <c r="B26" s="2" t="s">
        <v>71</v>
      </c>
      <c r="C26" s="2" t="s">
        <v>1760</v>
      </c>
      <c r="E26" s="224">
        <f>E9*10^6 /E25</f>
        <v>263671875000</v>
      </c>
      <c r="F26" s="2" t="s">
        <v>125</v>
      </c>
      <c r="L26" s="2">
        <v>100.0</v>
      </c>
      <c r="M26" s="2">
        <v>45.0</v>
      </c>
      <c r="N26" s="2">
        <v>0.3</v>
      </c>
      <c r="O26" s="2">
        <v>5.0</v>
      </c>
      <c r="P26" s="2"/>
      <c r="R26" s="2">
        <v>0.8</v>
      </c>
      <c r="T26" s="157"/>
      <c r="U26" s="157"/>
      <c r="Y26" s="2" t="s">
        <v>1765</v>
      </c>
    </row>
    <row r="27">
      <c r="B27" s="2" t="s">
        <v>1766</v>
      </c>
      <c r="C27" s="2" t="s">
        <v>1767</v>
      </c>
      <c r="D27" s="2" t="s">
        <v>1768</v>
      </c>
      <c r="E27" s="157">
        <f>E26/360000</f>
        <v>732421.875</v>
      </c>
      <c r="F27" s="2" t="s">
        <v>36</v>
      </c>
      <c r="T27" s="157"/>
      <c r="U27" s="157"/>
    </row>
    <row r="28">
      <c r="B28" s="2" t="s">
        <v>6</v>
      </c>
      <c r="C28" s="2" t="s">
        <v>192</v>
      </c>
      <c r="D28" s="2" t="s">
        <v>1771</v>
      </c>
      <c r="E28" s="224">
        <f>E26/(2*10^8)</f>
        <v>1318.359375</v>
      </c>
      <c r="F28" s="2" t="s">
        <v>36</v>
      </c>
      <c r="L28" s="236">
        <v>0.001</v>
      </c>
      <c r="M28" s="2">
        <v>1.0</v>
      </c>
      <c r="N28" s="2">
        <v>3.0</v>
      </c>
      <c r="O28" s="2">
        <v>0.005</v>
      </c>
      <c r="P28" s="2">
        <v>50.0</v>
      </c>
      <c r="Q28" s="2">
        <v>1.4</v>
      </c>
      <c r="S28" s="2" t="s">
        <v>1680</v>
      </c>
      <c r="T28" s="77" t="s">
        <v>1654</v>
      </c>
      <c r="U28" s="77" t="s">
        <v>1776</v>
      </c>
    </row>
    <row r="29">
      <c r="B29" s="2" t="s">
        <v>1777</v>
      </c>
      <c r="C29" s="2" t="s">
        <v>1778</v>
      </c>
      <c r="L29" s="236">
        <v>0.01</v>
      </c>
      <c r="M29" s="2">
        <v>2.0</v>
      </c>
      <c r="N29" s="2">
        <v>3.0</v>
      </c>
      <c r="O29" s="2">
        <v>0.05</v>
      </c>
      <c r="P29" s="2">
        <v>50.0</v>
      </c>
      <c r="Q29" s="2">
        <v>3.6</v>
      </c>
      <c r="T29" s="157"/>
      <c r="U29" s="157"/>
      <c r="V29">
        <f t="shared" ref="V29:V33" si="3">Q29/Q28</f>
        <v>2.571428571</v>
      </c>
    </row>
    <row r="30">
      <c r="L30" s="236">
        <v>0.1</v>
      </c>
      <c r="M30" s="2">
        <v>5.0</v>
      </c>
      <c r="N30" s="2">
        <v>3.0</v>
      </c>
      <c r="O30" s="2">
        <v>0.5</v>
      </c>
      <c r="P30" s="2"/>
      <c r="Q30" s="2">
        <v>0.6</v>
      </c>
      <c r="T30" s="157"/>
      <c r="U30" s="157"/>
      <c r="V30">
        <f t="shared" si="3"/>
        <v>0.1666666667</v>
      </c>
    </row>
    <row r="31">
      <c r="L31" s="236">
        <v>1.0</v>
      </c>
      <c r="M31" s="2">
        <v>10.0</v>
      </c>
      <c r="N31" s="2">
        <v>3.0</v>
      </c>
      <c r="O31" s="2">
        <v>5.0</v>
      </c>
      <c r="P31" s="2"/>
      <c r="Q31" s="2">
        <v>1.5</v>
      </c>
      <c r="S31" s="2" t="s">
        <v>1689</v>
      </c>
      <c r="T31" s="157"/>
      <c r="U31" s="157"/>
      <c r="V31">
        <f t="shared" si="3"/>
        <v>2.5</v>
      </c>
    </row>
    <row r="32">
      <c r="B32" s="174" t="s">
        <v>1782</v>
      </c>
      <c r="C32" s="171"/>
      <c r="D32" s="171"/>
      <c r="E32" s="171"/>
      <c r="L32" s="2">
        <v>10.0</v>
      </c>
      <c r="M32" s="2">
        <v>20.0</v>
      </c>
      <c r="N32" s="2">
        <v>3.0</v>
      </c>
      <c r="O32" s="2">
        <v>50.0</v>
      </c>
      <c r="P32" s="2"/>
      <c r="Q32" s="2">
        <v>4.0</v>
      </c>
      <c r="T32" s="157"/>
      <c r="U32" s="157"/>
      <c r="V32">
        <f t="shared" si="3"/>
        <v>2.666666667</v>
      </c>
    </row>
    <row r="33">
      <c r="B33" s="247" t="s">
        <v>1783</v>
      </c>
      <c r="D33" s="247" t="s">
        <v>1784</v>
      </c>
      <c r="F33" s="247" t="s">
        <v>1785</v>
      </c>
      <c r="L33" s="2">
        <v>100.0</v>
      </c>
      <c r="M33" s="2">
        <v>45.0</v>
      </c>
      <c r="N33" s="2">
        <v>3.0</v>
      </c>
      <c r="O33" s="2">
        <v>500.0</v>
      </c>
      <c r="P33" s="2"/>
      <c r="Q33" s="2">
        <v>8.0</v>
      </c>
      <c r="T33" s="157"/>
      <c r="U33" s="157"/>
      <c r="V33">
        <f t="shared" si="3"/>
        <v>2</v>
      </c>
    </row>
    <row r="34">
      <c r="B34" s="174" t="s">
        <v>1788</v>
      </c>
      <c r="D34" s="174" t="s">
        <v>1789</v>
      </c>
      <c r="F34" s="174" t="s">
        <v>1790</v>
      </c>
    </row>
    <row r="35">
      <c r="B35" s="174" t="s">
        <v>1791</v>
      </c>
      <c r="D35" s="174" t="s">
        <v>1792</v>
      </c>
      <c r="F35" s="174" t="s">
        <v>1794</v>
      </c>
      <c r="L35" s="236" t="s">
        <v>1795</v>
      </c>
      <c r="M35" s="2">
        <v>0.001</v>
      </c>
      <c r="N35" s="2">
        <v>2.0</v>
      </c>
      <c r="O35" s="2" t="s">
        <v>1795</v>
      </c>
      <c r="P35" s="2"/>
      <c r="Q35" s="2">
        <v>0.0</v>
      </c>
      <c r="R35" s="2"/>
    </row>
    <row r="36">
      <c r="B36" s="174" t="s">
        <v>1796</v>
      </c>
      <c r="D36" s="174" t="s">
        <v>1797</v>
      </c>
      <c r="F36" s="174" t="s">
        <v>1798</v>
      </c>
    </row>
    <row r="37">
      <c r="B37" s="174" t="s">
        <v>1800</v>
      </c>
      <c r="D37" s="174" t="s">
        <v>1801</v>
      </c>
      <c r="F37" s="174" t="s">
        <v>1802</v>
      </c>
    </row>
    <row r="38">
      <c r="B38" s="174" t="s">
        <v>1804</v>
      </c>
      <c r="D38" s="174" t="s">
        <v>1805</v>
      </c>
      <c r="F38" s="174" t="s">
        <v>1806</v>
      </c>
      <c r="T38" s="2" t="s">
        <v>1807</v>
      </c>
      <c r="V38" s="2" t="s">
        <v>1808</v>
      </c>
    </row>
    <row r="39">
      <c r="T39" s="2" t="s">
        <v>1812</v>
      </c>
      <c r="V39" s="2" t="s">
        <v>1813</v>
      </c>
    </row>
    <row r="40">
      <c r="T40" s="2" t="s">
        <v>478</v>
      </c>
      <c r="V40" s="2" t="s">
        <v>1815</v>
      </c>
    </row>
    <row r="41">
      <c r="T41" s="2" t="s">
        <v>1470</v>
      </c>
      <c r="W41" s="2">
        <v>1.0</v>
      </c>
    </row>
    <row r="42">
      <c r="A42" s="52" t="s">
        <v>1816</v>
      </c>
      <c r="T42" s="2" t="s">
        <v>1819</v>
      </c>
      <c r="U42" s="2">
        <v>7850.0</v>
      </c>
      <c r="V42" s="2" t="s">
        <v>592</v>
      </c>
      <c r="W42" s="2">
        <v>8.0</v>
      </c>
    </row>
    <row r="43">
      <c r="E43">
        <f>E44*10^6</f>
        <v>20</v>
      </c>
      <c r="F43" s="2" t="s">
        <v>496</v>
      </c>
      <c r="T43" s="2" t="s">
        <v>1821</v>
      </c>
      <c r="W43" s="2">
        <v>10.0</v>
      </c>
    </row>
    <row r="44">
      <c r="B44" s="253" t="s">
        <v>1657</v>
      </c>
      <c r="C44" s="1"/>
      <c r="D44" s="1"/>
      <c r="E44" s="254">
        <f>10^-6*0.5*K45*(K47*10^3)^2</f>
        <v>0.00002</v>
      </c>
      <c r="F44" s="1" t="s">
        <v>43</v>
      </c>
      <c r="G44" s="139"/>
      <c r="H44" s="139"/>
      <c r="I44" s="139"/>
      <c r="J44" s="1"/>
      <c r="K44" s="251"/>
      <c r="L44" s="1"/>
      <c r="N44" s="2" t="s">
        <v>1747</v>
      </c>
      <c r="O44" s="2">
        <v>30.0</v>
      </c>
      <c r="P44" s="2" t="s">
        <v>635</v>
      </c>
      <c r="T44" s="2" t="s">
        <v>1827</v>
      </c>
      <c r="U44" s="38"/>
      <c r="W44" s="2">
        <v>20.0</v>
      </c>
    </row>
    <row r="45">
      <c r="B45" s="1"/>
      <c r="C45" s="1"/>
      <c r="D45" s="1"/>
      <c r="E45" s="25">
        <f>E44/(PI()*(K46/20)^2)</f>
        <v>0.01018591636</v>
      </c>
      <c r="F45" s="2" t="s">
        <v>1134</v>
      </c>
      <c r="G45" s="139"/>
      <c r="H45" s="139"/>
      <c r="I45" s="139"/>
      <c r="J45" s="139" t="s">
        <v>1491</v>
      </c>
      <c r="K45" s="255">
        <v>1.0E-5</v>
      </c>
      <c r="L45" s="1" t="s">
        <v>36</v>
      </c>
      <c r="N45" s="2" t="s">
        <v>1828</v>
      </c>
      <c r="O45" s="2">
        <v>0.4</v>
      </c>
      <c r="P45" s="2" t="s">
        <v>189</v>
      </c>
    </row>
    <row r="46">
      <c r="B46" s="1"/>
      <c r="C46" s="2" t="s">
        <v>1829</v>
      </c>
      <c r="E46" s="163">
        <f>3.14*K48^2</f>
        <v>0.00000019625</v>
      </c>
      <c r="F46" s="2" t="s">
        <v>640</v>
      </c>
      <c r="G46" s="139"/>
      <c r="H46" s="140"/>
      <c r="I46" s="248"/>
      <c r="J46" s="248" t="s">
        <v>1787</v>
      </c>
      <c r="K46" s="249">
        <v>0.5</v>
      </c>
      <c r="L46" s="250" t="s">
        <v>1469</v>
      </c>
      <c r="N46" s="2" t="s">
        <v>6</v>
      </c>
      <c r="O46" s="2">
        <v>0.5</v>
      </c>
      <c r="P46" s="2" t="s">
        <v>36</v>
      </c>
      <c r="Q46" s="2" t="s">
        <v>1767</v>
      </c>
    </row>
    <row r="47">
      <c r="B47" s="251" t="s">
        <v>1807</v>
      </c>
      <c r="C47" s="251"/>
      <c r="D47" s="2" t="s">
        <v>1470</v>
      </c>
      <c r="E47" s="25">
        <f>K51*(K50)/($W$41)*0.6</f>
        <v>3.055774907</v>
      </c>
      <c r="F47" s="251" t="s">
        <v>1399</v>
      </c>
      <c r="G47" s="139"/>
      <c r="H47" s="25"/>
      <c r="I47" s="248"/>
      <c r="J47" s="139" t="s">
        <v>1498</v>
      </c>
      <c r="K47" s="249">
        <v>2.0</v>
      </c>
      <c r="L47" s="253" t="s">
        <v>87</v>
      </c>
      <c r="R47" s="2" t="s">
        <v>1832</v>
      </c>
      <c r="S47" s="5">
        <v>0.0</v>
      </c>
      <c r="T47" s="2" t="s">
        <v>1833</v>
      </c>
    </row>
    <row r="48">
      <c r="C48" s="251"/>
      <c r="D48" s="2" t="s">
        <v>1514</v>
      </c>
      <c r="E48" s="121">
        <f>K51*(K50)/($W$42)*0.6</f>
        <v>0.3819718634</v>
      </c>
      <c r="F48" s="2" t="s">
        <v>1399</v>
      </c>
      <c r="G48" s="248"/>
      <c r="H48" s="25"/>
      <c r="I48" s="251"/>
      <c r="J48" s="139" t="s">
        <v>1418</v>
      </c>
      <c r="K48" s="139">
        <f>K46/2000</f>
        <v>0.00025</v>
      </c>
      <c r="L48" s="2" t="s">
        <v>189</v>
      </c>
      <c r="R48" s="251" t="s">
        <v>1835</v>
      </c>
      <c r="S48" s="251">
        <v>3.0</v>
      </c>
    </row>
    <row r="49">
      <c r="C49" s="251"/>
      <c r="D49" s="2" t="s">
        <v>1821</v>
      </c>
      <c r="E49" s="74">
        <f>K51*(K50)/($W$43)*0.6</f>
        <v>0.3055774907</v>
      </c>
      <c r="F49" s="251" t="s">
        <v>1399</v>
      </c>
      <c r="G49" s="248"/>
      <c r="H49" s="25"/>
      <c r="I49" s="251"/>
      <c r="J49" s="139" t="s">
        <v>1498</v>
      </c>
      <c r="K49" s="139">
        <f>K47*10^3</f>
        <v>2000</v>
      </c>
      <c r="L49" s="2" t="s">
        <v>201</v>
      </c>
      <c r="R49" s="2" t="s">
        <v>1836</v>
      </c>
      <c r="S49" s="5" t="s">
        <v>406</v>
      </c>
    </row>
    <row r="50">
      <c r="B50" s="1"/>
      <c r="D50" s="2" t="s">
        <v>1827</v>
      </c>
      <c r="E50" s="74">
        <f>K51*(K50)/($W$44)*0.6</f>
        <v>0.1527887454</v>
      </c>
      <c r="F50" s="2" t="s">
        <v>1399</v>
      </c>
      <c r="G50" s="248"/>
      <c r="H50" s="25"/>
      <c r="I50" s="251"/>
      <c r="J50" s="5"/>
      <c r="K50" s="102">
        <v>20.0</v>
      </c>
      <c r="L50" s="2" t="s">
        <v>1083</v>
      </c>
      <c r="N50" s="2" t="s">
        <v>1837</v>
      </c>
      <c r="O50" s="2">
        <v>106.0</v>
      </c>
      <c r="P50" s="2" t="s">
        <v>1838</v>
      </c>
    </row>
    <row r="51">
      <c r="B51" s="1"/>
      <c r="J51" s="5" t="s">
        <v>1697</v>
      </c>
      <c r="K51" s="67">
        <f>100*K45/(K50*1000* PI()*K48^2)</f>
        <v>0.2546479089</v>
      </c>
      <c r="L51" s="2" t="s">
        <v>1399</v>
      </c>
      <c r="N51" s="2" t="s">
        <v>1840</v>
      </c>
      <c r="O51" s="5" t="s">
        <v>1841</v>
      </c>
    </row>
    <row r="52">
      <c r="B52" s="1"/>
      <c r="F52" s="1"/>
      <c r="G52" s="139"/>
      <c r="H52" s="139"/>
      <c r="I52" s="139"/>
      <c r="J52" s="5" t="s">
        <v>1704</v>
      </c>
      <c r="K52" s="74">
        <f>K51/(K46/10)</f>
        <v>5.092958179</v>
      </c>
    </row>
    <row r="54">
      <c r="A54" s="52" t="s">
        <v>1843</v>
      </c>
    </row>
    <row r="55">
      <c r="E55">
        <f>E56*10^6</f>
        <v>50000</v>
      </c>
      <c r="F55" s="2" t="s">
        <v>496</v>
      </c>
    </row>
    <row r="56">
      <c r="B56" s="253" t="s">
        <v>1657</v>
      </c>
      <c r="C56" s="1"/>
      <c r="D56" s="1"/>
      <c r="E56" s="254">
        <f>10^-6*0.5*K57*(K59*10^3)^2</f>
        <v>0.05</v>
      </c>
      <c r="F56" s="1" t="s">
        <v>43</v>
      </c>
      <c r="G56" s="139"/>
      <c r="H56" s="139"/>
      <c r="I56" s="139"/>
      <c r="J56" s="1"/>
      <c r="K56" s="251"/>
      <c r="L56" s="1"/>
      <c r="N56" s="2" t="s">
        <v>1747</v>
      </c>
      <c r="O56" s="2">
        <v>150.0</v>
      </c>
      <c r="P56" s="2" t="s">
        <v>635</v>
      </c>
      <c r="R56" s="2" t="s">
        <v>1832</v>
      </c>
      <c r="S56" s="5" t="s">
        <v>1846</v>
      </c>
    </row>
    <row r="57">
      <c r="B57" s="1"/>
      <c r="C57" s="1"/>
      <c r="D57" s="1"/>
      <c r="E57" s="25">
        <f>E56/(PI()*(K58/20)^2)</f>
        <v>1.591549431</v>
      </c>
      <c r="F57" s="2" t="s">
        <v>1134</v>
      </c>
      <c r="G57" s="139"/>
      <c r="H57" s="139"/>
      <c r="I57" s="139"/>
      <c r="J57" s="139" t="s">
        <v>1491</v>
      </c>
      <c r="K57" s="255">
        <v>0.001</v>
      </c>
      <c r="L57" s="1" t="s">
        <v>36</v>
      </c>
      <c r="N57" s="2" t="s">
        <v>1828</v>
      </c>
      <c r="O57" s="2">
        <v>1.8</v>
      </c>
      <c r="P57" s="2" t="s">
        <v>189</v>
      </c>
      <c r="R57" s="251" t="s">
        <v>1835</v>
      </c>
      <c r="S57" s="251">
        <v>4.0</v>
      </c>
    </row>
    <row r="58">
      <c r="B58" s="1"/>
      <c r="C58" s="2" t="s">
        <v>1829</v>
      </c>
      <c r="E58" s="163">
        <f>3.14*K60^2</f>
        <v>0.00000314</v>
      </c>
      <c r="F58" s="2" t="s">
        <v>640</v>
      </c>
      <c r="G58" s="139"/>
      <c r="H58" s="140"/>
      <c r="I58" s="248"/>
      <c r="J58" s="248" t="s">
        <v>1787</v>
      </c>
      <c r="K58" s="249">
        <v>2.0</v>
      </c>
      <c r="L58" s="250" t="s">
        <v>1469</v>
      </c>
      <c r="N58" s="2" t="s">
        <v>1716</v>
      </c>
      <c r="P58" s="2" t="s">
        <v>36</v>
      </c>
      <c r="R58" s="2" t="s">
        <v>1836</v>
      </c>
      <c r="S58" s="5" t="s">
        <v>1850</v>
      </c>
    </row>
    <row r="59">
      <c r="B59" s="251" t="s">
        <v>1807</v>
      </c>
      <c r="C59" s="251"/>
      <c r="D59" s="2" t="s">
        <v>1470</v>
      </c>
      <c r="E59" s="25">
        <f>K63*(K62)/($W$41)</f>
        <v>31.83098862</v>
      </c>
      <c r="F59" s="251" t="s">
        <v>1399</v>
      </c>
      <c r="G59" s="139"/>
      <c r="H59" s="25"/>
      <c r="I59" s="248"/>
      <c r="J59" s="139" t="s">
        <v>1498</v>
      </c>
      <c r="K59" s="249">
        <v>10.0</v>
      </c>
      <c r="L59" s="253" t="s">
        <v>87</v>
      </c>
      <c r="N59" s="2" t="s">
        <v>6</v>
      </c>
      <c r="O59" s="2">
        <v>1.0</v>
      </c>
      <c r="P59" s="2" t="s">
        <v>36</v>
      </c>
      <c r="Q59" s="2" t="s">
        <v>192</v>
      </c>
    </row>
    <row r="60">
      <c r="C60" s="251"/>
      <c r="D60" s="2" t="s">
        <v>1514</v>
      </c>
      <c r="E60" s="121">
        <f>K63*(K62)/($W$42)</f>
        <v>3.978873577</v>
      </c>
      <c r="F60" s="2" t="s">
        <v>1399</v>
      </c>
      <c r="G60" s="248"/>
      <c r="H60" s="25"/>
      <c r="I60" s="251"/>
      <c r="J60" s="139" t="s">
        <v>1418</v>
      </c>
      <c r="K60" s="139">
        <f>K58/2000</f>
        <v>0.001</v>
      </c>
      <c r="L60" s="2" t="s">
        <v>189</v>
      </c>
      <c r="T60" s="38"/>
    </row>
    <row r="61">
      <c r="C61" s="251"/>
      <c r="D61" s="2" t="s">
        <v>1821</v>
      </c>
      <c r="E61" s="74">
        <f>K63*(K62)/($W$43)</f>
        <v>3.183098862</v>
      </c>
      <c r="F61" s="251" t="s">
        <v>1399</v>
      </c>
      <c r="G61" s="248"/>
      <c r="H61" s="25"/>
      <c r="I61" s="251"/>
      <c r="J61" s="139" t="s">
        <v>1498</v>
      </c>
      <c r="K61" s="139">
        <f>K59*10^3</f>
        <v>10000</v>
      </c>
      <c r="L61" s="2" t="s">
        <v>201</v>
      </c>
    </row>
    <row r="62">
      <c r="B62" s="1"/>
      <c r="D62" s="2" t="s">
        <v>1827</v>
      </c>
      <c r="E62" s="74">
        <f>K63*(K62)/($W$44)</f>
        <v>1.591549431</v>
      </c>
      <c r="F62" s="2" t="s">
        <v>1399</v>
      </c>
      <c r="G62" s="248"/>
      <c r="H62" s="25"/>
      <c r="I62" s="251"/>
      <c r="J62" s="5"/>
      <c r="K62" s="102">
        <v>20.0</v>
      </c>
      <c r="L62" s="2" t="s">
        <v>1083</v>
      </c>
    </row>
    <row r="63">
      <c r="B63" s="251" t="s">
        <v>1855</v>
      </c>
      <c r="J63" s="5" t="s">
        <v>1697</v>
      </c>
      <c r="K63" s="67">
        <f>100*K57/(K62*1000* PI()*K60^2)</f>
        <v>1.591549431</v>
      </c>
      <c r="L63" s="2" t="s">
        <v>1399</v>
      </c>
    </row>
    <row r="64">
      <c r="B64" s="1"/>
      <c r="F64" s="1"/>
      <c r="G64" s="139"/>
      <c r="H64" s="139"/>
      <c r="I64" s="139"/>
      <c r="J64" s="5" t="s">
        <v>1704</v>
      </c>
      <c r="K64" s="74">
        <f>K63/(K58/10)</f>
        <v>7.957747155</v>
      </c>
    </row>
    <row r="65">
      <c r="J65" s="2"/>
    </row>
    <row r="66">
      <c r="A66" s="52" t="s">
        <v>1859</v>
      </c>
      <c r="E66">
        <f>E68*10^6</f>
        <v>4500</v>
      </c>
      <c r="F66" s="2" t="s">
        <v>496</v>
      </c>
    </row>
    <row r="67">
      <c r="E67">
        <f>E68*1000</f>
        <v>4.5</v>
      </c>
      <c r="F67" s="2" t="s">
        <v>265</v>
      </c>
      <c r="R67" s="2" t="s">
        <v>1832</v>
      </c>
      <c r="S67" s="248" t="s">
        <v>282</v>
      </c>
    </row>
    <row r="68">
      <c r="B68" s="253" t="s">
        <v>1657</v>
      </c>
      <c r="C68" s="1"/>
      <c r="D68" s="1"/>
      <c r="E68" s="254">
        <f>10^-6*0.5*K69*(K71*10^3)^2</f>
        <v>0.0045</v>
      </c>
      <c r="F68" s="1" t="s">
        <v>43</v>
      </c>
      <c r="G68" s="139"/>
      <c r="H68" s="139"/>
      <c r="I68" s="139"/>
      <c r="J68" s="1"/>
      <c r="K68" s="251"/>
      <c r="L68" s="1"/>
      <c r="N68" s="2" t="s">
        <v>1747</v>
      </c>
      <c r="O68" s="2">
        <v>50.0</v>
      </c>
      <c r="P68" s="2" t="s">
        <v>635</v>
      </c>
      <c r="R68" s="251" t="s">
        <v>1835</v>
      </c>
      <c r="S68" s="2">
        <v>4.0</v>
      </c>
    </row>
    <row r="69">
      <c r="B69" s="1"/>
      <c r="C69" s="1"/>
      <c r="D69" s="1"/>
      <c r="E69" s="25">
        <f>E68/(PI()*(K70/20)^2)</f>
        <v>0.1432394488</v>
      </c>
      <c r="F69" s="2" t="s">
        <v>1134</v>
      </c>
      <c r="G69" s="139"/>
      <c r="H69" s="139"/>
      <c r="I69" s="139"/>
      <c r="J69" s="139" t="s">
        <v>1491</v>
      </c>
      <c r="K69" s="255">
        <v>0.001</v>
      </c>
      <c r="L69" s="1" t="s">
        <v>36</v>
      </c>
      <c r="N69" s="2" t="s">
        <v>1828</v>
      </c>
      <c r="O69" s="2">
        <v>1.0</v>
      </c>
      <c r="P69" s="2" t="s">
        <v>189</v>
      </c>
      <c r="R69" s="2" t="s">
        <v>1836</v>
      </c>
      <c r="S69" s="5" t="s">
        <v>406</v>
      </c>
    </row>
    <row r="70">
      <c r="B70" s="1"/>
      <c r="C70" s="2" t="s">
        <v>1829</v>
      </c>
      <c r="E70" s="163">
        <f>3.14*K72^2</f>
        <v>0.00000314</v>
      </c>
      <c r="F70" s="2" t="s">
        <v>640</v>
      </c>
      <c r="G70" s="139"/>
      <c r="H70" s="140"/>
      <c r="I70" s="248"/>
      <c r="J70" s="248" t="s">
        <v>1787</v>
      </c>
      <c r="K70" s="249">
        <v>2.0</v>
      </c>
      <c r="L70" s="250" t="s">
        <v>1469</v>
      </c>
      <c r="N70" s="2" t="s">
        <v>1716</v>
      </c>
      <c r="P70" s="2" t="s">
        <v>36</v>
      </c>
    </row>
    <row r="71">
      <c r="B71" s="251" t="s">
        <v>1807</v>
      </c>
      <c r="C71" s="251"/>
      <c r="D71" s="2" t="s">
        <v>1470</v>
      </c>
      <c r="E71" s="25">
        <f>K75*(K74)/($W$41)*0.8</f>
        <v>25.46479089</v>
      </c>
      <c r="F71" s="251" t="s">
        <v>1399</v>
      </c>
      <c r="G71" s="139"/>
      <c r="H71" s="25"/>
      <c r="I71" s="248"/>
      <c r="J71" s="139" t="s">
        <v>1498</v>
      </c>
      <c r="K71" s="249">
        <v>3.0</v>
      </c>
      <c r="L71" s="253" t="s">
        <v>87</v>
      </c>
      <c r="N71" s="2" t="s">
        <v>6</v>
      </c>
      <c r="O71" s="2">
        <v>0.02</v>
      </c>
      <c r="P71" s="2" t="s">
        <v>36</v>
      </c>
      <c r="Q71" s="2" t="s">
        <v>192</v>
      </c>
    </row>
    <row r="72">
      <c r="C72" s="251"/>
      <c r="D72" s="2" t="s">
        <v>1514</v>
      </c>
      <c r="E72" s="121">
        <f>K75*(K74)/($W$42)*0.8</f>
        <v>3.183098862</v>
      </c>
      <c r="F72" s="2" t="s">
        <v>1399</v>
      </c>
      <c r="G72" s="248"/>
      <c r="H72" s="25"/>
      <c r="I72" s="251"/>
      <c r="J72" s="139" t="s">
        <v>1418</v>
      </c>
      <c r="K72" s="139">
        <f>K70/2000</f>
        <v>0.001</v>
      </c>
      <c r="L72" s="2" t="s">
        <v>189</v>
      </c>
      <c r="N72" s="2" t="s">
        <v>1872</v>
      </c>
      <c r="O72" s="168">
        <f>K69*100</f>
        <v>0.1</v>
      </c>
      <c r="P72" s="2" t="s">
        <v>36</v>
      </c>
      <c r="T72" s="38"/>
    </row>
    <row r="73">
      <c r="C73" s="251"/>
      <c r="D73" s="2" t="s">
        <v>1821</v>
      </c>
      <c r="E73" s="74">
        <f>K75*(K74)/($W$43)*0.8</f>
        <v>2.546479089</v>
      </c>
      <c r="F73" s="251" t="s">
        <v>1399</v>
      </c>
      <c r="G73" s="248"/>
      <c r="H73" s="25"/>
      <c r="I73" s="251"/>
      <c r="J73" s="139" t="s">
        <v>1498</v>
      </c>
      <c r="K73" s="139">
        <f>K71*10^3</f>
        <v>3000</v>
      </c>
      <c r="L73" s="2" t="s">
        <v>201</v>
      </c>
    </row>
    <row r="74">
      <c r="B74" s="1"/>
      <c r="D74" s="2" t="s">
        <v>1827</v>
      </c>
      <c r="E74" s="74">
        <f>K75*(K74)/($W$44)*0.8</f>
        <v>1.273239545</v>
      </c>
      <c r="F74" s="2" t="s">
        <v>1399</v>
      </c>
      <c r="G74" s="248"/>
      <c r="H74" s="25"/>
      <c r="I74" s="251"/>
      <c r="J74" s="5"/>
      <c r="K74" s="102">
        <v>20.0</v>
      </c>
      <c r="L74" s="2" t="s">
        <v>1083</v>
      </c>
      <c r="N74" s="2" t="s">
        <v>1837</v>
      </c>
      <c r="O74" s="5" t="s">
        <v>1873</v>
      </c>
      <c r="P74" s="2" t="s">
        <v>1838</v>
      </c>
    </row>
    <row r="75">
      <c r="B75" s="251" t="s">
        <v>1529</v>
      </c>
      <c r="C75" s="2" t="s">
        <v>1874</v>
      </c>
      <c r="J75" s="5" t="s">
        <v>1697</v>
      </c>
      <c r="K75" s="67">
        <f>100*K69/(K74*1000* PI()*K72^2)</f>
        <v>1.591549431</v>
      </c>
      <c r="L75" s="2" t="s">
        <v>1399</v>
      </c>
      <c r="N75" s="2" t="s">
        <v>1840</v>
      </c>
      <c r="O75" s="5" t="s">
        <v>1873</v>
      </c>
      <c r="P75" s="2" t="s">
        <v>1838</v>
      </c>
    </row>
    <row r="76">
      <c r="B76" s="1"/>
      <c r="C76" s="2" t="s">
        <v>1875</v>
      </c>
      <c r="F76" s="1"/>
      <c r="G76" s="139"/>
      <c r="H76" s="139"/>
      <c r="I76" s="139"/>
      <c r="J76" s="5" t="s">
        <v>1704</v>
      </c>
      <c r="K76" s="74">
        <f>K75/(K70/10)</f>
        <v>7.957747155</v>
      </c>
      <c r="O76" s="2" t="s">
        <v>1876</v>
      </c>
    </row>
    <row r="78">
      <c r="A78" s="52" t="s">
        <v>1843</v>
      </c>
      <c r="E78">
        <f>E80*10^6</f>
        <v>4500000</v>
      </c>
      <c r="F78" s="2" t="s">
        <v>496</v>
      </c>
    </row>
    <row r="79">
      <c r="E79">
        <f>E80*1000</f>
        <v>4500</v>
      </c>
      <c r="F79" s="2" t="s">
        <v>265</v>
      </c>
    </row>
    <row r="80">
      <c r="B80" s="253" t="s">
        <v>1657</v>
      </c>
      <c r="C80" s="1"/>
      <c r="D80" s="1"/>
      <c r="E80" s="254">
        <f>10^-6*0.5*K81*(K83*10^3)^2</f>
        <v>4.5</v>
      </c>
      <c r="F80" s="1" t="s">
        <v>43</v>
      </c>
      <c r="G80" s="139"/>
      <c r="H80" s="139"/>
      <c r="I80" s="139"/>
      <c r="J80" s="1"/>
      <c r="K80" s="251"/>
      <c r="L80" s="1"/>
      <c r="N80" s="2" t="s">
        <v>1747</v>
      </c>
      <c r="O80" s="2">
        <v>150.0</v>
      </c>
      <c r="P80" s="2" t="s">
        <v>635</v>
      </c>
    </row>
    <row r="81">
      <c r="B81" s="1"/>
      <c r="C81" s="1"/>
      <c r="D81" s="1"/>
      <c r="E81" s="25">
        <f>E80/(PI()*(K82/20)^2)</f>
        <v>1.768388257</v>
      </c>
      <c r="F81" s="2" t="s">
        <v>1134</v>
      </c>
      <c r="G81" s="139"/>
      <c r="H81" s="139"/>
      <c r="I81" s="139"/>
      <c r="J81" s="139" t="s">
        <v>1491</v>
      </c>
      <c r="K81" s="255">
        <v>1.0</v>
      </c>
      <c r="L81" s="1" t="s">
        <v>36</v>
      </c>
      <c r="N81" s="2" t="s">
        <v>1828</v>
      </c>
      <c r="O81" s="2">
        <v>2.0</v>
      </c>
      <c r="P81" s="2" t="s">
        <v>189</v>
      </c>
      <c r="R81" s="2" t="s">
        <v>1832</v>
      </c>
      <c r="S81" s="248"/>
    </row>
    <row r="82">
      <c r="B82" s="1"/>
      <c r="C82" s="2" t="s">
        <v>1829</v>
      </c>
      <c r="E82" s="163">
        <f>3.14*K84^2</f>
        <v>0.00025434</v>
      </c>
      <c r="F82" s="2" t="s">
        <v>640</v>
      </c>
      <c r="G82" s="139"/>
      <c r="H82" s="140"/>
      <c r="I82" s="248"/>
      <c r="J82" s="248" t="s">
        <v>1787</v>
      </c>
      <c r="K82" s="249">
        <v>18.0</v>
      </c>
      <c r="L82" s="250" t="s">
        <v>1469</v>
      </c>
      <c r="N82" s="2" t="s">
        <v>1716</v>
      </c>
      <c r="O82" s="2">
        <v>0.5</v>
      </c>
      <c r="P82" s="2" t="s">
        <v>36</v>
      </c>
      <c r="R82" s="251" t="s">
        <v>1835</v>
      </c>
      <c r="S82" s="2">
        <v>5.0</v>
      </c>
    </row>
    <row r="83">
      <c r="B83" s="251" t="s">
        <v>1807</v>
      </c>
      <c r="C83" s="251"/>
      <c r="D83" s="2" t="s">
        <v>1470</v>
      </c>
      <c r="E83" s="25">
        <f>K87*(K86)/($W$41)*0.8</f>
        <v>314.3801345</v>
      </c>
      <c r="F83" s="251" t="s">
        <v>1399</v>
      </c>
      <c r="G83" s="139"/>
      <c r="H83" s="25"/>
      <c r="I83" s="248"/>
      <c r="J83" s="139" t="s">
        <v>1498</v>
      </c>
      <c r="K83" s="249">
        <v>3.0</v>
      </c>
      <c r="L83" s="253" t="s">
        <v>87</v>
      </c>
      <c r="R83" s="2" t="s">
        <v>1836</v>
      </c>
      <c r="S83" s="5" t="s">
        <v>1850</v>
      </c>
    </row>
    <row r="84">
      <c r="C84" s="251"/>
      <c r="D84" s="2" t="s">
        <v>1514</v>
      </c>
      <c r="E84" s="121">
        <f>K87*(K86)/($W$42)*0.8</f>
        <v>39.29751681</v>
      </c>
      <c r="F84" s="2" t="s">
        <v>1399</v>
      </c>
      <c r="G84" s="248"/>
      <c r="H84" s="25"/>
      <c r="I84" s="251"/>
      <c r="J84" s="139" t="s">
        <v>1418</v>
      </c>
      <c r="K84" s="139">
        <f>K82/2000</f>
        <v>0.009</v>
      </c>
      <c r="L84" s="2" t="s">
        <v>189</v>
      </c>
      <c r="N84" s="2" t="s">
        <v>6</v>
      </c>
      <c r="O84" s="2">
        <v>20.0</v>
      </c>
      <c r="P84" s="2" t="s">
        <v>36</v>
      </c>
      <c r="Q84" s="2" t="s">
        <v>192</v>
      </c>
    </row>
    <row r="85">
      <c r="C85" s="251"/>
      <c r="D85" s="2" t="s">
        <v>1821</v>
      </c>
      <c r="E85" s="74">
        <f>K87*(K86)/($W$43)*0.8</f>
        <v>31.43801345</v>
      </c>
      <c r="F85" s="251" t="s">
        <v>1399</v>
      </c>
      <c r="G85" s="248"/>
      <c r="H85" s="25"/>
      <c r="I85" s="251"/>
      <c r="J85" s="139" t="s">
        <v>1498</v>
      </c>
      <c r="K85" s="139">
        <f>K83*10^3</f>
        <v>3000</v>
      </c>
      <c r="L85" s="2" t="s">
        <v>201</v>
      </c>
      <c r="N85" s="2" t="s">
        <v>1879</v>
      </c>
      <c r="O85" s="167">
        <v>30.0</v>
      </c>
      <c r="P85" s="2" t="s">
        <v>36</v>
      </c>
    </row>
    <row r="86">
      <c r="B86" s="1"/>
      <c r="D86" s="2" t="s">
        <v>1827</v>
      </c>
      <c r="E86" s="74">
        <f>K87*(K86)/($W$44)*0.8</f>
        <v>15.71900673</v>
      </c>
      <c r="F86" s="2" t="s">
        <v>1399</v>
      </c>
      <c r="G86" s="248"/>
      <c r="H86" s="25"/>
      <c r="I86" s="251"/>
      <c r="J86" s="5"/>
      <c r="K86" s="102">
        <v>20.0</v>
      </c>
      <c r="L86" s="2" t="s">
        <v>1083</v>
      </c>
      <c r="N86" s="2" t="s">
        <v>1837</v>
      </c>
      <c r="O86" s="2">
        <v>160.0</v>
      </c>
      <c r="P86" s="2" t="s">
        <v>1838</v>
      </c>
    </row>
    <row r="87">
      <c r="B87" s="1"/>
      <c r="C87" s="251"/>
      <c r="D87" s="1"/>
      <c r="J87" s="5" t="s">
        <v>1697</v>
      </c>
      <c r="K87" s="67">
        <f>100*K81/(K86*1000* PI()*K84^2)</f>
        <v>19.64875841</v>
      </c>
      <c r="L87" s="2" t="s">
        <v>1399</v>
      </c>
      <c r="N87" s="2" t="s">
        <v>1840</v>
      </c>
      <c r="O87" s="5">
        <v>160.0</v>
      </c>
      <c r="P87" s="2" t="s">
        <v>1838</v>
      </c>
      <c r="Q87" s="2" t="s">
        <v>1880</v>
      </c>
    </row>
    <row r="88">
      <c r="B88" s="1"/>
      <c r="C88" s="251"/>
      <c r="G88" s="139"/>
      <c r="H88" s="139"/>
      <c r="I88" s="139"/>
      <c r="J88" s="5" t="s">
        <v>1704</v>
      </c>
      <c r="K88" s="74">
        <f>K87/(K82/10)</f>
        <v>10.91597689</v>
      </c>
      <c r="O88" s="2" t="s">
        <v>1881</v>
      </c>
    </row>
    <row r="89">
      <c r="C89" s="251"/>
    </row>
    <row r="90">
      <c r="A90" s="52" t="s">
        <v>1882</v>
      </c>
      <c r="E90">
        <f>E92*10^6</f>
        <v>4500000</v>
      </c>
      <c r="F90" s="2" t="s">
        <v>496</v>
      </c>
    </row>
    <row r="91">
      <c r="E91">
        <f>E92*1000</f>
        <v>4500</v>
      </c>
      <c r="F91" s="2" t="s">
        <v>265</v>
      </c>
    </row>
    <row r="92">
      <c r="B92" s="253" t="s">
        <v>1657</v>
      </c>
      <c r="C92" s="1"/>
      <c r="D92" s="1"/>
      <c r="E92" s="254">
        <f>10^-6*0.5*K93*(K95*10^3)^2</f>
        <v>4.5</v>
      </c>
      <c r="F92" s="1" t="s">
        <v>43</v>
      </c>
      <c r="G92" s="139"/>
      <c r="H92" s="139"/>
      <c r="I92" s="139"/>
      <c r="J92" s="1"/>
      <c r="K92" s="251"/>
      <c r="L92" s="1"/>
      <c r="N92" s="2" t="s">
        <v>1747</v>
      </c>
      <c r="O92" s="2">
        <v>50.0</v>
      </c>
      <c r="P92" s="2" t="s">
        <v>635</v>
      </c>
    </row>
    <row r="93">
      <c r="B93" s="1"/>
      <c r="C93" s="1"/>
      <c r="D93" s="1"/>
      <c r="E93" s="25">
        <f>E92/(PI()*(K94/20)^2)</f>
        <v>1.768388257</v>
      </c>
      <c r="F93" s="2" t="s">
        <v>1134</v>
      </c>
      <c r="G93" s="139"/>
      <c r="H93" s="139"/>
      <c r="I93" s="139"/>
      <c r="J93" s="139" t="s">
        <v>1491</v>
      </c>
      <c r="K93" s="255">
        <v>1.0</v>
      </c>
      <c r="L93" s="1" t="s">
        <v>36</v>
      </c>
      <c r="N93" s="2" t="s">
        <v>1828</v>
      </c>
      <c r="O93" s="2">
        <v>5.0</v>
      </c>
      <c r="P93" s="2" t="s">
        <v>189</v>
      </c>
      <c r="R93" s="2" t="s">
        <v>1832</v>
      </c>
      <c r="S93" s="248"/>
    </row>
    <row r="94">
      <c r="B94" s="1"/>
      <c r="C94" s="2" t="s">
        <v>1829</v>
      </c>
      <c r="E94" s="163">
        <f>3.14*K96^2</f>
        <v>0.00025434</v>
      </c>
      <c r="F94" s="2" t="s">
        <v>640</v>
      </c>
      <c r="G94" s="139"/>
      <c r="H94" s="140"/>
      <c r="I94" s="248"/>
      <c r="J94" s="248" t="s">
        <v>1787</v>
      </c>
      <c r="K94" s="249">
        <v>18.0</v>
      </c>
      <c r="L94" s="250" t="s">
        <v>1469</v>
      </c>
      <c r="N94" s="2" t="s">
        <v>1716</v>
      </c>
      <c r="O94" s="2">
        <v>2.0</v>
      </c>
      <c r="P94" s="2" t="s">
        <v>36</v>
      </c>
      <c r="R94" s="251" t="s">
        <v>1835</v>
      </c>
    </row>
    <row r="95">
      <c r="B95" s="251" t="s">
        <v>1807</v>
      </c>
      <c r="C95" s="251"/>
      <c r="D95" s="2" t="s">
        <v>1470</v>
      </c>
      <c r="E95" s="25">
        <f>K99*(K98)/($W$41)*0.8</f>
        <v>314.3801345</v>
      </c>
      <c r="F95" s="251" t="s">
        <v>1399</v>
      </c>
      <c r="G95" s="139"/>
      <c r="H95" s="25"/>
      <c r="I95" s="248"/>
      <c r="J95" s="139" t="s">
        <v>1498</v>
      </c>
      <c r="K95" s="249">
        <v>3.0</v>
      </c>
      <c r="L95" s="253" t="s">
        <v>87</v>
      </c>
      <c r="R95" s="2" t="s">
        <v>1836</v>
      </c>
      <c r="S95" s="5" t="s">
        <v>1850</v>
      </c>
    </row>
    <row r="96">
      <c r="C96" s="251"/>
      <c r="D96" s="2" t="s">
        <v>1514</v>
      </c>
      <c r="E96" s="121">
        <f>K99*(K98)/($W$42)*0.8</f>
        <v>39.29751681</v>
      </c>
      <c r="F96" s="2" t="s">
        <v>1399</v>
      </c>
      <c r="G96" s="248"/>
      <c r="H96" s="25"/>
      <c r="I96" s="251"/>
      <c r="J96" s="139" t="s">
        <v>1418</v>
      </c>
      <c r="K96" s="139">
        <f>K94/2000</f>
        <v>0.009</v>
      </c>
      <c r="L96" s="2" t="s">
        <v>189</v>
      </c>
      <c r="N96" s="2" t="s">
        <v>6</v>
      </c>
      <c r="O96" s="2">
        <v>8.0</v>
      </c>
      <c r="P96" s="2" t="s">
        <v>36</v>
      </c>
      <c r="Q96" s="2" t="s">
        <v>192</v>
      </c>
    </row>
    <row r="97">
      <c r="C97" s="251"/>
      <c r="D97" s="2" t="s">
        <v>1821</v>
      </c>
      <c r="E97" s="74">
        <f>K99*(K98)/($W$43)*0.8</f>
        <v>31.43801345</v>
      </c>
      <c r="F97" s="251" t="s">
        <v>1399</v>
      </c>
      <c r="G97" s="248"/>
      <c r="H97" s="25"/>
      <c r="I97" s="251"/>
      <c r="J97" s="139" t="s">
        <v>1498</v>
      </c>
      <c r="K97" s="139">
        <f>K95*10^3</f>
        <v>3000</v>
      </c>
      <c r="L97" s="2" t="s">
        <v>201</v>
      </c>
      <c r="N97" s="2" t="s">
        <v>1872</v>
      </c>
      <c r="O97" s="95"/>
      <c r="P97" s="2" t="s">
        <v>36</v>
      </c>
    </row>
    <row r="98">
      <c r="B98" s="1"/>
      <c r="D98" s="2" t="s">
        <v>1827</v>
      </c>
      <c r="E98" s="74">
        <f>K99*(K98)/($W$44)*0.8</f>
        <v>15.71900673</v>
      </c>
      <c r="F98" s="2" t="s">
        <v>1399</v>
      </c>
      <c r="G98" s="248"/>
      <c r="H98" s="25"/>
      <c r="I98" s="251"/>
      <c r="J98" s="5"/>
      <c r="K98" s="102">
        <v>20.0</v>
      </c>
      <c r="L98" s="2" t="s">
        <v>1083</v>
      </c>
    </row>
    <row r="99">
      <c r="B99" s="1"/>
      <c r="C99" s="251"/>
      <c r="D99" s="1"/>
      <c r="J99" s="5" t="s">
        <v>1697</v>
      </c>
      <c r="K99" s="67">
        <f>100*K93/(K98*1000* PI()*K96^2)</f>
        <v>19.64875841</v>
      </c>
      <c r="L99" s="2" t="s">
        <v>1399</v>
      </c>
    </row>
    <row r="100">
      <c r="B100" s="1"/>
      <c r="C100" s="251"/>
      <c r="G100" s="139"/>
      <c r="H100" s="139"/>
      <c r="I100" s="139"/>
      <c r="J100" s="5" t="s">
        <v>1704</v>
      </c>
      <c r="K100" s="74">
        <f>K99/(K94/10)</f>
        <v>10.91597689</v>
      </c>
    </row>
    <row r="101">
      <c r="A101" s="52" t="s">
        <v>1892</v>
      </c>
      <c r="E101">
        <f>E103*10^6</f>
        <v>45000000</v>
      </c>
      <c r="F101" s="2" t="s">
        <v>496</v>
      </c>
    </row>
    <row r="102">
      <c r="E102">
        <f>E103*1000</f>
        <v>45000</v>
      </c>
      <c r="F102" s="2" t="s">
        <v>265</v>
      </c>
    </row>
    <row r="103">
      <c r="B103" s="253" t="s">
        <v>1657</v>
      </c>
      <c r="C103" s="1"/>
      <c r="D103" s="1"/>
      <c r="E103" s="254">
        <f>10^-6*0.5*K104*(K106*10^3)^2</f>
        <v>45</v>
      </c>
      <c r="F103" s="1" t="s">
        <v>43</v>
      </c>
      <c r="G103" s="139"/>
      <c r="H103" s="139"/>
      <c r="I103" s="139"/>
      <c r="J103" s="1"/>
      <c r="K103" s="251"/>
      <c r="L103" s="1"/>
      <c r="N103" s="2" t="s">
        <v>1747</v>
      </c>
      <c r="O103" s="2">
        <v>50.0</v>
      </c>
      <c r="P103" s="2" t="s">
        <v>635</v>
      </c>
    </row>
    <row r="104">
      <c r="B104" s="1"/>
      <c r="C104" s="1"/>
      <c r="D104" s="1"/>
      <c r="E104" s="25">
        <f>E103/(PI()*(K105/20)^2)</f>
        <v>70.73553026</v>
      </c>
      <c r="F104" s="2" t="s">
        <v>1134</v>
      </c>
      <c r="G104" s="139"/>
      <c r="H104" s="139"/>
      <c r="I104" s="139"/>
      <c r="J104" s="139" t="s">
        <v>1491</v>
      </c>
      <c r="K104" s="255">
        <v>0.1</v>
      </c>
      <c r="L104" s="1" t="s">
        <v>36</v>
      </c>
      <c r="N104" s="2" t="s">
        <v>1828</v>
      </c>
      <c r="P104" s="2" t="s">
        <v>189</v>
      </c>
      <c r="R104" s="2" t="s">
        <v>1832</v>
      </c>
      <c r="S104" s="248"/>
    </row>
    <row r="105">
      <c r="B105" s="1"/>
      <c r="C105" s="2" t="s">
        <v>1829</v>
      </c>
      <c r="E105" s="163">
        <f>3.14*K107^2</f>
        <v>0.000063585</v>
      </c>
      <c r="F105" s="2" t="s">
        <v>640</v>
      </c>
      <c r="G105" s="139"/>
      <c r="H105" s="140"/>
      <c r="I105" s="248"/>
      <c r="J105" s="248" t="s">
        <v>1787</v>
      </c>
      <c r="K105" s="249">
        <v>9.0</v>
      </c>
      <c r="L105" s="250" t="s">
        <v>1469</v>
      </c>
      <c r="N105" s="2" t="s">
        <v>1716</v>
      </c>
      <c r="P105" s="2" t="s">
        <v>36</v>
      </c>
      <c r="R105" s="251" t="s">
        <v>1835</v>
      </c>
    </row>
    <row r="106">
      <c r="B106" s="251" t="s">
        <v>1807</v>
      </c>
      <c r="C106" s="251"/>
      <c r="D106" s="2" t="s">
        <v>1470</v>
      </c>
      <c r="E106" s="25">
        <f>K110*(K109)/($W$41)*0.8</f>
        <v>125.7520538</v>
      </c>
      <c r="F106" s="251" t="s">
        <v>1399</v>
      </c>
      <c r="G106" s="139"/>
      <c r="H106" s="25"/>
      <c r="I106" s="248"/>
      <c r="J106" s="139" t="s">
        <v>1498</v>
      </c>
      <c r="K106" s="249">
        <v>30.0</v>
      </c>
      <c r="L106" s="253" t="s">
        <v>87</v>
      </c>
      <c r="R106" s="2" t="s">
        <v>1836</v>
      </c>
      <c r="S106" s="5"/>
    </row>
    <row r="107">
      <c r="C107" s="251"/>
      <c r="D107" s="2" t="s">
        <v>1514</v>
      </c>
      <c r="E107" s="121">
        <f>K110*(K109)/($W$42)*0.8</f>
        <v>15.71900673</v>
      </c>
      <c r="F107" s="2" t="s">
        <v>1399</v>
      </c>
      <c r="G107" s="248"/>
      <c r="H107" s="25"/>
      <c r="I107" s="251"/>
      <c r="J107" s="139" t="s">
        <v>1418</v>
      </c>
      <c r="K107" s="139">
        <f>K105/2000</f>
        <v>0.0045</v>
      </c>
      <c r="L107" s="2" t="s">
        <v>189</v>
      </c>
      <c r="N107" s="2" t="s">
        <v>6</v>
      </c>
      <c r="P107" s="2" t="s">
        <v>36</v>
      </c>
      <c r="Q107" s="2" t="s">
        <v>192</v>
      </c>
    </row>
    <row r="108">
      <c r="C108" s="251"/>
      <c r="D108" s="2" t="s">
        <v>1821</v>
      </c>
      <c r="E108" s="74">
        <f>K110*(K109)/($W$43)*0.8</f>
        <v>12.57520538</v>
      </c>
      <c r="F108" s="251" t="s">
        <v>1399</v>
      </c>
      <c r="G108" s="248"/>
      <c r="H108" s="25"/>
      <c r="I108" s="251"/>
      <c r="J108" s="139" t="s">
        <v>1498</v>
      </c>
      <c r="K108" s="139">
        <f>K106*10^3</f>
        <v>30000</v>
      </c>
      <c r="L108" s="2" t="s">
        <v>201</v>
      </c>
      <c r="N108" s="2" t="s">
        <v>1872</v>
      </c>
      <c r="O108" s="95"/>
      <c r="P108" s="2" t="s">
        <v>36</v>
      </c>
    </row>
    <row r="109">
      <c r="B109" s="1"/>
      <c r="D109" s="2" t="s">
        <v>1827</v>
      </c>
      <c r="E109" s="74">
        <f>K110*(K109)/($W$44)*0.8</f>
        <v>6.28760269</v>
      </c>
      <c r="F109" s="2" t="s">
        <v>1399</v>
      </c>
      <c r="G109" s="248"/>
      <c r="H109" s="25"/>
      <c r="I109" s="251"/>
      <c r="J109" s="5"/>
      <c r="K109" s="102">
        <v>20.0</v>
      </c>
      <c r="L109" s="2" t="s">
        <v>1083</v>
      </c>
      <c r="N109" s="2" t="s">
        <v>1837</v>
      </c>
      <c r="O109" s="2">
        <v>160.0</v>
      </c>
      <c r="P109" s="2" t="s">
        <v>1838</v>
      </c>
    </row>
    <row r="110">
      <c r="B110" s="1"/>
      <c r="C110" s="251"/>
      <c r="D110" s="1"/>
      <c r="J110" s="5" t="s">
        <v>1697</v>
      </c>
      <c r="K110" s="67">
        <f>100*K104/(K109*1000* PI()*K107^2)</f>
        <v>7.859503363</v>
      </c>
      <c r="L110" s="2" t="s">
        <v>1399</v>
      </c>
      <c r="N110" s="2" t="s">
        <v>1840</v>
      </c>
      <c r="O110" s="5">
        <v>160.0</v>
      </c>
      <c r="P110" s="2" t="s">
        <v>1838</v>
      </c>
      <c r="Q110" s="2" t="s">
        <v>1880</v>
      </c>
    </row>
    <row r="111">
      <c r="B111" s="1"/>
      <c r="C111" s="251"/>
      <c r="G111" s="139"/>
      <c r="H111" s="139"/>
      <c r="I111" s="139"/>
      <c r="J111" s="5" t="s">
        <v>1704</v>
      </c>
      <c r="K111" s="74">
        <f>K110/(K105/10)</f>
        <v>8.732781514</v>
      </c>
      <c r="O111" s="2" t="s">
        <v>1881</v>
      </c>
    </row>
    <row r="114">
      <c r="A114" s="52" t="s">
        <v>1894</v>
      </c>
      <c r="E114">
        <f>E116*10^6</f>
        <v>2000000000</v>
      </c>
      <c r="F114" s="2" t="s">
        <v>496</v>
      </c>
    </row>
    <row r="115">
      <c r="E115" s="163">
        <f>E116*1000</f>
        <v>2000000</v>
      </c>
      <c r="F115" s="2" t="s">
        <v>265</v>
      </c>
    </row>
    <row r="116">
      <c r="B116" s="253" t="s">
        <v>1657</v>
      </c>
      <c r="C116" s="1"/>
      <c r="D116" s="1"/>
      <c r="E116" s="254">
        <f>10^-6*0.5*K117*(K119*10^3)^2</f>
        <v>2000</v>
      </c>
      <c r="F116" s="1" t="s">
        <v>43</v>
      </c>
      <c r="G116" s="139"/>
      <c r="H116" s="139"/>
      <c r="I116" s="139"/>
      <c r="J116" s="1"/>
      <c r="K116" s="251"/>
      <c r="L116" s="1"/>
      <c r="N116" s="2" t="s">
        <v>1747</v>
      </c>
      <c r="O116" s="2">
        <v>50.0</v>
      </c>
      <c r="P116" s="2" t="s">
        <v>635</v>
      </c>
    </row>
    <row r="117">
      <c r="B117" s="1"/>
      <c r="C117" s="1"/>
      <c r="D117" s="1"/>
      <c r="E117" s="25">
        <f>E116/(PI()*(K118/20)^2)</f>
        <v>407.4366543</v>
      </c>
      <c r="F117" s="2" t="s">
        <v>1134</v>
      </c>
      <c r="G117" s="139"/>
      <c r="H117" s="139"/>
      <c r="I117" s="139"/>
      <c r="J117" s="139" t="s">
        <v>1491</v>
      </c>
      <c r="K117" s="257">
        <v>10.0</v>
      </c>
      <c r="L117" s="1" t="s">
        <v>36</v>
      </c>
      <c r="N117" s="2" t="s">
        <v>1828</v>
      </c>
      <c r="P117" s="2" t="s">
        <v>189</v>
      </c>
      <c r="R117" s="2" t="s">
        <v>1832</v>
      </c>
      <c r="S117" s="248"/>
    </row>
    <row r="118">
      <c r="B118" s="1"/>
      <c r="C118" s="2" t="s">
        <v>1829</v>
      </c>
      <c r="E118" s="163">
        <f>3.14*K120^2</f>
        <v>0.000490625</v>
      </c>
      <c r="F118" s="2" t="s">
        <v>640</v>
      </c>
      <c r="G118" s="139"/>
      <c r="H118" s="140"/>
      <c r="I118" s="248"/>
      <c r="J118" s="248" t="s">
        <v>1787</v>
      </c>
      <c r="K118" s="249">
        <v>25.0</v>
      </c>
      <c r="L118" s="250" t="s">
        <v>1469</v>
      </c>
      <c r="N118" s="2" t="s">
        <v>1716</v>
      </c>
      <c r="P118" s="2" t="s">
        <v>36</v>
      </c>
      <c r="R118" s="251" t="s">
        <v>1835</v>
      </c>
    </row>
    <row r="119">
      <c r="B119" s="251" t="s">
        <v>1807</v>
      </c>
      <c r="C119" s="251"/>
      <c r="D119" s="2" t="s">
        <v>1470</v>
      </c>
      <c r="E119" s="25">
        <f>K123*(K122)/($W$41)*0.8</f>
        <v>1629.746617</v>
      </c>
      <c r="F119" s="251" t="s">
        <v>1399</v>
      </c>
      <c r="G119" s="139"/>
      <c r="H119" s="25"/>
      <c r="I119" s="248"/>
      <c r="J119" s="139" t="s">
        <v>1498</v>
      </c>
      <c r="K119" s="249">
        <v>20.0</v>
      </c>
      <c r="L119" s="253" t="s">
        <v>87</v>
      </c>
      <c r="R119" s="2" t="s">
        <v>1836</v>
      </c>
      <c r="S119" s="5"/>
    </row>
    <row r="120">
      <c r="C120" s="251"/>
      <c r="D120" s="2" t="s">
        <v>1514</v>
      </c>
      <c r="E120" s="121">
        <f>K123*(K122)/($W$42)*0.8</f>
        <v>203.7183272</v>
      </c>
      <c r="F120" s="2" t="s">
        <v>1399</v>
      </c>
      <c r="G120" s="248"/>
      <c r="H120" s="25"/>
      <c r="I120" s="251"/>
      <c r="J120" s="139" t="s">
        <v>1418</v>
      </c>
      <c r="K120" s="139">
        <f>K118/2000</f>
        <v>0.0125</v>
      </c>
      <c r="L120" s="2" t="s">
        <v>189</v>
      </c>
      <c r="N120" s="2" t="s">
        <v>6</v>
      </c>
      <c r="P120" s="2" t="s">
        <v>36</v>
      </c>
      <c r="Q120" s="2" t="s">
        <v>192</v>
      </c>
    </row>
    <row r="121">
      <c r="C121" s="251"/>
      <c r="D121" s="2" t="s">
        <v>1821</v>
      </c>
      <c r="E121" s="74">
        <f>K123*(K122)/($W$43)*0.8</f>
        <v>162.9746617</v>
      </c>
      <c r="F121" s="251" t="s">
        <v>1399</v>
      </c>
      <c r="G121" s="248"/>
      <c r="H121" s="25"/>
      <c r="I121" s="251"/>
      <c r="J121" s="139" t="s">
        <v>1498</v>
      </c>
      <c r="K121" s="139">
        <f>K119*10^3</f>
        <v>20000</v>
      </c>
      <c r="L121" s="2" t="s">
        <v>201</v>
      </c>
      <c r="N121" s="2" t="s">
        <v>1872</v>
      </c>
      <c r="O121" s="95"/>
      <c r="P121" s="2" t="s">
        <v>36</v>
      </c>
    </row>
    <row r="122">
      <c r="B122" s="1"/>
      <c r="D122" s="2" t="s">
        <v>1827</v>
      </c>
      <c r="E122" s="74">
        <f>K123*(K122)/($W$44)*0.8</f>
        <v>81.48733086</v>
      </c>
      <c r="F122" s="2" t="s">
        <v>1399</v>
      </c>
      <c r="G122" s="248"/>
      <c r="H122" s="25"/>
      <c r="I122" s="251"/>
      <c r="J122" s="5"/>
      <c r="K122" s="102">
        <v>20.0</v>
      </c>
      <c r="L122" s="2" t="s">
        <v>1083</v>
      </c>
      <c r="N122" s="2" t="s">
        <v>1837</v>
      </c>
      <c r="O122" s="2">
        <v>160.0</v>
      </c>
      <c r="P122" s="2" t="s">
        <v>1838</v>
      </c>
    </row>
    <row r="123">
      <c r="B123" s="1"/>
      <c r="C123" s="251"/>
      <c r="D123" s="1"/>
      <c r="J123" s="5" t="s">
        <v>1697</v>
      </c>
      <c r="K123" s="67">
        <f>100*K117/(K122*1000* PI()*K120^2)</f>
        <v>101.8591636</v>
      </c>
      <c r="L123" s="2" t="s">
        <v>1399</v>
      </c>
      <c r="N123" s="2" t="s">
        <v>1840</v>
      </c>
      <c r="O123" s="5">
        <v>160.0</v>
      </c>
      <c r="P123" s="2" t="s">
        <v>1838</v>
      </c>
      <c r="Q123" s="2" t="s">
        <v>1880</v>
      </c>
    </row>
    <row r="124">
      <c r="B124" s="1"/>
      <c r="C124" s="251"/>
      <c r="G124" s="139"/>
      <c r="H124" s="139"/>
      <c r="I124" s="139"/>
      <c r="J124" s="5" t="s">
        <v>1704</v>
      </c>
      <c r="K124" s="74">
        <f>K123/(K118/10)</f>
        <v>40.74366543</v>
      </c>
      <c r="O124" s="2" t="s">
        <v>1881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4" max="4" width="12.63"/>
    <col customWidth="1" min="5" max="5" width="5.63"/>
    <col customWidth="1" min="6" max="6" width="6.38"/>
    <col customWidth="1" min="7" max="7" width="3.0"/>
    <col customWidth="1" min="8" max="8" width="4.25"/>
    <col customWidth="1" min="9" max="9" width="3.63"/>
    <col customWidth="1" min="10" max="10" width="12.13"/>
    <col customWidth="1" min="11" max="11" width="4.63"/>
    <col customWidth="1" min="12" max="12" width="2.5"/>
    <col customWidth="1" min="13" max="13" width="3.88"/>
    <col customWidth="1" min="15" max="15" width="4.63"/>
    <col customWidth="1" min="16" max="16" width="5.25"/>
    <col customWidth="1" min="17" max="17" width="16.0"/>
    <col customWidth="1" min="18" max="18" width="4.38"/>
    <col customWidth="1" min="22" max="22" width="5.75"/>
    <col customWidth="1" min="24" max="24" width="4.25"/>
  </cols>
  <sheetData>
    <row r="3">
      <c r="B3" s="205" t="s">
        <v>1694</v>
      </c>
    </row>
    <row r="4">
      <c r="Q4" s="152" t="s">
        <v>1698</v>
      </c>
    </row>
    <row r="5">
      <c r="Q5" s="153"/>
    </row>
    <row r="6">
      <c r="B6" s="179" t="s">
        <v>1699</v>
      </c>
      <c r="Q6" s="152" t="s">
        <v>1615</v>
      </c>
      <c r="U6" s="52" t="s">
        <v>1703</v>
      </c>
    </row>
    <row r="7">
      <c r="Q7" s="153"/>
      <c r="U7" s="2" t="s">
        <v>1705</v>
      </c>
    </row>
    <row r="8">
      <c r="Q8" s="152" t="s">
        <v>1706</v>
      </c>
      <c r="U8" s="2" t="s">
        <v>1707</v>
      </c>
    </row>
    <row r="9">
      <c r="B9" s="2" t="s">
        <v>1708</v>
      </c>
      <c r="Q9" s="152" t="s">
        <v>1709</v>
      </c>
      <c r="U9" s="2" t="s">
        <v>1710</v>
      </c>
    </row>
    <row r="10">
      <c r="Q10" s="152" t="s">
        <v>1711</v>
      </c>
      <c r="U10" s="2" t="s">
        <v>1712</v>
      </c>
    </row>
    <row r="11">
      <c r="Q11" s="153"/>
      <c r="U11" s="2" t="s">
        <v>1713</v>
      </c>
    </row>
    <row r="12">
      <c r="G12" s="2"/>
      <c r="H12" s="2"/>
      <c r="I12" s="2"/>
      <c r="J12" s="2" t="s">
        <v>1717</v>
      </c>
      <c r="K12" s="2">
        <v>100.0</v>
      </c>
      <c r="L12" s="8" t="s">
        <v>183</v>
      </c>
      <c r="M12" s="2">
        <v>300.0</v>
      </c>
      <c r="N12" s="2" t="s">
        <v>412</v>
      </c>
      <c r="Q12" s="152" t="s">
        <v>1718</v>
      </c>
      <c r="U12" s="2" t="s">
        <v>1719</v>
      </c>
    </row>
    <row r="13">
      <c r="G13" s="2"/>
      <c r="H13" s="2"/>
      <c r="I13" s="2"/>
      <c r="J13" s="2" t="s">
        <v>1721</v>
      </c>
      <c r="K13" s="2">
        <v>100.0</v>
      </c>
      <c r="L13" s="8" t="s">
        <v>183</v>
      </c>
      <c r="M13" s="2">
        <v>200.0</v>
      </c>
      <c r="N13" s="2" t="s">
        <v>1722</v>
      </c>
      <c r="Q13" s="153"/>
      <c r="U13" s="2" t="s">
        <v>1725</v>
      </c>
    </row>
    <row r="14">
      <c r="B14" s="2" t="s">
        <v>1629</v>
      </c>
      <c r="C14" s="2" t="s">
        <v>1630</v>
      </c>
      <c r="Q14" s="152" t="s">
        <v>1615</v>
      </c>
      <c r="U14" s="2" t="s">
        <v>1727</v>
      </c>
    </row>
    <row r="15">
      <c r="C15" s="2" t="s">
        <v>1633</v>
      </c>
      <c r="Q15" s="153"/>
      <c r="U15" s="2" t="s">
        <v>1728</v>
      </c>
    </row>
    <row r="16">
      <c r="D16" s="2" t="s">
        <v>739</v>
      </c>
      <c r="E16" s="2">
        <v>0.99</v>
      </c>
      <c r="K16" s="2" t="s">
        <v>1649</v>
      </c>
      <c r="Q16" s="152" t="s">
        <v>1732</v>
      </c>
      <c r="U16" s="2" t="s">
        <v>1733</v>
      </c>
    </row>
    <row r="17">
      <c r="E17" s="74">
        <f>10^-3*0.5*K17*(K19*10^3)^2</f>
        <v>0.0625</v>
      </c>
      <c r="F17" s="2" t="s">
        <v>265</v>
      </c>
      <c r="G17" s="5"/>
      <c r="H17" s="5"/>
      <c r="I17" s="5"/>
      <c r="J17" s="5" t="s">
        <v>1491</v>
      </c>
      <c r="K17" s="206">
        <v>5.0</v>
      </c>
      <c r="L17" s="2" t="s">
        <v>36</v>
      </c>
      <c r="N17">
        <f>K19*3</f>
        <v>0.015</v>
      </c>
      <c r="O17" s="2" t="s">
        <v>1503</v>
      </c>
      <c r="Q17" s="152" t="s">
        <v>1736</v>
      </c>
      <c r="U17" s="2" t="s">
        <v>1737</v>
      </c>
    </row>
    <row r="18">
      <c r="B18" s="2" t="s">
        <v>1657</v>
      </c>
      <c r="E18" s="38">
        <f>10^-6*0.5*K17*(K19*10^3)^2</f>
        <v>0.0000625</v>
      </c>
      <c r="F18" s="2" t="s">
        <v>43</v>
      </c>
      <c r="G18" s="5"/>
      <c r="H18" s="5"/>
      <c r="I18" s="5"/>
      <c r="J18" s="5" t="s">
        <v>1418</v>
      </c>
      <c r="K18" s="206">
        <v>1.5</v>
      </c>
      <c r="L18" s="2" t="s">
        <v>1399</v>
      </c>
      <c r="N18">
        <f>K17/18*N17^2</f>
        <v>0.0000625</v>
      </c>
      <c r="O18" s="2" t="s">
        <v>43</v>
      </c>
      <c r="Q18" s="152" t="s">
        <v>1741</v>
      </c>
      <c r="U18" s="2" t="s">
        <v>1742</v>
      </c>
    </row>
    <row r="19">
      <c r="E19" s="25">
        <f>E18/(PI()*K18^2)</f>
        <v>0.000008841941283</v>
      </c>
      <c r="F19" s="2" t="s">
        <v>1134</v>
      </c>
      <c r="G19" s="5"/>
      <c r="H19" s="5"/>
      <c r="I19" s="5"/>
      <c r="J19" s="5" t="s">
        <v>1498</v>
      </c>
      <c r="K19" s="206">
        <v>0.005</v>
      </c>
      <c r="L19" s="2" t="s">
        <v>87</v>
      </c>
      <c r="N19" s="38"/>
      <c r="U19" s="2" t="s">
        <v>1746</v>
      </c>
    </row>
    <row r="20">
      <c r="B20" s="2" t="s">
        <v>1675</v>
      </c>
      <c r="E20" s="25">
        <f>0.5 * (1/E16-1) * E18</f>
        <v>0.0000003156565657</v>
      </c>
      <c r="F20" s="2" t="s">
        <v>43</v>
      </c>
      <c r="G20" s="5"/>
      <c r="H20" s="5"/>
      <c r="I20" s="5"/>
      <c r="J20" s="5" t="s">
        <v>1418</v>
      </c>
      <c r="K20">
        <f>K18/100</f>
        <v>0.015</v>
      </c>
      <c r="M20" s="2" t="s">
        <v>189</v>
      </c>
    </row>
    <row r="21">
      <c r="B21" s="2" t="s">
        <v>1682</v>
      </c>
      <c r="E21" s="25">
        <f>100*E20/(K22*K17)</f>
        <v>0.000000140291807</v>
      </c>
      <c r="F21" s="2" t="s">
        <v>150</v>
      </c>
      <c r="G21" s="5"/>
      <c r="H21" s="5"/>
      <c r="I21" s="5"/>
      <c r="J21" s="5" t="s">
        <v>1498</v>
      </c>
      <c r="K21">
        <f>K19*10^3</f>
        <v>5</v>
      </c>
      <c r="M21" s="2" t="s">
        <v>201</v>
      </c>
    </row>
    <row r="22">
      <c r="B22" s="2" t="s">
        <v>1753</v>
      </c>
      <c r="E22" s="96">
        <f>E18*10^3/(K29*(K31)^2)</f>
        <v>0.000000009259259259</v>
      </c>
      <c r="F22" s="2" t="s">
        <v>600</v>
      </c>
      <c r="G22" s="5"/>
      <c r="H22" s="5"/>
      <c r="I22" s="5"/>
      <c r="J22" s="5" t="s">
        <v>1688</v>
      </c>
      <c r="K22" s="102">
        <v>45.0</v>
      </c>
      <c r="N22" s="2" t="s">
        <v>1470</v>
      </c>
    </row>
    <row r="23">
      <c r="B23" s="2" t="s">
        <v>1693</v>
      </c>
      <c r="E23" s="213">
        <f>E22/(PI()*K20^2)</f>
        <v>0.00001309917227</v>
      </c>
      <c r="F23" s="2" t="s">
        <v>189</v>
      </c>
      <c r="G23" s="5"/>
      <c r="H23" s="5"/>
      <c r="I23" s="5"/>
      <c r="J23" s="5" t="s">
        <v>13</v>
      </c>
      <c r="K23" s="102">
        <v>4500.0</v>
      </c>
      <c r="L23" s="2" t="s">
        <v>592</v>
      </c>
    </row>
    <row r="24">
      <c r="G24" s="5"/>
      <c r="H24" s="5"/>
      <c r="I24" s="5"/>
      <c r="J24" s="5" t="s">
        <v>1697</v>
      </c>
      <c r="K24" s="118">
        <f>K17/(K23* PI()*K20^2)</f>
        <v>1.571900673</v>
      </c>
      <c r="L24" s="2" t="s">
        <v>189</v>
      </c>
      <c r="N24" s="245">
        <f>K24</f>
        <v>1.571900673</v>
      </c>
      <c r="Q24">
        <f>1500*8</f>
        <v>12000</v>
      </c>
    </row>
    <row r="25">
      <c r="B25" s="2" t="s">
        <v>1702</v>
      </c>
      <c r="E25" s="74">
        <f>K32*E22*K33</f>
        <v>0.0000002777777778</v>
      </c>
      <c r="F25" s="2" t="s">
        <v>90</v>
      </c>
      <c r="G25" s="5"/>
      <c r="H25" s="5"/>
      <c r="I25" s="5"/>
      <c r="J25" s="5" t="s">
        <v>1704</v>
      </c>
      <c r="K25" s="74">
        <f>K24/(K20*2)</f>
        <v>52.39668908</v>
      </c>
    </row>
    <row r="26">
      <c r="Q26" s="3" t="s">
        <v>1761</v>
      </c>
      <c r="R26" s="2" t="s">
        <v>1762</v>
      </c>
    </row>
    <row r="27">
      <c r="K27" s="2" t="s">
        <v>1716</v>
      </c>
      <c r="Q27" s="3" t="s">
        <v>1763</v>
      </c>
      <c r="R27" s="2" t="s">
        <v>1764</v>
      </c>
    </row>
    <row r="28">
      <c r="B28" s="2" t="s">
        <v>1726</v>
      </c>
      <c r="E28">
        <f>K17*K19* 10^-3</f>
        <v>0.000025</v>
      </c>
      <c r="G28" s="5"/>
      <c r="H28" s="5"/>
      <c r="I28" s="5"/>
      <c r="J28" s="5" t="s">
        <v>1729</v>
      </c>
      <c r="K28" s="2">
        <v>400.0</v>
      </c>
      <c r="L28" s="2" t="s">
        <v>1730</v>
      </c>
      <c r="Q28" s="3" t="s">
        <v>1769</v>
      </c>
      <c r="R28" s="2" t="s">
        <v>1770</v>
      </c>
    </row>
    <row r="29">
      <c r="G29" s="5"/>
      <c r="H29" s="5"/>
      <c r="I29" s="5"/>
      <c r="J29" s="5" t="s">
        <v>412</v>
      </c>
      <c r="K29" s="102">
        <v>300.0</v>
      </c>
      <c r="L29" s="2" t="s">
        <v>1730</v>
      </c>
      <c r="N29" s="2" t="s">
        <v>1731</v>
      </c>
    </row>
    <row r="30">
      <c r="G30" s="5"/>
      <c r="H30" s="5"/>
      <c r="I30" s="5"/>
      <c r="J30" s="5" t="s">
        <v>1743</v>
      </c>
      <c r="K30" s="2">
        <v>200.0</v>
      </c>
      <c r="L30" s="2" t="s">
        <v>1744</v>
      </c>
      <c r="R30" s="52" t="s">
        <v>1772</v>
      </c>
      <c r="T30" s="52" t="s">
        <v>1773</v>
      </c>
      <c r="U30" s="52" t="s">
        <v>849</v>
      </c>
    </row>
    <row r="31">
      <c r="G31" s="5"/>
      <c r="H31" s="5"/>
      <c r="I31" s="5"/>
      <c r="J31" s="5" t="s">
        <v>1747</v>
      </c>
      <c r="K31" s="102">
        <v>150.0</v>
      </c>
      <c r="L31" s="2" t="s">
        <v>1744</v>
      </c>
      <c r="Q31" s="2" t="s">
        <v>1774</v>
      </c>
      <c r="R31" s="2">
        <v>0.5</v>
      </c>
      <c r="S31" s="2" t="s">
        <v>1775</v>
      </c>
      <c r="T31" s="2">
        <v>0.5</v>
      </c>
      <c r="U31" s="2">
        <v>0.7</v>
      </c>
    </row>
    <row r="32">
      <c r="G32" s="5"/>
      <c r="H32" s="5"/>
      <c r="I32" s="5"/>
      <c r="J32" s="5" t="s">
        <v>13</v>
      </c>
      <c r="K32" s="102">
        <v>300.0</v>
      </c>
      <c r="L32" s="2" t="s">
        <v>592</v>
      </c>
      <c r="Q32" s="2" t="s">
        <v>1774</v>
      </c>
      <c r="R32">
        <f>R31*1000*10^-6</f>
        <v>0.0005</v>
      </c>
      <c r="S32" s="2" t="s">
        <v>695</v>
      </c>
      <c r="T32">
        <f t="shared" ref="T32:U32" si="1">T31*1000*10^-6</f>
        <v>0.0005</v>
      </c>
      <c r="U32">
        <f t="shared" si="1"/>
        <v>0.0007</v>
      </c>
    </row>
    <row r="33">
      <c r="G33" s="5"/>
      <c r="H33" s="5"/>
      <c r="I33" s="5"/>
      <c r="J33" s="5" t="s">
        <v>1754</v>
      </c>
      <c r="K33" s="102">
        <v>0.1</v>
      </c>
      <c r="Q33" s="2" t="s">
        <v>1779</v>
      </c>
      <c r="R33" s="2">
        <v>1725.0</v>
      </c>
      <c r="S33" s="2" t="s">
        <v>1780</v>
      </c>
      <c r="T33" s="167">
        <v>4500.0</v>
      </c>
      <c r="U33" s="2">
        <v>3500.0</v>
      </c>
    </row>
    <row r="34">
      <c r="A34" s="2" t="s">
        <v>208</v>
      </c>
      <c r="G34" s="5"/>
      <c r="H34" s="5"/>
      <c r="I34" s="5"/>
      <c r="Q34" s="2" t="s">
        <v>1688</v>
      </c>
      <c r="R34" s="74">
        <f>R32*R33</f>
        <v>0.8625</v>
      </c>
      <c r="T34" s="74">
        <f t="shared" ref="T34:U34" si="2">T32*T33</f>
        <v>2.25</v>
      </c>
      <c r="U34" s="74">
        <f t="shared" si="2"/>
        <v>2.45</v>
      </c>
    </row>
    <row r="35">
      <c r="A35" s="6">
        <v>0.0</v>
      </c>
      <c r="B35" s="2" t="s">
        <v>1657</v>
      </c>
      <c r="E35" s="25">
        <f>10^-3*0.5*K36*(K38*10^3)^2</f>
        <v>5</v>
      </c>
      <c r="F35" s="2" t="s">
        <v>265</v>
      </c>
      <c r="G35" s="5"/>
      <c r="H35" s="5"/>
      <c r="I35" s="5"/>
      <c r="K35" s="2" t="s">
        <v>1781</v>
      </c>
    </row>
    <row r="36">
      <c r="A36" s="123"/>
      <c r="E36" s="25">
        <f>E35/(PI()*(K37/20)^2)</f>
        <v>20.30037539</v>
      </c>
      <c r="F36" s="2" t="s">
        <v>1409</v>
      </c>
      <c r="G36" s="5"/>
      <c r="H36" s="5"/>
      <c r="I36" s="5"/>
      <c r="J36" s="5" t="s">
        <v>1491</v>
      </c>
      <c r="K36" s="206">
        <v>0.01</v>
      </c>
      <c r="L36" s="2" t="s">
        <v>36</v>
      </c>
      <c r="N36">
        <f>K38*3</f>
        <v>3</v>
      </c>
      <c r="O36" s="2" t="s">
        <v>1503</v>
      </c>
    </row>
    <row r="37">
      <c r="A37" s="123"/>
      <c r="C37" s="2" t="s">
        <v>1786</v>
      </c>
      <c r="E37" s="25">
        <f>E35*1000/100</f>
        <v>50</v>
      </c>
      <c r="F37" s="2" t="s">
        <v>93</v>
      </c>
      <c r="G37" s="5"/>
      <c r="H37" s="5"/>
      <c r="I37" s="5"/>
      <c r="J37" s="248" t="s">
        <v>1787</v>
      </c>
      <c r="K37" s="249">
        <v>5.6</v>
      </c>
      <c r="L37" s="250" t="s">
        <v>1469</v>
      </c>
      <c r="N37">
        <f>K36/18*N36^2</f>
        <v>0.005</v>
      </c>
      <c r="O37" s="2" t="s">
        <v>43</v>
      </c>
      <c r="P37" s="179" t="s">
        <v>1793</v>
      </c>
    </row>
    <row r="38">
      <c r="A38" s="123"/>
      <c r="C38" s="2" t="s">
        <v>1799</v>
      </c>
      <c r="E38" s="141">
        <f>10^-3*E35/0.13</f>
        <v>0.03846153846</v>
      </c>
      <c r="F38" s="251" t="s">
        <v>1803</v>
      </c>
      <c r="H38" s="231">
        <f>E38/8</f>
        <v>0.004807692308</v>
      </c>
      <c r="I38" s="248" t="s">
        <v>1399</v>
      </c>
      <c r="J38" s="5" t="s">
        <v>1498</v>
      </c>
      <c r="K38" s="206">
        <v>1.0</v>
      </c>
      <c r="L38" s="2" t="s">
        <v>87</v>
      </c>
      <c r="N38" s="38">
        <f>E41/N36/sqrt(K36)</f>
        <v>5.869126769</v>
      </c>
      <c r="O38" s="2" t="s">
        <v>1809</v>
      </c>
      <c r="P38" s="2" t="s">
        <v>1810</v>
      </c>
      <c r="U38" s="2" t="s">
        <v>1811</v>
      </c>
      <c r="V38" s="2">
        <v>200.0</v>
      </c>
      <c r="W38" s="2" t="s">
        <v>496</v>
      </c>
    </row>
    <row r="39">
      <c r="A39" s="123"/>
      <c r="C39" s="2" t="s">
        <v>1814</v>
      </c>
      <c r="E39" s="38">
        <f>10^-3*E35/0.73</f>
        <v>0.006849315068</v>
      </c>
      <c r="F39" s="251" t="s">
        <v>1803</v>
      </c>
      <c r="H39" s="74">
        <f>E39/2</f>
        <v>0.003424657534</v>
      </c>
      <c r="I39" s="248" t="s">
        <v>1399</v>
      </c>
      <c r="J39" s="139" t="s">
        <v>1418</v>
      </c>
      <c r="K39" s="139">
        <f>K37/2000</f>
        <v>0.0028</v>
      </c>
      <c r="M39" s="2" t="s">
        <v>189</v>
      </c>
      <c r="Q39" s="2" t="s">
        <v>1817</v>
      </c>
      <c r="U39" s="2" t="s">
        <v>1818</v>
      </c>
      <c r="V39" s="2">
        <v>20.0</v>
      </c>
      <c r="W39" s="2" t="s">
        <v>265</v>
      </c>
    </row>
    <row r="40">
      <c r="A40" s="123"/>
      <c r="C40" s="2" t="s">
        <v>1820</v>
      </c>
      <c r="E40" s="252">
        <f>10^-3*E35/5.7</f>
        <v>0.0008771929825</v>
      </c>
      <c r="F40" s="251" t="s">
        <v>1803</v>
      </c>
      <c r="H40" s="74">
        <f>E40/3.5</f>
        <v>0.0002506265664</v>
      </c>
      <c r="I40" s="248" t="s">
        <v>1399</v>
      </c>
      <c r="J40" s="139" t="s">
        <v>1498</v>
      </c>
      <c r="K40" s="139">
        <f>K38*10^3</f>
        <v>1000</v>
      </c>
      <c r="M40" s="2" t="s">
        <v>201</v>
      </c>
      <c r="Q40" s="2" t="s">
        <v>1822</v>
      </c>
    </row>
    <row r="41">
      <c r="A41" s="123"/>
      <c r="C41" s="2" t="s">
        <v>1823</v>
      </c>
      <c r="E41" s="25">
        <f>100*( K38*1000*sqrt(K36) ) / (2400 * sqrt(K37))</f>
        <v>1.760738031</v>
      </c>
      <c r="F41" s="2" t="s">
        <v>1399</v>
      </c>
      <c r="G41" s="248" t="s">
        <v>1824</v>
      </c>
      <c r="H41" s="25">
        <f>E41*8</f>
        <v>14.08590425</v>
      </c>
      <c r="I41" s="251" t="s">
        <v>1803</v>
      </c>
      <c r="J41" s="5" t="s">
        <v>13</v>
      </c>
      <c r="K41" s="102">
        <v>10.0</v>
      </c>
      <c r="L41" s="2" t="s">
        <v>1083</v>
      </c>
      <c r="Q41" s="2" t="s">
        <v>1825</v>
      </c>
    </row>
    <row r="42">
      <c r="A42" s="123"/>
      <c r="C42" s="251" t="s">
        <v>1826</v>
      </c>
      <c r="E42" s="74">
        <f>100*( K38*1000*sqrt(K36) ) / (10000 * sqrt(K37))</f>
        <v>0.4225771274</v>
      </c>
      <c r="F42" s="2" t="s">
        <v>1399</v>
      </c>
      <c r="G42" s="248" t="s">
        <v>1824</v>
      </c>
      <c r="H42">
        <f>E42*2</f>
        <v>0.8451542547</v>
      </c>
      <c r="I42" s="251" t="s">
        <v>1803</v>
      </c>
      <c r="J42" s="5" t="s">
        <v>1697</v>
      </c>
      <c r="K42" s="67">
        <f>K36/(K41*10* PI()*K39^2)</f>
        <v>4.060075079</v>
      </c>
      <c r="L42" s="2" t="s">
        <v>1399</v>
      </c>
    </row>
    <row r="43">
      <c r="A43" s="123"/>
      <c r="G43" s="5"/>
      <c r="H43" s="5"/>
      <c r="I43" s="5"/>
      <c r="J43" s="5" t="s">
        <v>1704</v>
      </c>
      <c r="K43" s="25">
        <f>K42/(K37/10)</f>
        <v>7.250134069</v>
      </c>
    </row>
    <row r="44">
      <c r="A44" s="6"/>
      <c r="B44" s="2"/>
      <c r="E44" s="25"/>
      <c r="F44" s="2"/>
      <c r="G44" s="5"/>
      <c r="H44" s="5"/>
      <c r="I44" s="5"/>
      <c r="K44" s="2"/>
    </row>
    <row r="45">
      <c r="A45" s="6">
        <v>1.0</v>
      </c>
      <c r="B45" s="2" t="s">
        <v>1657</v>
      </c>
      <c r="E45" s="25">
        <f>10^-3*0.5*K46*(K48*10^3)^2</f>
        <v>56.25</v>
      </c>
      <c r="F45" s="2" t="s">
        <v>265</v>
      </c>
      <c r="G45" s="5"/>
      <c r="H45" s="5"/>
      <c r="I45" s="5"/>
      <c r="K45" s="2" t="s">
        <v>1830</v>
      </c>
    </row>
    <row r="46">
      <c r="A46" s="123"/>
      <c r="E46" s="25">
        <f>E45/(PI()*(K47/20)^2)</f>
        <v>71.61972439</v>
      </c>
      <c r="F46" s="2" t="s">
        <v>1409</v>
      </c>
      <c r="G46" s="5"/>
      <c r="H46" s="5"/>
      <c r="I46" s="5"/>
      <c r="J46" s="5" t="s">
        <v>1491</v>
      </c>
      <c r="K46" s="206">
        <v>0.05</v>
      </c>
      <c r="L46" s="2" t="s">
        <v>36</v>
      </c>
      <c r="N46">
        <f>K48*3</f>
        <v>4.5</v>
      </c>
      <c r="O46" s="2" t="s">
        <v>1503</v>
      </c>
      <c r="Q46" s="2" t="s">
        <v>1831</v>
      </c>
      <c r="R46" s="2">
        <v>19.0</v>
      </c>
      <c r="S46" s="2" t="s">
        <v>1083</v>
      </c>
    </row>
    <row r="47">
      <c r="A47" s="123"/>
      <c r="C47" s="2" t="s">
        <v>1786</v>
      </c>
      <c r="E47" s="25">
        <f>E45*1000/100</f>
        <v>562.5</v>
      </c>
      <c r="F47" s="2" t="s">
        <v>93</v>
      </c>
      <c r="G47" s="5"/>
      <c r="H47" s="5"/>
      <c r="I47" s="5"/>
      <c r="J47" s="248" t="s">
        <v>1787</v>
      </c>
      <c r="K47" s="249">
        <v>10.0</v>
      </c>
      <c r="L47" s="250" t="s">
        <v>1469</v>
      </c>
      <c r="N47">
        <f>K46/18*N46^2</f>
        <v>0.05625</v>
      </c>
      <c r="O47" s="2" t="s">
        <v>43</v>
      </c>
    </row>
    <row r="48">
      <c r="A48" s="123"/>
      <c r="C48" s="2" t="s">
        <v>1799</v>
      </c>
      <c r="E48" s="141">
        <f>10^-3*E45/0.13</f>
        <v>0.4326923077</v>
      </c>
      <c r="F48" s="251" t="s">
        <v>1803</v>
      </c>
      <c r="H48" s="231">
        <f>E48/8</f>
        <v>0.05408653846</v>
      </c>
      <c r="I48" s="248" t="s">
        <v>1399</v>
      </c>
      <c r="J48" s="5" t="s">
        <v>1498</v>
      </c>
      <c r="K48" s="206">
        <v>1.5</v>
      </c>
      <c r="L48" s="2" t="s">
        <v>87</v>
      </c>
      <c r="N48" s="38">
        <f>E51/N46/sqrt(K46)</f>
        <v>4.392052306</v>
      </c>
      <c r="O48" s="2" t="s">
        <v>1809</v>
      </c>
      <c r="Q48" s="2" t="s">
        <v>1514</v>
      </c>
      <c r="R48" s="2">
        <v>8.0</v>
      </c>
      <c r="S48" s="2" t="s">
        <v>1083</v>
      </c>
    </row>
    <row r="49">
      <c r="A49" s="123"/>
      <c r="C49" s="2" t="s">
        <v>1814</v>
      </c>
      <c r="E49" s="38">
        <f>10^-3*E45/0.73</f>
        <v>0.07705479452</v>
      </c>
      <c r="F49" s="251" t="s">
        <v>1803</v>
      </c>
      <c r="H49" s="74">
        <f>E49/2</f>
        <v>0.03852739726</v>
      </c>
      <c r="I49" s="248" t="s">
        <v>1399</v>
      </c>
      <c r="J49" s="139" t="s">
        <v>1418</v>
      </c>
      <c r="K49" s="139">
        <f>K47/2000</f>
        <v>0.005</v>
      </c>
      <c r="M49" s="2" t="s">
        <v>189</v>
      </c>
      <c r="Q49" s="2" t="s">
        <v>1834</v>
      </c>
      <c r="R49" s="2">
        <v>4.5</v>
      </c>
      <c r="S49" s="2" t="s">
        <v>1083</v>
      </c>
    </row>
    <row r="50">
      <c r="A50" s="123"/>
      <c r="C50" s="2" t="s">
        <v>1820</v>
      </c>
      <c r="E50" s="252">
        <f>10^-3*E45/5.7</f>
        <v>0.009868421053</v>
      </c>
      <c r="F50" s="251" t="s">
        <v>1803</v>
      </c>
      <c r="H50" s="74">
        <f>E50/3.5</f>
        <v>0.002819548872</v>
      </c>
      <c r="I50" s="248" t="s">
        <v>1399</v>
      </c>
      <c r="J50" s="139" t="s">
        <v>1498</v>
      </c>
      <c r="K50" s="139">
        <f>K48*10^3</f>
        <v>1500</v>
      </c>
      <c r="M50" s="2" t="s">
        <v>201</v>
      </c>
    </row>
    <row r="51">
      <c r="A51" s="123"/>
      <c r="C51" s="2" t="s">
        <v>1823</v>
      </c>
      <c r="E51" s="25">
        <f>100*( K48*1000*sqrt(K46) ) / (2400 * sqrt(K47))</f>
        <v>4.419417382</v>
      </c>
      <c r="F51" s="2" t="s">
        <v>1399</v>
      </c>
      <c r="G51" s="248" t="s">
        <v>1824</v>
      </c>
      <c r="H51" s="25">
        <f>E51*8</f>
        <v>35.35533906</v>
      </c>
      <c r="I51" s="251" t="s">
        <v>1803</v>
      </c>
      <c r="J51" s="5" t="s">
        <v>13</v>
      </c>
      <c r="K51" s="102">
        <v>10.0</v>
      </c>
      <c r="L51" s="2" t="s">
        <v>1083</v>
      </c>
    </row>
    <row r="52">
      <c r="A52" s="123"/>
      <c r="B52" s="1"/>
      <c r="C52" s="251" t="s">
        <v>1826</v>
      </c>
      <c r="E52" s="25">
        <f>100*( K48*1000*sqrt(K46) ) / (10000 * sqrt(K47))</f>
        <v>1.060660172</v>
      </c>
      <c r="F52" s="2" t="s">
        <v>1399</v>
      </c>
      <c r="G52" s="248" t="s">
        <v>1824</v>
      </c>
      <c r="H52" s="74">
        <f>E52*2</f>
        <v>2.121320344</v>
      </c>
      <c r="I52" s="251" t="s">
        <v>1803</v>
      </c>
      <c r="J52" s="5" t="s">
        <v>1697</v>
      </c>
      <c r="K52" s="67">
        <f>K46/(K51*10* PI()*K49^2)</f>
        <v>6.366197724</v>
      </c>
      <c r="L52" s="2" t="s">
        <v>1399</v>
      </c>
      <c r="O52" s="74">
        <f>100*( K49*1000*sqrt(K47) ) / (2400 * sqrt(K48))</f>
        <v>0.5379143536</v>
      </c>
      <c r="P52" s="205" t="s">
        <v>1839</v>
      </c>
    </row>
    <row r="53">
      <c r="B53" s="1"/>
      <c r="C53" s="2" t="s">
        <v>1842</v>
      </c>
      <c r="D53" s="1"/>
      <c r="E53" s="121">
        <f>100*( K48*1000*sqrt(K46) ) / (25000 * sqrt(K47))</f>
        <v>0.4242640687</v>
      </c>
      <c r="F53" s="2" t="s">
        <v>1399</v>
      </c>
      <c r="G53" s="139"/>
      <c r="H53" s="139"/>
      <c r="I53" s="139"/>
      <c r="J53" s="5" t="s">
        <v>1704</v>
      </c>
      <c r="K53" s="25">
        <f>K52/(K47/10)</f>
        <v>6.366197724</v>
      </c>
    </row>
    <row r="54">
      <c r="A54" s="6"/>
      <c r="B54" s="253"/>
      <c r="C54" s="1"/>
      <c r="D54" s="1"/>
      <c r="E54" s="231"/>
      <c r="F54" s="1"/>
      <c r="G54" s="139"/>
      <c r="H54" s="139"/>
      <c r="I54" s="139"/>
      <c r="J54" s="1"/>
      <c r="K54" s="251"/>
      <c r="L54" s="1"/>
    </row>
    <row r="55">
      <c r="A55" s="6">
        <v>2.0</v>
      </c>
      <c r="B55" s="253" t="s">
        <v>1657</v>
      </c>
      <c r="C55" s="1"/>
      <c r="D55" s="1"/>
      <c r="E55" s="231">
        <f>10^-6*0.5*K56*(K58*10^3)^2</f>
        <v>0.45</v>
      </c>
      <c r="F55" s="1" t="s">
        <v>43</v>
      </c>
      <c r="G55" s="139"/>
      <c r="H55" s="139"/>
      <c r="I55" s="139"/>
      <c r="J55" s="1"/>
      <c r="K55" s="251" t="s">
        <v>1844</v>
      </c>
      <c r="L55" s="1"/>
    </row>
    <row r="56">
      <c r="A56" s="123"/>
      <c r="B56" s="1"/>
      <c r="C56" s="1"/>
      <c r="D56" s="1"/>
      <c r="E56" s="38">
        <f>E55/(PI()*(K57/20)^2)</f>
        <v>0.1432394488</v>
      </c>
      <c r="F56" s="2" t="s">
        <v>1134</v>
      </c>
      <c r="G56" s="139"/>
      <c r="H56" s="139"/>
      <c r="I56" s="139"/>
      <c r="J56" s="139" t="s">
        <v>1491</v>
      </c>
      <c r="K56" s="249">
        <v>0.4</v>
      </c>
      <c r="L56" s="1" t="s">
        <v>36</v>
      </c>
      <c r="N56">
        <f>K58*3</f>
        <v>4.5</v>
      </c>
      <c r="O56" s="2" t="s">
        <v>1503</v>
      </c>
      <c r="P56" s="2" t="s">
        <v>1845</v>
      </c>
    </row>
    <row r="57">
      <c r="A57" s="123"/>
      <c r="B57" s="1"/>
      <c r="C57" s="2" t="s">
        <v>1799</v>
      </c>
      <c r="E57" s="26">
        <f>E55/0.13</f>
        <v>3.461538462</v>
      </c>
      <c r="F57" s="251" t="s">
        <v>1803</v>
      </c>
      <c r="G57" s="248" t="s">
        <v>1824</v>
      </c>
      <c r="H57" s="231">
        <f>E57/8</f>
        <v>0.4326923077</v>
      </c>
      <c r="I57" s="248" t="s">
        <v>1399</v>
      </c>
      <c r="J57" s="248" t="s">
        <v>1787</v>
      </c>
      <c r="K57" s="249">
        <v>20.0</v>
      </c>
      <c r="L57" s="250" t="s">
        <v>1469</v>
      </c>
      <c r="N57">
        <f>K56/18*N56^2</f>
        <v>0.45</v>
      </c>
      <c r="O57" s="2" t="s">
        <v>43</v>
      </c>
      <c r="Q57" s="2" t="s">
        <v>1847</v>
      </c>
      <c r="T57" s="2" t="s">
        <v>1848</v>
      </c>
    </row>
    <row r="58">
      <c r="A58" s="123"/>
      <c r="B58" s="1"/>
      <c r="C58" s="2" t="s">
        <v>1814</v>
      </c>
      <c r="E58" s="25">
        <f>E55/0.73</f>
        <v>0.6164383562</v>
      </c>
      <c r="F58" s="251" t="s">
        <v>1803</v>
      </c>
      <c r="G58" s="248" t="s">
        <v>1824</v>
      </c>
      <c r="H58" s="74">
        <f>E58/2</f>
        <v>0.3082191781</v>
      </c>
      <c r="I58" s="248" t="s">
        <v>1399</v>
      </c>
      <c r="J58" s="139" t="s">
        <v>1498</v>
      </c>
      <c r="K58" s="249">
        <v>1.5</v>
      </c>
      <c r="L58" s="253" t="s">
        <v>87</v>
      </c>
      <c r="N58" s="38">
        <f>E61/N56/sqrt(K56)</f>
        <v>0.7453559925</v>
      </c>
      <c r="O58" s="2" t="s">
        <v>1809</v>
      </c>
      <c r="Q58" s="2" t="s">
        <v>1849</v>
      </c>
    </row>
    <row r="59">
      <c r="A59" s="123"/>
      <c r="C59" s="2" t="s">
        <v>1820</v>
      </c>
      <c r="E59" s="87">
        <f>E55/5.7</f>
        <v>0.07894736842</v>
      </c>
      <c r="F59" s="251" t="s">
        <v>1803</v>
      </c>
      <c r="G59" s="248" t="s">
        <v>1824</v>
      </c>
      <c r="H59" s="74">
        <f>E59/3.5</f>
        <v>0.02255639098</v>
      </c>
      <c r="I59" s="248" t="s">
        <v>1399</v>
      </c>
      <c r="J59" s="139" t="s">
        <v>1418</v>
      </c>
      <c r="K59" s="139">
        <f>K57/2000</f>
        <v>0.01</v>
      </c>
      <c r="M59" s="2" t="s">
        <v>189</v>
      </c>
      <c r="Q59" s="2" t="s">
        <v>1851</v>
      </c>
      <c r="R59" s="2">
        <v>2500.0</v>
      </c>
    </row>
    <row r="60">
      <c r="A60" s="123"/>
      <c r="C60" s="2" t="s">
        <v>1823</v>
      </c>
      <c r="E60" s="25">
        <f>100*( K58*1000*sqrt(K56) ) / (2400 * sqrt(K57))</f>
        <v>8.838834765</v>
      </c>
      <c r="F60" s="2" t="s">
        <v>1399</v>
      </c>
      <c r="G60" s="248" t="s">
        <v>1824</v>
      </c>
      <c r="H60" s="25">
        <f>E60*8</f>
        <v>70.71067812</v>
      </c>
      <c r="I60" s="251" t="s">
        <v>1803</v>
      </c>
      <c r="J60" s="139" t="s">
        <v>1498</v>
      </c>
      <c r="K60" s="139">
        <f>K58*10^3</f>
        <v>1500</v>
      </c>
      <c r="M60" s="2" t="s">
        <v>201</v>
      </c>
      <c r="Q60" s="2" t="s">
        <v>1852</v>
      </c>
    </row>
    <row r="61">
      <c r="A61" s="123"/>
      <c r="B61" s="1"/>
      <c r="C61" s="251" t="s">
        <v>1826</v>
      </c>
      <c r="D61" s="1"/>
      <c r="E61" s="26">
        <f>100*( K58*1000*sqrt(K56) ) / (10000 * sqrt(K57))</f>
        <v>2.121320344</v>
      </c>
      <c r="F61" s="2" t="s">
        <v>1399</v>
      </c>
      <c r="G61" s="248" t="s">
        <v>1824</v>
      </c>
      <c r="H61" s="25">
        <f>E61*2</f>
        <v>4.242640687</v>
      </c>
      <c r="I61" s="251" t="s">
        <v>1803</v>
      </c>
      <c r="J61" s="5" t="s">
        <v>13</v>
      </c>
      <c r="K61" s="102">
        <v>10.0</v>
      </c>
      <c r="L61" s="2" t="s">
        <v>1083</v>
      </c>
    </row>
    <row r="62">
      <c r="A62" s="123"/>
      <c r="B62" s="1"/>
      <c r="C62" s="2" t="s">
        <v>1842</v>
      </c>
      <c r="E62" s="74">
        <f>100*( K58*1000*sqrt(K56) ) / (25000 * sqrt(K57))</f>
        <v>0.8485281374</v>
      </c>
      <c r="F62" s="2" t="s">
        <v>1399</v>
      </c>
      <c r="G62" s="248" t="s">
        <v>1824</v>
      </c>
      <c r="H62" s="25">
        <f>E62*3.5</f>
        <v>2.969848481</v>
      </c>
      <c r="I62" s="251" t="s">
        <v>1803</v>
      </c>
      <c r="J62" s="5" t="s">
        <v>1697</v>
      </c>
      <c r="K62" s="67">
        <f>K56/(K61*10* PI()*K59^2)</f>
        <v>12.73239545</v>
      </c>
      <c r="L62" s="2" t="s">
        <v>1399</v>
      </c>
    </row>
    <row r="63">
      <c r="A63" s="123"/>
      <c r="B63" s="1"/>
      <c r="C63" s="1"/>
      <c r="D63" s="1"/>
      <c r="E63" s="1"/>
      <c r="F63" s="1"/>
      <c r="G63" s="139"/>
      <c r="H63" s="139"/>
      <c r="I63" s="139"/>
      <c r="J63" s="5" t="s">
        <v>1704</v>
      </c>
      <c r="K63" s="25">
        <f>K62/(K57/10)</f>
        <v>6.366197724</v>
      </c>
      <c r="L63" s="1"/>
    </row>
    <row r="64">
      <c r="A64" s="6"/>
      <c r="B64" s="253"/>
      <c r="C64" s="1"/>
      <c r="D64" s="1"/>
      <c r="E64" s="140"/>
      <c r="F64" s="1"/>
      <c r="G64" s="139"/>
      <c r="H64" s="139"/>
      <c r="I64" s="139"/>
      <c r="J64" s="1"/>
      <c r="K64" s="251"/>
      <c r="L64" s="1"/>
      <c r="T64" s="1"/>
      <c r="U64" s="1"/>
      <c r="V64" s="1"/>
      <c r="W64" s="1"/>
      <c r="X64" s="251"/>
      <c r="Y64" s="1"/>
    </row>
    <row r="65">
      <c r="A65" s="6">
        <v>3.0</v>
      </c>
      <c r="B65" s="253" t="s">
        <v>1657</v>
      </c>
      <c r="C65" s="1"/>
      <c r="D65" s="1"/>
      <c r="E65" s="140">
        <f>10^-6*0.5*K66*(K68*10^3)^2</f>
        <v>4.5</v>
      </c>
      <c r="F65" s="1" t="s">
        <v>43</v>
      </c>
      <c r="G65" s="139"/>
      <c r="H65" s="139"/>
      <c r="I65" s="139"/>
      <c r="J65" s="1"/>
      <c r="K65" s="251" t="s">
        <v>1857</v>
      </c>
      <c r="L65" s="1"/>
      <c r="T65" s="1"/>
      <c r="U65" s="1"/>
      <c r="V65" s="1"/>
      <c r="W65" s="1"/>
      <c r="X65" s="251" t="s">
        <v>1858</v>
      </c>
      <c r="Y65" s="1"/>
    </row>
    <row r="66">
      <c r="B66" s="1"/>
      <c r="C66" s="1"/>
      <c r="D66" s="1"/>
      <c r="E66" s="38">
        <f>E65/(PI()*(K67/20)^2)</f>
        <v>0.358098622</v>
      </c>
      <c r="F66" s="2" t="s">
        <v>1134</v>
      </c>
      <c r="G66" s="139"/>
      <c r="H66" s="139"/>
      <c r="I66" s="139"/>
      <c r="J66" s="139" t="s">
        <v>1491</v>
      </c>
      <c r="K66" s="249">
        <v>1.0</v>
      </c>
      <c r="L66" s="1" t="s">
        <v>36</v>
      </c>
      <c r="N66">
        <f>K68*3</f>
        <v>9</v>
      </c>
      <c r="O66" s="2" t="s">
        <v>1503</v>
      </c>
      <c r="P66" s="1"/>
      <c r="Q66" s="1"/>
      <c r="R66" s="1"/>
      <c r="S66" s="1"/>
      <c r="T66" s="139"/>
      <c r="U66" s="139"/>
      <c r="V66" s="139"/>
      <c r="W66" s="139" t="s">
        <v>1491</v>
      </c>
      <c r="X66" s="249">
        <v>1.43</v>
      </c>
      <c r="Y66" s="1" t="s">
        <v>36</v>
      </c>
    </row>
    <row r="67">
      <c r="B67" s="1"/>
      <c r="C67" s="2" t="s">
        <v>1799</v>
      </c>
      <c r="E67" s="26">
        <f>E65/0.13</f>
        <v>34.61538462</v>
      </c>
      <c r="F67" s="251" t="s">
        <v>1803</v>
      </c>
      <c r="G67" s="248" t="s">
        <v>1824</v>
      </c>
      <c r="H67" s="140">
        <f>E67/8</f>
        <v>4.326923077</v>
      </c>
      <c r="I67" s="248" t="s">
        <v>1399</v>
      </c>
      <c r="J67" s="248" t="s">
        <v>1787</v>
      </c>
      <c r="K67" s="249">
        <v>40.0</v>
      </c>
      <c r="L67" s="250" t="s">
        <v>1469</v>
      </c>
      <c r="N67">
        <f>K66/18*N66^2</f>
        <v>4.5</v>
      </c>
      <c r="O67" s="2" t="s">
        <v>43</v>
      </c>
      <c r="P67" s="1"/>
      <c r="Q67" s="1"/>
      <c r="R67" s="140">
        <f>10^-6*0.5*X66*(X68*10^3)^2</f>
        <v>0.412984</v>
      </c>
      <c r="S67" s="1" t="s">
        <v>43</v>
      </c>
      <c r="T67" s="139"/>
      <c r="U67" s="139"/>
      <c r="V67" s="139"/>
      <c r="W67" s="248" t="s">
        <v>1787</v>
      </c>
      <c r="X67" s="249">
        <v>45.0</v>
      </c>
      <c r="Y67" s="250" t="s">
        <v>1469</v>
      </c>
    </row>
    <row r="68">
      <c r="B68" s="1"/>
      <c r="C68" s="2" t="s">
        <v>1814</v>
      </c>
      <c r="E68" s="25">
        <f>E65/0.73</f>
        <v>6.164383562</v>
      </c>
      <c r="F68" s="251" t="s">
        <v>1803</v>
      </c>
      <c r="G68" s="248" t="s">
        <v>1824</v>
      </c>
      <c r="H68" s="74">
        <f>E68/2</f>
        <v>3.082191781</v>
      </c>
      <c r="I68" s="248" t="s">
        <v>1399</v>
      </c>
      <c r="J68" s="139" t="s">
        <v>1498</v>
      </c>
      <c r="K68" s="249">
        <v>3.0</v>
      </c>
      <c r="L68" s="253" t="s">
        <v>87</v>
      </c>
      <c r="N68" s="38">
        <f>E71/N66/sqrt(K66)</f>
        <v>0.5270462767</v>
      </c>
      <c r="O68" s="2" t="s">
        <v>1809</v>
      </c>
      <c r="Q68" s="1"/>
      <c r="R68" s="38">
        <f>R67/(PI()*X67^2)</f>
        <v>0.00006491698273</v>
      </c>
      <c r="S68" s="2" t="s">
        <v>1409</v>
      </c>
      <c r="T68" s="139"/>
      <c r="U68" s="139"/>
      <c r="V68" s="139"/>
      <c r="W68" s="139" t="s">
        <v>1498</v>
      </c>
      <c r="X68" s="249">
        <v>0.76</v>
      </c>
      <c r="Y68" s="253" t="s">
        <v>87</v>
      </c>
    </row>
    <row r="69">
      <c r="C69" s="2" t="s">
        <v>1820</v>
      </c>
      <c r="E69" s="87">
        <f>E65/5.7</f>
        <v>0.7894736842</v>
      </c>
      <c r="F69" s="251" t="s">
        <v>1803</v>
      </c>
      <c r="G69" s="248" t="s">
        <v>1824</v>
      </c>
      <c r="H69" s="74">
        <f>E69/3.5</f>
        <v>0.2255639098</v>
      </c>
      <c r="I69" s="248" t="s">
        <v>1399</v>
      </c>
      <c r="J69" s="139" t="s">
        <v>1418</v>
      </c>
      <c r="K69" s="139">
        <f>K67/2000</f>
        <v>0.02</v>
      </c>
      <c r="M69" s="2" t="s">
        <v>189</v>
      </c>
      <c r="P69" s="2" t="s">
        <v>1799</v>
      </c>
      <c r="R69" s="26">
        <f>R67/0.13</f>
        <v>3.1768</v>
      </c>
      <c r="S69" s="251" t="s">
        <v>1803</v>
      </c>
      <c r="T69" s="248" t="s">
        <v>1824</v>
      </c>
      <c r="U69" s="140">
        <f>R69/8</f>
        <v>0.3971</v>
      </c>
      <c r="V69" s="248" t="s">
        <v>1399</v>
      </c>
      <c r="W69" s="139" t="s">
        <v>1418</v>
      </c>
      <c r="X69" s="139">
        <f>X67/2000</f>
        <v>0.0225</v>
      </c>
      <c r="Z69" s="2" t="s">
        <v>189</v>
      </c>
    </row>
    <row r="70">
      <c r="C70" s="2" t="s">
        <v>1867</v>
      </c>
      <c r="E70" s="25">
        <f>100*( K68*1000*sqrt(K66) ) / (2400 * sqrt(K67))</f>
        <v>19.76423538</v>
      </c>
      <c r="F70" s="2" t="s">
        <v>1399</v>
      </c>
      <c r="G70" s="248" t="s">
        <v>1824</v>
      </c>
      <c r="H70" s="25">
        <f>E70*8</f>
        <v>158.113883</v>
      </c>
      <c r="I70" s="251" t="s">
        <v>1803</v>
      </c>
      <c r="J70" s="139" t="s">
        <v>1498</v>
      </c>
      <c r="K70" s="139">
        <f>K68*10^3</f>
        <v>3000</v>
      </c>
      <c r="M70" s="2" t="s">
        <v>201</v>
      </c>
      <c r="P70" s="2" t="s">
        <v>1871</v>
      </c>
      <c r="R70" s="25">
        <f>R67/0.04</f>
        <v>10.3246</v>
      </c>
      <c r="S70" s="251" t="s">
        <v>1803</v>
      </c>
      <c r="T70" s="248" t="s">
        <v>1824</v>
      </c>
      <c r="U70" s="25">
        <f>R70/2</f>
        <v>5.1623</v>
      </c>
      <c r="V70" s="248" t="s">
        <v>1399</v>
      </c>
      <c r="W70" s="139" t="s">
        <v>1498</v>
      </c>
      <c r="X70" s="139">
        <f>X68*10^3</f>
        <v>760</v>
      </c>
      <c r="Z70" s="2" t="s">
        <v>201</v>
      </c>
    </row>
    <row r="71">
      <c r="B71" s="1"/>
      <c r="C71" s="251" t="s">
        <v>1826</v>
      </c>
      <c r="D71" s="1"/>
      <c r="E71" s="26">
        <f>100*( K68*1000*sqrt(K66) ) / (10000 * sqrt(K67))</f>
        <v>4.74341649</v>
      </c>
      <c r="F71" s="2" t="s">
        <v>1399</v>
      </c>
      <c r="G71" s="248" t="s">
        <v>1824</v>
      </c>
      <c r="H71" s="25">
        <f>E71*2</f>
        <v>9.486832981</v>
      </c>
      <c r="I71" s="251" t="s">
        <v>1803</v>
      </c>
      <c r="J71" s="5" t="s">
        <v>13</v>
      </c>
      <c r="K71" s="102">
        <v>5.0</v>
      </c>
      <c r="L71" s="2" t="s">
        <v>1083</v>
      </c>
      <c r="P71" s="2" t="s">
        <v>1820</v>
      </c>
      <c r="R71" s="2">
        <f>R67/2.5</f>
        <v>0.1651936</v>
      </c>
      <c r="S71" s="251" t="s">
        <v>1803</v>
      </c>
      <c r="T71" s="248" t="s">
        <v>1824</v>
      </c>
      <c r="U71" s="74">
        <f>R71/3.5</f>
        <v>0.04719817143</v>
      </c>
      <c r="V71" s="248" t="s">
        <v>1399</v>
      </c>
      <c r="W71" s="5" t="s">
        <v>13</v>
      </c>
      <c r="X71" s="102">
        <v>10.0</v>
      </c>
      <c r="Y71" s="2" t="s">
        <v>1083</v>
      </c>
    </row>
    <row r="72">
      <c r="B72" s="1"/>
      <c r="C72" s="2" t="s">
        <v>1842</v>
      </c>
      <c r="E72" s="74">
        <f>100*( K68*1000*sqrt(K66) ) / (25000 * sqrt(K67))</f>
        <v>1.897366596</v>
      </c>
      <c r="F72" s="2" t="s">
        <v>1399</v>
      </c>
      <c r="G72" s="248" t="s">
        <v>1824</v>
      </c>
      <c r="H72" s="25">
        <f>E72*3.5</f>
        <v>6.640783086</v>
      </c>
      <c r="I72" s="251" t="s">
        <v>1803</v>
      </c>
      <c r="J72" s="5" t="s">
        <v>1697</v>
      </c>
      <c r="K72" s="67">
        <f>K66/(K71*10* PI()*K69^2)</f>
        <v>15.91549431</v>
      </c>
      <c r="L72" s="2" t="s">
        <v>1399</v>
      </c>
      <c r="P72" s="2" t="s">
        <v>1823</v>
      </c>
      <c r="R72" s="74">
        <f>100*( X68*1000*sqrt(X66) ) / (2400 * sqrt(X67))</f>
        <v>5.64500216</v>
      </c>
      <c r="S72" s="2" t="s">
        <v>1399</v>
      </c>
      <c r="W72" s="5" t="s">
        <v>1697</v>
      </c>
      <c r="X72" s="67">
        <f>1000*X66/(X71* PI()*(X67/10)^2)</f>
        <v>2.247817962</v>
      </c>
      <c r="Y72" s="2" t="s">
        <v>1399</v>
      </c>
    </row>
    <row r="73">
      <c r="B73" s="1"/>
      <c r="C73" s="1"/>
      <c r="D73" s="1"/>
      <c r="E73" s="1"/>
      <c r="F73" s="1"/>
      <c r="G73" s="139"/>
      <c r="H73" s="139"/>
      <c r="I73" s="139"/>
      <c r="J73" s="5" t="s">
        <v>1704</v>
      </c>
      <c r="K73" s="25">
        <f>K72/(K67/10)</f>
        <v>3.978873577</v>
      </c>
    </row>
    <row r="74">
      <c r="A74" s="6">
        <v>4.0</v>
      </c>
      <c r="B74" s="253" t="s">
        <v>1657</v>
      </c>
      <c r="C74" s="1"/>
      <c r="D74" s="1"/>
      <c r="E74" s="140">
        <f>10^-6*0.5*K75*(K77*10^3)^2</f>
        <v>22.5</v>
      </c>
      <c r="F74" s="1" t="s">
        <v>43</v>
      </c>
      <c r="G74" s="139"/>
      <c r="H74" s="139"/>
      <c r="I74" s="139"/>
      <c r="J74" s="1"/>
      <c r="K74" s="251" t="s">
        <v>1877</v>
      </c>
      <c r="L74" s="1"/>
    </row>
    <row r="75">
      <c r="B75" s="1"/>
      <c r="C75" s="1"/>
      <c r="D75" s="1"/>
      <c r="E75" s="38">
        <f>E74/(PI()*(K76/20)^2)</f>
        <v>1.14591559</v>
      </c>
      <c r="F75" s="2" t="s">
        <v>1134</v>
      </c>
      <c r="G75" s="139"/>
      <c r="H75" s="139"/>
      <c r="I75" s="139"/>
      <c r="J75" s="139" t="s">
        <v>1491</v>
      </c>
      <c r="K75" s="249">
        <v>5.0</v>
      </c>
      <c r="L75" s="1" t="s">
        <v>36</v>
      </c>
      <c r="N75">
        <f>K77*3</f>
        <v>9</v>
      </c>
      <c r="O75" s="2" t="s">
        <v>1503</v>
      </c>
    </row>
    <row r="76">
      <c r="B76" s="1"/>
      <c r="C76" s="2" t="s">
        <v>1799</v>
      </c>
      <c r="E76" s="26">
        <f>E74/0.13</f>
        <v>173.0769231</v>
      </c>
      <c r="F76" s="251" t="s">
        <v>1803</v>
      </c>
      <c r="G76" s="139"/>
      <c r="H76" s="140">
        <f>E76/8</f>
        <v>21.63461538</v>
      </c>
      <c r="I76" s="248" t="s">
        <v>1399</v>
      </c>
      <c r="J76" s="248" t="s">
        <v>1787</v>
      </c>
      <c r="K76" s="249">
        <v>50.0</v>
      </c>
      <c r="L76" s="250" t="s">
        <v>1469</v>
      </c>
      <c r="N76">
        <f>K75/18*N75^2</f>
        <v>22.5</v>
      </c>
      <c r="O76" s="2" t="s">
        <v>43</v>
      </c>
    </row>
    <row r="77">
      <c r="B77" s="1"/>
      <c r="C77" s="2" t="s">
        <v>1814</v>
      </c>
      <c r="E77" s="25">
        <f>E74/0.73</f>
        <v>30.82191781</v>
      </c>
      <c r="F77" s="251" t="s">
        <v>1803</v>
      </c>
      <c r="G77" s="139"/>
      <c r="H77" s="25">
        <f>E77/2</f>
        <v>15.4109589</v>
      </c>
      <c r="I77" s="248" t="s">
        <v>1399</v>
      </c>
      <c r="J77" s="139" t="s">
        <v>1498</v>
      </c>
      <c r="K77" s="249">
        <v>3.0</v>
      </c>
      <c r="L77" s="253" t="s">
        <v>87</v>
      </c>
      <c r="N77" s="38">
        <f>E80/N75</f>
        <v>1.054092553</v>
      </c>
      <c r="O77" s="2" t="s">
        <v>1878</v>
      </c>
    </row>
    <row r="78">
      <c r="C78" s="2" t="s">
        <v>1820</v>
      </c>
      <c r="E78" s="87">
        <f>E74/5.7</f>
        <v>3.947368421</v>
      </c>
      <c r="F78" s="251" t="s">
        <v>1803</v>
      </c>
      <c r="H78" s="74">
        <f>E78/3.5</f>
        <v>1.127819549</v>
      </c>
      <c r="I78" s="248" t="s">
        <v>1399</v>
      </c>
      <c r="J78" s="139" t="s">
        <v>1418</v>
      </c>
      <c r="K78" s="139">
        <f>K76/2000</f>
        <v>0.025</v>
      </c>
      <c r="M78" s="2" t="s">
        <v>189</v>
      </c>
    </row>
    <row r="79">
      <c r="C79" s="2" t="s">
        <v>1823</v>
      </c>
      <c r="E79" s="25">
        <f>100*( K77*1000*sqrt(K75) ) / (2400 * sqrt(K76))</f>
        <v>39.52847075</v>
      </c>
      <c r="F79" s="2" t="s">
        <v>1399</v>
      </c>
      <c r="G79" s="248" t="s">
        <v>1824</v>
      </c>
      <c r="H79" s="25">
        <f>E79*8</f>
        <v>316.227766</v>
      </c>
      <c r="I79" s="251" t="s">
        <v>1803</v>
      </c>
      <c r="J79" s="139" t="s">
        <v>1498</v>
      </c>
      <c r="K79" s="139">
        <f>K77*10^3</f>
        <v>3000</v>
      </c>
      <c r="M79" s="2" t="s">
        <v>201</v>
      </c>
    </row>
    <row r="80">
      <c r="B80" s="1"/>
      <c r="C80" s="251" t="s">
        <v>1826</v>
      </c>
      <c r="D80" s="1"/>
      <c r="E80" s="26">
        <f>100*( K77*1000*sqrt(K75) ) / (10000 * sqrt(K76))</f>
        <v>9.486832981</v>
      </c>
      <c r="F80" s="2" t="s">
        <v>1399</v>
      </c>
      <c r="G80" s="248" t="s">
        <v>1824</v>
      </c>
      <c r="H80" s="25">
        <f>E80*2</f>
        <v>18.97366596</v>
      </c>
      <c r="I80" s="251" t="s">
        <v>1803</v>
      </c>
      <c r="J80" s="5" t="s">
        <v>13</v>
      </c>
      <c r="K80" s="102">
        <v>10.0</v>
      </c>
      <c r="L80" s="2" t="s">
        <v>1083</v>
      </c>
    </row>
    <row r="81">
      <c r="B81" s="1"/>
      <c r="C81" s="2" t="s">
        <v>1842</v>
      </c>
      <c r="E81" s="25">
        <f>100*( K77*1000*sqrt(K75) ) / (25000 * sqrt(K76))</f>
        <v>3.794733192</v>
      </c>
      <c r="F81" s="2" t="s">
        <v>1399</v>
      </c>
      <c r="G81" s="248" t="s">
        <v>1824</v>
      </c>
      <c r="H81" s="25">
        <f>E81*3.5</f>
        <v>13.28156617</v>
      </c>
      <c r="I81" s="251" t="s">
        <v>1803</v>
      </c>
      <c r="J81" s="5" t="s">
        <v>1697</v>
      </c>
      <c r="K81" s="67">
        <f>K75/(K80*10* PI()*K78^2)</f>
        <v>25.46479089</v>
      </c>
      <c r="L81" s="2" t="s">
        <v>1399</v>
      </c>
    </row>
    <row r="82">
      <c r="B82" s="1"/>
      <c r="C82" s="1"/>
      <c r="D82" s="1"/>
      <c r="E82" s="1"/>
      <c r="F82" s="1"/>
      <c r="G82" s="139"/>
      <c r="H82" s="139"/>
      <c r="I82" s="139"/>
      <c r="J82" s="5" t="s">
        <v>1704</v>
      </c>
      <c r="K82" s="25">
        <f>K81/(K76/10)</f>
        <v>5.092958179</v>
      </c>
    </row>
    <row r="83">
      <c r="A83" s="6">
        <v>5.0</v>
      </c>
      <c r="B83" s="253" t="s">
        <v>1657</v>
      </c>
      <c r="C83" s="1"/>
      <c r="D83" s="1"/>
      <c r="E83" s="140">
        <f>10^-6*0.5*K84*(K86*10^3)^2</f>
        <v>5</v>
      </c>
      <c r="F83" s="1" t="s">
        <v>43</v>
      </c>
      <c r="G83" s="139"/>
      <c r="H83" s="139"/>
      <c r="I83" s="139"/>
      <c r="J83" s="1"/>
      <c r="K83" s="251" t="s">
        <v>1883</v>
      </c>
      <c r="L83" s="1"/>
    </row>
    <row r="84">
      <c r="B84" s="1"/>
      <c r="C84" s="1"/>
      <c r="D84" s="1"/>
      <c r="E84" s="25">
        <f>E83/(PI()*(K85/20)^2)</f>
        <v>2.829421211</v>
      </c>
      <c r="F84" s="2" t="s">
        <v>1134</v>
      </c>
      <c r="G84" s="139"/>
      <c r="H84" s="139"/>
      <c r="I84" s="139"/>
      <c r="J84" s="139" t="s">
        <v>1491</v>
      </c>
      <c r="K84" s="249">
        <v>0.1</v>
      </c>
      <c r="L84" s="1" t="s">
        <v>36</v>
      </c>
      <c r="N84">
        <f>K86*3</f>
        <v>30</v>
      </c>
      <c r="O84" s="2" t="s">
        <v>1503</v>
      </c>
      <c r="S84" s="179" t="s">
        <v>1884</v>
      </c>
    </row>
    <row r="85">
      <c r="B85" s="1"/>
      <c r="C85" s="2" t="s">
        <v>1799</v>
      </c>
      <c r="E85" s="26">
        <f>E83/0.13</f>
        <v>38.46153846</v>
      </c>
      <c r="F85" s="251" t="s">
        <v>1803</v>
      </c>
      <c r="G85" s="139"/>
      <c r="H85" s="140">
        <f>E85/8</f>
        <v>4.807692308</v>
      </c>
      <c r="I85" s="248" t="s">
        <v>1399</v>
      </c>
      <c r="J85" s="248" t="s">
        <v>1787</v>
      </c>
      <c r="K85" s="249">
        <v>15.0</v>
      </c>
      <c r="L85" s="250" t="s">
        <v>1469</v>
      </c>
      <c r="N85">
        <f>K84/18*N84^2</f>
        <v>5</v>
      </c>
      <c r="O85" s="2" t="s">
        <v>43</v>
      </c>
      <c r="S85" s="2" t="s">
        <v>1885</v>
      </c>
    </row>
    <row r="86">
      <c r="B86" s="1"/>
      <c r="C86" s="2" t="s">
        <v>1814</v>
      </c>
      <c r="E86" s="25">
        <f>E83/0.73</f>
        <v>6.849315068</v>
      </c>
      <c r="F86" s="251" t="s">
        <v>1803</v>
      </c>
      <c r="G86" s="139"/>
      <c r="H86" s="25">
        <f>E86/2</f>
        <v>3.424657534</v>
      </c>
      <c r="I86" s="248" t="s">
        <v>1399</v>
      </c>
      <c r="J86" s="139" t="s">
        <v>1498</v>
      </c>
      <c r="K86" s="249">
        <v>10.0</v>
      </c>
      <c r="L86" s="253" t="s">
        <v>87</v>
      </c>
      <c r="N86" s="38">
        <f>E89/N84</f>
        <v>0.272165527</v>
      </c>
      <c r="O86" s="2" t="s">
        <v>1878</v>
      </c>
      <c r="S86" s="2" t="s">
        <v>1886</v>
      </c>
    </row>
    <row r="87">
      <c r="C87" s="2" t="s">
        <v>1820</v>
      </c>
      <c r="E87" s="67">
        <f>E83/5.7</f>
        <v>0.8771929825</v>
      </c>
      <c r="F87" s="251" t="s">
        <v>1803</v>
      </c>
      <c r="H87" s="74">
        <f>E87/3.5</f>
        <v>0.2506265664</v>
      </c>
      <c r="I87" s="248" t="s">
        <v>1399</v>
      </c>
      <c r="J87" s="139" t="s">
        <v>1418</v>
      </c>
      <c r="K87" s="139">
        <f>K85/2000</f>
        <v>0.0075</v>
      </c>
      <c r="M87" s="2" t="s">
        <v>189</v>
      </c>
      <c r="N87" s="38"/>
      <c r="S87" s="2" t="s">
        <v>1887</v>
      </c>
    </row>
    <row r="88">
      <c r="C88" s="2" t="s">
        <v>1823</v>
      </c>
      <c r="E88" s="25">
        <f>100*( K86*1000*sqrt(K84) ) / (2400 * sqrt(K85))</f>
        <v>34.02069087</v>
      </c>
      <c r="F88" s="2" t="s">
        <v>1399</v>
      </c>
      <c r="G88" s="248" t="s">
        <v>1824</v>
      </c>
      <c r="H88" s="25">
        <f>E88*8</f>
        <v>272.165527</v>
      </c>
      <c r="I88" s="251" t="s">
        <v>1803</v>
      </c>
      <c r="J88" s="139" t="s">
        <v>1498</v>
      </c>
      <c r="K88" s="139">
        <f>K86*10^3</f>
        <v>10000</v>
      </c>
      <c r="M88" s="2" t="s">
        <v>201</v>
      </c>
      <c r="S88" s="2" t="s">
        <v>1888</v>
      </c>
    </row>
    <row r="89">
      <c r="B89" s="1"/>
      <c r="C89" s="251" t="s">
        <v>1826</v>
      </c>
      <c r="D89" s="1"/>
      <c r="E89" s="26">
        <f>100*( K86*1000*sqrt(K84) ) / (10000 * sqrt(K85))</f>
        <v>8.164965809</v>
      </c>
      <c r="F89" s="2" t="s">
        <v>1399</v>
      </c>
      <c r="G89" s="248" t="s">
        <v>1824</v>
      </c>
      <c r="H89" s="25">
        <f>E89*2</f>
        <v>16.32993162</v>
      </c>
      <c r="I89" s="251" t="s">
        <v>1803</v>
      </c>
      <c r="J89" s="5" t="s">
        <v>13</v>
      </c>
      <c r="K89" s="102">
        <v>3.5</v>
      </c>
      <c r="L89" s="2" t="s">
        <v>1083</v>
      </c>
      <c r="S89" s="2" t="s">
        <v>1889</v>
      </c>
    </row>
    <row r="90">
      <c r="B90" s="1"/>
      <c r="C90" s="2" t="s">
        <v>1842</v>
      </c>
      <c r="E90" s="25">
        <f>100*( K86*1000*sqrt(K84) ) / (25000 * sqrt(K85))</f>
        <v>3.265986324</v>
      </c>
      <c r="F90" s="2" t="s">
        <v>1399</v>
      </c>
      <c r="G90" s="248" t="s">
        <v>1824</v>
      </c>
      <c r="H90" s="25">
        <f>E90*3.5</f>
        <v>11.43095213</v>
      </c>
      <c r="I90" s="251" t="s">
        <v>1803</v>
      </c>
      <c r="J90" s="5" t="s">
        <v>1697</v>
      </c>
      <c r="K90" s="67">
        <f>100*K84/(K89*1000* PI()*K87^2)</f>
        <v>16.1681212</v>
      </c>
      <c r="L90" s="2" t="s">
        <v>1399</v>
      </c>
      <c r="S90" s="2" t="s">
        <v>1890</v>
      </c>
    </row>
    <row r="91">
      <c r="B91" s="1"/>
      <c r="C91" s="1"/>
      <c r="D91" s="1"/>
      <c r="E91" s="1"/>
      <c r="F91" s="1"/>
      <c r="G91" s="139"/>
      <c r="H91" s="139"/>
      <c r="I91" s="139"/>
      <c r="J91" s="5" t="s">
        <v>1704</v>
      </c>
      <c r="K91" s="74">
        <f>K90/(K85/10)</f>
        <v>10.77874747</v>
      </c>
    </row>
    <row r="92">
      <c r="A92" s="6">
        <v>6.0</v>
      </c>
      <c r="B92" s="253" t="s">
        <v>1657</v>
      </c>
      <c r="C92" s="1"/>
      <c r="D92" s="1"/>
      <c r="E92" s="140">
        <f>10^-6*0.5*K93*(K95*10^3)^2</f>
        <v>50</v>
      </c>
      <c r="F92" s="1" t="s">
        <v>43</v>
      </c>
      <c r="G92" s="139"/>
      <c r="H92" s="139"/>
      <c r="I92" s="139"/>
      <c r="J92" s="1"/>
      <c r="K92" s="251" t="s">
        <v>1891</v>
      </c>
      <c r="L92" s="1"/>
    </row>
    <row r="93">
      <c r="B93" s="1"/>
      <c r="C93" s="1"/>
      <c r="D93" s="1"/>
      <c r="E93" s="25">
        <f>E92/(PI()*(K94/20)^2)</f>
        <v>7.073553026</v>
      </c>
      <c r="F93" s="2" t="s">
        <v>1134</v>
      </c>
      <c r="G93" s="139"/>
      <c r="H93" s="139"/>
      <c r="I93" s="139"/>
      <c r="J93" s="139" t="s">
        <v>1491</v>
      </c>
      <c r="K93" s="249">
        <v>1.0</v>
      </c>
      <c r="L93" s="1" t="s">
        <v>36</v>
      </c>
      <c r="N93">
        <f>K95*3</f>
        <v>30</v>
      </c>
      <c r="O93" s="2" t="s">
        <v>1503</v>
      </c>
    </row>
    <row r="94">
      <c r="B94" s="1"/>
      <c r="C94" s="2" t="s">
        <v>1799</v>
      </c>
      <c r="E94" s="26">
        <f>E92/0.13</f>
        <v>384.6153846</v>
      </c>
      <c r="F94" s="251" t="s">
        <v>1803</v>
      </c>
      <c r="G94" s="139"/>
      <c r="H94" s="140">
        <f>E94/8</f>
        <v>48.07692308</v>
      </c>
      <c r="I94" s="248" t="s">
        <v>1399</v>
      </c>
      <c r="J94" s="248" t="s">
        <v>1787</v>
      </c>
      <c r="K94" s="249">
        <v>30.0</v>
      </c>
      <c r="L94" s="250" t="s">
        <v>1469</v>
      </c>
      <c r="N94">
        <f>K93/18*N93^2</f>
        <v>50</v>
      </c>
      <c r="O94" s="2" t="s">
        <v>43</v>
      </c>
    </row>
    <row r="95">
      <c r="B95" s="1"/>
      <c r="C95" s="2" t="s">
        <v>1814</v>
      </c>
      <c r="E95" s="25">
        <f>E92/0.73</f>
        <v>68.49315068</v>
      </c>
      <c r="F95" s="251" t="s">
        <v>1803</v>
      </c>
      <c r="G95" s="139"/>
      <c r="H95" s="25">
        <f>E95/2</f>
        <v>34.24657534</v>
      </c>
      <c r="I95" s="248" t="s">
        <v>1399</v>
      </c>
      <c r="J95" s="139" t="s">
        <v>1498</v>
      </c>
      <c r="K95" s="249">
        <v>10.0</v>
      </c>
      <c r="L95" s="253" t="s">
        <v>87</v>
      </c>
      <c r="N95" s="38">
        <f>E98/N93</f>
        <v>0.6085806195</v>
      </c>
      <c r="O95" s="2" t="s">
        <v>1878</v>
      </c>
    </row>
    <row r="96">
      <c r="C96" s="2" t="s">
        <v>1820</v>
      </c>
      <c r="E96" s="67">
        <f>E92/5.7</f>
        <v>8.771929825</v>
      </c>
      <c r="F96" s="251" t="s">
        <v>1803</v>
      </c>
      <c r="H96" s="74">
        <f>E96/3.5</f>
        <v>2.506265664</v>
      </c>
      <c r="I96" s="248" t="s">
        <v>1399</v>
      </c>
      <c r="J96" s="139" t="s">
        <v>1418</v>
      </c>
      <c r="K96" s="139">
        <f>K94/2000</f>
        <v>0.015</v>
      </c>
      <c r="M96" s="2" t="s">
        <v>189</v>
      </c>
    </row>
    <row r="97">
      <c r="C97" s="2" t="s">
        <v>1823</v>
      </c>
      <c r="E97" s="25">
        <f>100*( K95*1000*sqrt(K93) ) / (2400 * sqrt(K94))</f>
        <v>76.07257743</v>
      </c>
      <c r="F97" s="2" t="s">
        <v>1399</v>
      </c>
      <c r="G97" s="248" t="s">
        <v>1824</v>
      </c>
      <c r="H97" s="25">
        <f>E97*8</f>
        <v>608.5806195</v>
      </c>
      <c r="I97" s="251" t="s">
        <v>1803</v>
      </c>
      <c r="J97" s="139" t="s">
        <v>1498</v>
      </c>
      <c r="K97" s="139">
        <f>K95*10^3</f>
        <v>10000</v>
      </c>
      <c r="M97" s="2" t="s">
        <v>201</v>
      </c>
    </row>
    <row r="98">
      <c r="C98" s="251" t="s">
        <v>1826</v>
      </c>
      <c r="D98" s="1"/>
      <c r="E98" s="26">
        <f>100*( K95*1000*sqrt(K93) ) / (10000 * sqrt(K94))</f>
        <v>18.25741858</v>
      </c>
      <c r="F98" s="2" t="s">
        <v>1399</v>
      </c>
      <c r="G98" s="248" t="s">
        <v>1824</v>
      </c>
      <c r="H98" s="25">
        <f>E98*2</f>
        <v>36.51483717</v>
      </c>
      <c r="I98" s="251" t="s">
        <v>1803</v>
      </c>
      <c r="J98" s="5" t="s">
        <v>13</v>
      </c>
      <c r="K98" s="102">
        <v>4.5</v>
      </c>
      <c r="L98" s="2" t="s">
        <v>1083</v>
      </c>
    </row>
    <row r="99">
      <c r="C99" s="2" t="s">
        <v>1842</v>
      </c>
      <c r="E99" s="25">
        <f>100*( K95*1000*sqrt(K93) ) / (25000 * sqrt(K94))</f>
        <v>7.302967433</v>
      </c>
      <c r="F99" s="2" t="s">
        <v>1399</v>
      </c>
      <c r="G99" s="248" t="s">
        <v>1824</v>
      </c>
      <c r="H99" s="25">
        <f>E99*3.5</f>
        <v>25.56038602</v>
      </c>
      <c r="I99" s="251" t="s">
        <v>1803</v>
      </c>
      <c r="J99" s="5" t="s">
        <v>1697</v>
      </c>
      <c r="K99" s="67">
        <f>K93/(K98*10* PI()*K96^2)</f>
        <v>31.43801345</v>
      </c>
      <c r="L99" s="2" t="s">
        <v>1399</v>
      </c>
    </row>
    <row r="100">
      <c r="J100" s="5" t="s">
        <v>1704</v>
      </c>
      <c r="K100" s="74">
        <f>K99/(K94/10)</f>
        <v>10.47933782</v>
      </c>
    </row>
    <row r="103">
      <c r="A103" s="6"/>
      <c r="B103" s="253" t="s">
        <v>1657</v>
      </c>
      <c r="C103" s="1"/>
      <c r="D103" s="1"/>
      <c r="E103" s="140">
        <f>10^-6*0.5*K104*(K106*10^3)^2</f>
        <v>0.4</v>
      </c>
      <c r="F103" s="1" t="s">
        <v>43</v>
      </c>
      <c r="G103" s="139"/>
      <c r="H103" s="139"/>
      <c r="I103" s="139"/>
      <c r="J103" s="1"/>
      <c r="K103" s="251" t="s">
        <v>1893</v>
      </c>
      <c r="L103" s="1"/>
    </row>
    <row r="104">
      <c r="B104" s="1"/>
      <c r="C104" s="1"/>
      <c r="D104" s="1"/>
      <c r="E104" s="25">
        <f>E103/(PI()*(K105/20)^2)</f>
        <v>0.007957747155</v>
      </c>
      <c r="F104" s="2" t="s">
        <v>1134</v>
      </c>
      <c r="G104" s="139"/>
      <c r="H104" s="139"/>
      <c r="I104" s="139"/>
      <c r="J104" s="139" t="s">
        <v>1491</v>
      </c>
      <c r="K104" s="249">
        <v>20.0</v>
      </c>
      <c r="L104" s="1" t="s">
        <v>36</v>
      </c>
      <c r="N104">
        <f>K106*3</f>
        <v>0.6</v>
      </c>
      <c r="O104" s="2" t="s">
        <v>1503</v>
      </c>
    </row>
    <row r="105">
      <c r="B105" s="1"/>
      <c r="C105" s="2" t="s">
        <v>1799</v>
      </c>
      <c r="E105" s="26">
        <f>E103/0.13</f>
        <v>3.076923077</v>
      </c>
      <c r="F105" s="251" t="s">
        <v>1803</v>
      </c>
      <c r="G105" s="139"/>
      <c r="H105" s="140">
        <f>E105/8</f>
        <v>0.3846153846</v>
      </c>
      <c r="I105" s="248" t="s">
        <v>1399</v>
      </c>
      <c r="J105" s="248" t="s">
        <v>1787</v>
      </c>
      <c r="K105" s="249">
        <v>80.0</v>
      </c>
      <c r="L105" s="250" t="s">
        <v>1469</v>
      </c>
      <c r="N105">
        <f>K104/18*N104^2</f>
        <v>0.4</v>
      </c>
      <c r="O105" s="2" t="s">
        <v>43</v>
      </c>
      <c r="Q105">
        <f>800/3600</f>
        <v>0.2222222222</v>
      </c>
    </row>
    <row r="106">
      <c r="B106" s="1"/>
      <c r="C106" s="2" t="s">
        <v>1814</v>
      </c>
      <c r="E106" s="25">
        <f>E103/0.73</f>
        <v>0.5479452055</v>
      </c>
      <c r="F106" s="251" t="s">
        <v>1803</v>
      </c>
      <c r="G106" s="139"/>
      <c r="H106" s="25">
        <f>E106/2</f>
        <v>0.2739726027</v>
      </c>
      <c r="I106" s="248" t="s">
        <v>1399</v>
      </c>
      <c r="J106" s="139" t="s">
        <v>1498</v>
      </c>
      <c r="K106" s="249">
        <v>0.2</v>
      </c>
      <c r="L106" s="253" t="s">
        <v>87</v>
      </c>
      <c r="N106" s="38">
        <f>E109/N104</f>
        <v>1.666666667</v>
      </c>
      <c r="O106" s="2" t="s">
        <v>1878</v>
      </c>
    </row>
    <row r="107">
      <c r="C107" s="2" t="s">
        <v>1820</v>
      </c>
      <c r="E107" s="67">
        <f>E103/5.7</f>
        <v>0.0701754386</v>
      </c>
      <c r="F107" s="251" t="s">
        <v>1803</v>
      </c>
      <c r="H107" s="74">
        <f>E107/3.5</f>
        <v>0.02005012531</v>
      </c>
      <c r="I107" s="248" t="s">
        <v>1399</v>
      </c>
      <c r="J107" s="139" t="s">
        <v>1418</v>
      </c>
      <c r="K107" s="139">
        <f>K105/2000</f>
        <v>0.04</v>
      </c>
      <c r="M107" s="2" t="s">
        <v>189</v>
      </c>
    </row>
    <row r="108">
      <c r="C108" s="2" t="s">
        <v>1823</v>
      </c>
      <c r="E108" s="25">
        <f>100*( K106*1000*sqrt(K104) ) / (2400 * sqrt(K105))</f>
        <v>4.166666667</v>
      </c>
      <c r="F108" s="2" t="s">
        <v>1399</v>
      </c>
      <c r="G108" s="248" t="s">
        <v>1824</v>
      </c>
      <c r="H108" s="25">
        <f>E108*8</f>
        <v>33.33333333</v>
      </c>
      <c r="I108" s="251" t="s">
        <v>1803</v>
      </c>
      <c r="J108" s="139" t="s">
        <v>1498</v>
      </c>
      <c r="K108" s="139">
        <f>K106*10^3</f>
        <v>200</v>
      </c>
      <c r="M108" s="2" t="s">
        <v>201</v>
      </c>
    </row>
    <row r="109">
      <c r="C109" s="251" t="s">
        <v>1826</v>
      </c>
      <c r="D109" s="1"/>
      <c r="E109" s="26">
        <f>100*( K106*1000*sqrt(K104) ) / (10000 * sqrt(K105))</f>
        <v>1</v>
      </c>
      <c r="F109" s="2" t="s">
        <v>1399</v>
      </c>
      <c r="G109" s="248" t="s">
        <v>1824</v>
      </c>
      <c r="H109" s="25">
        <f>E109*2</f>
        <v>2</v>
      </c>
      <c r="I109" s="251" t="s">
        <v>1803</v>
      </c>
      <c r="J109" s="5" t="s">
        <v>13</v>
      </c>
      <c r="K109" s="102">
        <v>4.5</v>
      </c>
      <c r="L109" s="2" t="s">
        <v>1083</v>
      </c>
    </row>
    <row r="110">
      <c r="C110" s="2" t="s">
        <v>1842</v>
      </c>
      <c r="E110" s="25">
        <f>100*( K106*1000*sqrt(K104) ) / (25000 * sqrt(K105))</f>
        <v>0.4</v>
      </c>
      <c r="F110" s="2" t="s">
        <v>1399</v>
      </c>
      <c r="G110" s="248" t="s">
        <v>1824</v>
      </c>
      <c r="H110" s="25">
        <f>E110*3.5</f>
        <v>1.4</v>
      </c>
      <c r="I110" s="251" t="s">
        <v>1803</v>
      </c>
      <c r="J110" s="5" t="s">
        <v>1697</v>
      </c>
      <c r="K110" s="67">
        <f>K104/(K109*10* PI()*K107^2)</f>
        <v>88.41941283</v>
      </c>
      <c r="L110" s="2" t="s">
        <v>1399</v>
      </c>
    </row>
    <row r="111">
      <c r="J111" s="5" t="s">
        <v>1704</v>
      </c>
      <c r="K111" s="74">
        <f>K110/(K105/10)</f>
        <v>11.0524266</v>
      </c>
    </row>
    <row r="113">
      <c r="B113" s="253" t="s">
        <v>1657</v>
      </c>
      <c r="C113" s="1"/>
      <c r="D113" s="1"/>
      <c r="E113" s="231">
        <f>10^-6*0.5*K114*(K116*10^3)^2</f>
        <v>0.125</v>
      </c>
      <c r="F113" s="1" t="s">
        <v>43</v>
      </c>
      <c r="G113" s="139"/>
      <c r="H113" s="139"/>
      <c r="I113" s="139"/>
      <c r="J113" s="1"/>
      <c r="K113" s="251" t="s">
        <v>1895</v>
      </c>
      <c r="L113" s="1"/>
    </row>
    <row r="114">
      <c r="B114" s="1"/>
      <c r="C114" s="1"/>
      <c r="D114" s="1"/>
      <c r="E114" s="25">
        <f>E113/(PI()*(K115/20)^2)</f>
        <v>159154.9431</v>
      </c>
      <c r="F114" s="2" t="s">
        <v>1134</v>
      </c>
      <c r="G114" s="139"/>
      <c r="H114" s="139"/>
      <c r="I114" s="139"/>
      <c r="J114" s="139" t="s">
        <v>1491</v>
      </c>
      <c r="K114" s="249">
        <v>1.0</v>
      </c>
      <c r="L114" s="1" t="s">
        <v>36</v>
      </c>
    </row>
    <row r="115">
      <c r="B115" s="1"/>
      <c r="C115" s="2" t="s">
        <v>1799</v>
      </c>
      <c r="E115" s="26">
        <f>E113/0.13</f>
        <v>0.9615384615</v>
      </c>
      <c r="F115" s="251" t="s">
        <v>1803</v>
      </c>
      <c r="G115" s="139"/>
      <c r="H115" s="140">
        <f>E115/8</f>
        <v>0.1201923077</v>
      </c>
      <c r="I115" s="248" t="s">
        <v>1399</v>
      </c>
      <c r="J115" s="248" t="s">
        <v>1787</v>
      </c>
      <c r="K115" s="249">
        <v>0.01</v>
      </c>
      <c r="L115" s="250" t="s">
        <v>1469</v>
      </c>
    </row>
    <row r="116">
      <c r="B116" s="1"/>
      <c r="C116" s="2" t="s">
        <v>1814</v>
      </c>
      <c r="E116" s="25">
        <f>E113/0.73</f>
        <v>0.1712328767</v>
      </c>
      <c r="F116" s="251" t="s">
        <v>1803</v>
      </c>
      <c r="G116" s="139"/>
      <c r="H116" s="25">
        <f>E116/2</f>
        <v>0.08561643836</v>
      </c>
      <c r="I116" s="248" t="s">
        <v>1399</v>
      </c>
      <c r="J116" s="139" t="s">
        <v>1498</v>
      </c>
      <c r="K116" s="249">
        <v>0.5</v>
      </c>
      <c r="L116" s="253" t="s">
        <v>87</v>
      </c>
    </row>
    <row r="117">
      <c r="C117" s="2" t="s">
        <v>1820</v>
      </c>
      <c r="E117" s="67">
        <f>E113/5.7</f>
        <v>0.02192982456</v>
      </c>
      <c r="F117" s="251" t="s">
        <v>1803</v>
      </c>
      <c r="H117" s="74">
        <f>E117/3.5</f>
        <v>0.00626566416</v>
      </c>
      <c r="I117" s="248" t="s">
        <v>1399</v>
      </c>
      <c r="J117" s="139" t="s">
        <v>1418</v>
      </c>
      <c r="K117" s="139">
        <f>K115/2000</f>
        <v>0.000005</v>
      </c>
      <c r="M117" s="2" t="s">
        <v>189</v>
      </c>
    </row>
    <row r="118">
      <c r="C118" s="2" t="s">
        <v>1823</v>
      </c>
      <c r="E118" s="25">
        <f>100*( K116*1000*sqrt(K114) ) / (2400 * sqrt(K115))</f>
        <v>208.3333333</v>
      </c>
      <c r="F118" s="2" t="s">
        <v>1399</v>
      </c>
      <c r="G118" s="248" t="s">
        <v>1824</v>
      </c>
      <c r="H118" s="25">
        <f>E118*8</f>
        <v>1666.666667</v>
      </c>
      <c r="I118" s="251" t="s">
        <v>1803</v>
      </c>
      <c r="J118" s="139" t="s">
        <v>1498</v>
      </c>
      <c r="K118" s="139">
        <f>K116*10^3</f>
        <v>500</v>
      </c>
      <c r="M118" s="2" t="s">
        <v>201</v>
      </c>
    </row>
    <row r="119">
      <c r="C119" s="251" t="s">
        <v>1826</v>
      </c>
      <c r="D119" s="1"/>
      <c r="E119" s="26">
        <f>100*( K116*1000*sqrt(K114) ) / (10000 * sqrt(K115))</f>
        <v>50</v>
      </c>
      <c r="F119" s="2" t="s">
        <v>1399</v>
      </c>
      <c r="G119" s="248" t="s">
        <v>1824</v>
      </c>
      <c r="H119" s="25">
        <f>E119*2</f>
        <v>100</v>
      </c>
      <c r="I119" s="251" t="s">
        <v>1803</v>
      </c>
      <c r="J119" s="5" t="s">
        <v>13</v>
      </c>
      <c r="K119" s="102">
        <v>4.5</v>
      </c>
      <c r="L119" s="2" t="s">
        <v>1083</v>
      </c>
    </row>
    <row r="120">
      <c r="C120" s="2" t="s">
        <v>1842</v>
      </c>
      <c r="E120" s="25">
        <f>100*( K116*1000*sqrt(K114) ) / (25000 * sqrt(K115))</f>
        <v>20</v>
      </c>
      <c r="F120" s="2" t="s">
        <v>1399</v>
      </c>
      <c r="G120" s="248" t="s">
        <v>1824</v>
      </c>
      <c r="H120" s="25">
        <f>E120*3.5</f>
        <v>70</v>
      </c>
      <c r="I120" s="251" t="s">
        <v>1803</v>
      </c>
      <c r="J120" s="5" t="s">
        <v>1697</v>
      </c>
      <c r="K120" s="67">
        <f>K114/(K119*10* PI()*K117^2)</f>
        <v>282942121.1</v>
      </c>
      <c r="L120" s="2" t="s">
        <v>1399</v>
      </c>
    </row>
    <row r="121">
      <c r="J121" s="5" t="s">
        <v>1704</v>
      </c>
      <c r="K121" s="74">
        <f>K120/(K115/10)</f>
        <v>282942121052</v>
      </c>
    </row>
    <row r="126">
      <c r="B126" s="52" t="s">
        <v>1903</v>
      </c>
      <c r="D126" s="4" t="s">
        <v>1904</v>
      </c>
      <c r="E126" s="54"/>
      <c r="F126" s="52" t="s">
        <v>1905</v>
      </c>
      <c r="G126" s="54"/>
      <c r="H126" s="54"/>
      <c r="J126" s="52" t="s">
        <v>1906</v>
      </c>
      <c r="N126" s="52" t="s">
        <v>1908</v>
      </c>
      <c r="O126" s="54"/>
      <c r="P126" s="4" t="s">
        <v>1835</v>
      </c>
      <c r="Q126" s="54"/>
      <c r="R126" s="52" t="s">
        <v>1908</v>
      </c>
    </row>
    <row r="127">
      <c r="B127" s="2">
        <v>1.0</v>
      </c>
      <c r="C127" s="2" t="s">
        <v>1816</v>
      </c>
      <c r="D127" s="2">
        <v>5.0</v>
      </c>
      <c r="E127" s="2" t="s">
        <v>265</v>
      </c>
      <c r="F127" s="2">
        <v>1.5</v>
      </c>
      <c r="G127" s="2" t="s">
        <v>1399</v>
      </c>
      <c r="J127" s="2">
        <v>20.0</v>
      </c>
      <c r="K127" s="2" t="s">
        <v>1409</v>
      </c>
      <c r="N127" s="2" t="s">
        <v>1910</v>
      </c>
      <c r="P127" s="67">
        <f t="shared" ref="P127:P128" si="3">F127*2</f>
        <v>3</v>
      </c>
      <c r="R127" s="2" t="s">
        <v>1912</v>
      </c>
    </row>
    <row r="128">
      <c r="B128" s="2">
        <v>2.0</v>
      </c>
      <c r="C128" s="2" t="s">
        <v>1859</v>
      </c>
      <c r="D128" s="2">
        <v>50.0</v>
      </c>
      <c r="E128" s="2" t="s">
        <v>265</v>
      </c>
      <c r="F128" s="2">
        <v>4.0</v>
      </c>
      <c r="G128" s="2" t="s">
        <v>1399</v>
      </c>
      <c r="J128" s="2">
        <v>72.0</v>
      </c>
      <c r="K128" s="2" t="s">
        <v>1409</v>
      </c>
      <c r="N128" s="2" t="s">
        <v>1913</v>
      </c>
      <c r="P128" s="2">
        <f t="shared" si="3"/>
        <v>8</v>
      </c>
      <c r="R128" s="2" t="s">
        <v>1915</v>
      </c>
    </row>
    <row r="129">
      <c r="B129" s="2">
        <v>3.0</v>
      </c>
      <c r="C129" s="2" t="s">
        <v>1916</v>
      </c>
      <c r="D129" s="2">
        <v>0.5</v>
      </c>
      <c r="E129" s="2" t="s">
        <v>43</v>
      </c>
      <c r="F129" s="67">
        <v>8.0</v>
      </c>
      <c r="G129" s="2" t="s">
        <v>1399</v>
      </c>
      <c r="J129" s="67">
        <f>E56*1000</f>
        <v>143.2394488</v>
      </c>
      <c r="K129" s="2" t="s">
        <v>1409</v>
      </c>
      <c r="N129" s="2" t="s">
        <v>1915</v>
      </c>
      <c r="P129" s="2">
        <v>3.0</v>
      </c>
      <c r="R129" s="2" t="s">
        <v>1918</v>
      </c>
    </row>
    <row r="130">
      <c r="B130" s="2">
        <v>4.0</v>
      </c>
      <c r="C130" s="2" t="s">
        <v>1920</v>
      </c>
      <c r="D130" s="67">
        <f>E65</f>
        <v>4.5</v>
      </c>
      <c r="E130" s="2" t="s">
        <v>43</v>
      </c>
      <c r="F130" s="67">
        <f>E70</f>
        <v>19.76423538</v>
      </c>
      <c r="G130" s="2" t="s">
        <v>1399</v>
      </c>
      <c r="J130" s="67">
        <f>E66*1000</f>
        <v>358.098622</v>
      </c>
      <c r="K130" s="2" t="s">
        <v>1409</v>
      </c>
      <c r="N130" s="2" t="s">
        <v>1918</v>
      </c>
      <c r="P130" s="2">
        <v>4.0</v>
      </c>
      <c r="R130" s="2" t="s">
        <v>1922</v>
      </c>
    </row>
    <row r="131">
      <c r="C131" s="2" t="s">
        <v>1923</v>
      </c>
      <c r="D131" s="2">
        <v>0.5</v>
      </c>
      <c r="E131" s="2" t="s">
        <v>43</v>
      </c>
      <c r="F131" s="2">
        <v>42.0</v>
      </c>
      <c r="G131" s="2" t="s">
        <v>1399</v>
      </c>
      <c r="J131" s="2">
        <v>64000.0</v>
      </c>
      <c r="K131" s="2" t="s">
        <v>1409</v>
      </c>
    </row>
    <row r="132">
      <c r="C132" s="2" t="s">
        <v>1924</v>
      </c>
      <c r="D132" s="2">
        <v>5.0</v>
      </c>
      <c r="E132" s="2" t="s">
        <v>43</v>
      </c>
      <c r="F132" s="2">
        <v>72.0</v>
      </c>
      <c r="J132" s="2">
        <v>64000.0</v>
      </c>
    </row>
    <row r="133">
      <c r="B133" s="2">
        <v>5.0</v>
      </c>
      <c r="C133" s="2" t="s">
        <v>1925</v>
      </c>
      <c r="D133" s="2">
        <v>20.0</v>
      </c>
      <c r="E133" s="2" t="s">
        <v>43</v>
      </c>
      <c r="F133" s="67">
        <f>E79</f>
        <v>39.52847075</v>
      </c>
      <c r="G133" s="2" t="s">
        <v>1399</v>
      </c>
      <c r="J133" s="67">
        <f>E75*1000</f>
        <v>1145.91559</v>
      </c>
      <c r="K133" s="2" t="s">
        <v>1409</v>
      </c>
      <c r="N133" s="2" t="s">
        <v>1922</v>
      </c>
      <c r="P133" s="2">
        <v>5.0</v>
      </c>
      <c r="R133" s="2" t="s">
        <v>1926</v>
      </c>
    </row>
    <row r="134">
      <c r="B134" s="2">
        <v>6.0</v>
      </c>
      <c r="C134" s="2" t="s">
        <v>1928</v>
      </c>
      <c r="D134" s="2">
        <v>50.0</v>
      </c>
      <c r="E134" s="2" t="s">
        <v>43</v>
      </c>
      <c r="F134" s="2">
        <v>100.0</v>
      </c>
      <c r="G134" s="2" t="s">
        <v>1399</v>
      </c>
      <c r="J134" s="67">
        <v>25000.0</v>
      </c>
      <c r="K134" s="2" t="s">
        <v>1409</v>
      </c>
    </row>
    <row r="137">
      <c r="C137" s="2" t="s">
        <v>1931</v>
      </c>
      <c r="D137" s="2" t="s">
        <v>1932</v>
      </c>
    </row>
    <row r="138">
      <c r="C138" s="2" t="s">
        <v>1933</v>
      </c>
      <c r="D138" s="2" t="s">
        <v>1934</v>
      </c>
      <c r="F138">
        <f>D127/1000</f>
        <v>0.005</v>
      </c>
    </row>
    <row r="139">
      <c r="C139" s="2" t="s">
        <v>1935</v>
      </c>
      <c r="D139" s="2" t="s">
        <v>1936</v>
      </c>
    </row>
    <row r="149">
      <c r="B149" s="253" t="s">
        <v>1657</v>
      </c>
      <c r="C149" s="1"/>
      <c r="D149" s="1"/>
      <c r="E149" s="231">
        <f>10^-6*0.5*K150*(K152*10^3)^2</f>
        <v>5</v>
      </c>
      <c r="F149" s="1" t="s">
        <v>43</v>
      </c>
      <c r="G149" s="139"/>
      <c r="H149" s="139"/>
      <c r="I149" s="139"/>
      <c r="J149" s="1"/>
      <c r="K149" s="251" t="s">
        <v>1923</v>
      </c>
      <c r="L149" s="1"/>
      <c r="Q149" s="52" t="s">
        <v>1648</v>
      </c>
    </row>
    <row r="150">
      <c r="B150" s="1"/>
      <c r="C150" s="1"/>
      <c r="D150" s="1"/>
      <c r="E150" s="25">
        <f>E149/(PI()*(K151/20)^2)</f>
        <v>636.6197724</v>
      </c>
      <c r="F150" s="2" t="s">
        <v>1134</v>
      </c>
      <c r="G150" s="139"/>
      <c r="H150" s="139"/>
      <c r="I150" s="139"/>
      <c r="J150" s="139" t="s">
        <v>1491</v>
      </c>
      <c r="K150" s="249">
        <v>0.1</v>
      </c>
      <c r="L150" s="1" t="s">
        <v>36</v>
      </c>
      <c r="Q150" s="2" t="s">
        <v>1650</v>
      </c>
      <c r="R150" s="2" t="s">
        <v>1651</v>
      </c>
    </row>
    <row r="151">
      <c r="B151" s="1"/>
      <c r="C151" s="2" t="s">
        <v>1799</v>
      </c>
      <c r="E151" s="26">
        <f>E149/0.13</f>
        <v>38.46153846</v>
      </c>
      <c r="F151" s="251" t="s">
        <v>1803</v>
      </c>
      <c r="G151" s="139"/>
      <c r="H151" s="140">
        <f>E151/8</f>
        <v>4.807692308</v>
      </c>
      <c r="I151" s="248" t="s">
        <v>1399</v>
      </c>
      <c r="J151" s="248" t="s">
        <v>1787</v>
      </c>
      <c r="K151" s="249">
        <v>1.0</v>
      </c>
      <c r="L151" s="250" t="s">
        <v>1469</v>
      </c>
      <c r="Q151" s="2" t="s">
        <v>13</v>
      </c>
      <c r="R151" s="2" t="s">
        <v>1656</v>
      </c>
    </row>
    <row r="152">
      <c r="B152" s="1"/>
      <c r="C152" s="2" t="s">
        <v>1814</v>
      </c>
      <c r="E152" s="25">
        <f>E149/0.73</f>
        <v>6.849315068</v>
      </c>
      <c r="F152" s="251" t="s">
        <v>1803</v>
      </c>
      <c r="G152" s="139"/>
      <c r="H152" s="25">
        <f>E152/2</f>
        <v>3.424657534</v>
      </c>
      <c r="I152" s="248" t="s">
        <v>1399</v>
      </c>
      <c r="J152" s="139" t="s">
        <v>1498</v>
      </c>
      <c r="K152" s="249">
        <v>10.0</v>
      </c>
      <c r="L152" s="253" t="s">
        <v>87</v>
      </c>
      <c r="Q152" s="2" t="s">
        <v>1666</v>
      </c>
      <c r="R152" s="2" t="s">
        <v>1667</v>
      </c>
      <c r="U152" s="2" t="s">
        <v>1668</v>
      </c>
    </row>
    <row r="153">
      <c r="C153" s="2" t="s">
        <v>1820</v>
      </c>
      <c r="E153" s="67">
        <f>E149/5.7</f>
        <v>0.8771929825</v>
      </c>
      <c r="F153" s="251" t="s">
        <v>1803</v>
      </c>
      <c r="H153" s="74">
        <f>E153/3.5</f>
        <v>0.2506265664</v>
      </c>
      <c r="I153" s="248" t="s">
        <v>1399</v>
      </c>
      <c r="J153" s="139" t="s">
        <v>1418</v>
      </c>
      <c r="K153" s="139">
        <f>K151/2000</f>
        <v>0.0005</v>
      </c>
      <c r="N153" s="2" t="s">
        <v>189</v>
      </c>
      <c r="U153" s="2" t="s">
        <v>1671</v>
      </c>
    </row>
    <row r="154">
      <c r="C154" s="2" t="s">
        <v>1823</v>
      </c>
      <c r="E154" s="25">
        <f>100*( K152*1000*sqrt(K150) ) / (2400 * sqrt(K151))</f>
        <v>131.7615692</v>
      </c>
      <c r="F154" s="2" t="s">
        <v>1399</v>
      </c>
      <c r="G154" s="248" t="s">
        <v>1824</v>
      </c>
      <c r="H154" s="25">
        <f>E154*8</f>
        <v>1054.092553</v>
      </c>
      <c r="I154" s="251" t="s">
        <v>1803</v>
      </c>
      <c r="J154" s="139" t="s">
        <v>1498</v>
      </c>
      <c r="K154" s="139">
        <f>K152*10^3</f>
        <v>10000</v>
      </c>
      <c r="N154" s="2" t="s">
        <v>201</v>
      </c>
      <c r="U154" s="2" t="s">
        <v>1681</v>
      </c>
    </row>
    <row r="155">
      <c r="B155" s="1"/>
      <c r="C155" s="251" t="s">
        <v>1826</v>
      </c>
      <c r="D155" s="1"/>
      <c r="E155" s="26">
        <f>100*( K152*1000*sqrt(K150) ) / (10000 * sqrt(K151))</f>
        <v>31.6227766</v>
      </c>
      <c r="F155" s="2" t="s">
        <v>1399</v>
      </c>
      <c r="G155" s="248" t="s">
        <v>1824</v>
      </c>
      <c r="H155" s="25">
        <f>E155*2</f>
        <v>63.2455532</v>
      </c>
      <c r="I155" s="251" t="s">
        <v>1803</v>
      </c>
      <c r="J155" s="5" t="s">
        <v>13</v>
      </c>
      <c r="K155" s="102">
        <v>3.0</v>
      </c>
      <c r="L155" s="2" t="s">
        <v>1083</v>
      </c>
    </row>
    <row r="156">
      <c r="B156" s="1"/>
      <c r="C156" s="2" t="s">
        <v>1842</v>
      </c>
      <c r="E156" s="25">
        <f>100*( K152*1000*sqrt(K150) ) / (25000 * sqrt(K151))</f>
        <v>12.64911064</v>
      </c>
      <c r="F156" s="2" t="s">
        <v>1399</v>
      </c>
      <c r="G156" s="248" t="s">
        <v>1824</v>
      </c>
      <c r="H156" s="25">
        <f>E156*3.5</f>
        <v>44.27188724</v>
      </c>
      <c r="I156" s="251" t="s">
        <v>1803</v>
      </c>
      <c r="J156" s="5" t="s">
        <v>1697</v>
      </c>
      <c r="K156" s="67">
        <f>100*K150/(K155*1000* PI()*K153^2)</f>
        <v>4244.131816</v>
      </c>
      <c r="L156" s="2" t="s">
        <v>1399</v>
      </c>
      <c r="Q156" s="2" t="s">
        <v>1690</v>
      </c>
      <c r="U156" s="2" t="s">
        <v>1692</v>
      </c>
    </row>
    <row r="157">
      <c r="B157" s="1"/>
      <c r="C157" s="1"/>
      <c r="D157" s="1"/>
      <c r="E157" s="1"/>
      <c r="F157" s="1"/>
      <c r="G157" s="139"/>
      <c r="H157" s="139"/>
      <c r="I157" s="139"/>
      <c r="J157" s="5" t="s">
        <v>1704</v>
      </c>
      <c r="K157" s="74">
        <f>K156/(K151/10)</f>
        <v>42441.31816</v>
      </c>
      <c r="U157" s="2" t="s">
        <v>1696</v>
      </c>
    </row>
    <row r="158">
      <c r="U158" s="2" t="s">
        <v>1701</v>
      </c>
    </row>
    <row r="160">
      <c r="Q160" s="2" t="s">
        <v>1714</v>
      </c>
      <c r="U160" s="2" t="s">
        <v>1715</v>
      </c>
    </row>
    <row r="161">
      <c r="B161" s="253"/>
      <c r="C161" s="1"/>
      <c r="D161" s="259">
        <f>10^-3*0.5*K162*(K164*10^3)^2</f>
        <v>500</v>
      </c>
      <c r="E161" s="231">
        <f>10^-6*0.5*K162*(K164*10^3)^2</f>
        <v>0.5</v>
      </c>
      <c r="F161" s="1" t="s">
        <v>43</v>
      </c>
      <c r="G161" s="139"/>
      <c r="H161" s="139"/>
      <c r="I161" s="139"/>
      <c r="J161" s="1"/>
      <c r="K161" s="251" t="s">
        <v>1843</v>
      </c>
      <c r="L161" s="1"/>
      <c r="R161" s="2" t="s">
        <v>1720</v>
      </c>
      <c r="S161" s="163">
        <f>4*PI()*10^-7</f>
        <v>0.000001256637061</v>
      </c>
      <c r="T161" s="2" t="s">
        <v>1723</v>
      </c>
      <c r="U161" s="2" t="s">
        <v>1724</v>
      </c>
    </row>
    <row r="162">
      <c r="B162" s="1"/>
      <c r="C162" s="1"/>
      <c r="D162" s="1"/>
      <c r="E162" s="25">
        <f>D161/(PI()*(K163/20)^2)</f>
        <v>63661.97724</v>
      </c>
      <c r="F162" s="2" t="s">
        <v>1409</v>
      </c>
      <c r="G162" s="139"/>
      <c r="H162" s="139"/>
      <c r="I162" s="139"/>
      <c r="J162" s="139" t="s">
        <v>1491</v>
      </c>
      <c r="K162" s="249">
        <v>0.01</v>
      </c>
      <c r="L162" s="1" t="s">
        <v>36</v>
      </c>
      <c r="U162" s="2" t="s">
        <v>1734</v>
      </c>
    </row>
    <row r="163">
      <c r="B163" s="1"/>
      <c r="C163" s="2" t="s">
        <v>1799</v>
      </c>
      <c r="E163" s="26">
        <f>D161/0.13</f>
        <v>3846.153846</v>
      </c>
      <c r="F163" s="251" t="s">
        <v>1803</v>
      </c>
      <c r="G163" s="139"/>
      <c r="H163" s="140">
        <f>E163/8</f>
        <v>480.7692308</v>
      </c>
      <c r="I163" s="248" t="s">
        <v>1399</v>
      </c>
      <c r="J163" s="248" t="s">
        <v>1787</v>
      </c>
      <c r="K163" s="249">
        <v>1.0</v>
      </c>
      <c r="L163" s="250" t="s">
        <v>1469</v>
      </c>
      <c r="U163" s="2" t="s">
        <v>1738</v>
      </c>
    </row>
    <row r="164">
      <c r="B164" s="1"/>
      <c r="C164" s="2" t="s">
        <v>1814</v>
      </c>
      <c r="E164" s="25">
        <f>D161/0.73</f>
        <v>684.9315068</v>
      </c>
      <c r="F164" s="251" t="s">
        <v>1803</v>
      </c>
      <c r="G164" s="139"/>
      <c r="H164" s="25">
        <f>E164/2</f>
        <v>342.4657534</v>
      </c>
      <c r="I164" s="248" t="s">
        <v>1399</v>
      </c>
      <c r="J164" s="139" t="s">
        <v>1498</v>
      </c>
      <c r="K164" s="249">
        <v>10.0</v>
      </c>
      <c r="L164" s="253" t="s">
        <v>87</v>
      </c>
      <c r="Q164" s="2" t="s">
        <v>1745</v>
      </c>
    </row>
    <row r="165">
      <c r="C165" s="2" t="s">
        <v>1820</v>
      </c>
      <c r="E165" s="67">
        <f>D161/5.7</f>
        <v>87.71929825</v>
      </c>
      <c r="F165" s="251" t="s">
        <v>1803</v>
      </c>
      <c r="H165" s="74">
        <f>E165/3.5</f>
        <v>25.06265664</v>
      </c>
      <c r="I165" s="248" t="s">
        <v>1399</v>
      </c>
      <c r="J165" s="139" t="s">
        <v>1418</v>
      </c>
      <c r="K165" s="139">
        <f>K163/2000</f>
        <v>0.0005</v>
      </c>
      <c r="N165" s="2" t="s">
        <v>189</v>
      </c>
    </row>
    <row r="166">
      <c r="C166" s="2" t="s">
        <v>1823</v>
      </c>
      <c r="E166" s="25">
        <f>100*( K164*1000*sqrt(K162) ) / (2400 * sqrt(K163))</f>
        <v>41.66666667</v>
      </c>
      <c r="F166" s="2" t="s">
        <v>1399</v>
      </c>
      <c r="G166" s="248" t="s">
        <v>1824</v>
      </c>
      <c r="H166" s="25">
        <f>E166*8</f>
        <v>333.3333333</v>
      </c>
      <c r="I166" s="251" t="s">
        <v>1803</v>
      </c>
      <c r="J166" s="139" t="s">
        <v>1498</v>
      </c>
      <c r="K166" s="139">
        <f>K164*10^3</f>
        <v>10000</v>
      </c>
      <c r="N166" s="2" t="s">
        <v>201</v>
      </c>
      <c r="Q166" s="2" t="s">
        <v>1751</v>
      </c>
      <c r="U166" s="2" t="s">
        <v>1752</v>
      </c>
    </row>
    <row r="167">
      <c r="B167" s="1"/>
      <c r="C167" s="251" t="s">
        <v>1826</v>
      </c>
      <c r="D167" s="1"/>
      <c r="E167" s="26">
        <f>100*( K164*1000*sqrt(K162) ) / (10000 * sqrt(K163))</f>
        <v>10</v>
      </c>
      <c r="F167" s="2" t="s">
        <v>1399</v>
      </c>
      <c r="G167" s="248" t="s">
        <v>1824</v>
      </c>
      <c r="H167" s="25">
        <f>E167*2</f>
        <v>20</v>
      </c>
      <c r="I167" s="251" t="s">
        <v>1803</v>
      </c>
      <c r="J167" s="5" t="s">
        <v>13</v>
      </c>
      <c r="K167" s="102">
        <v>15.0</v>
      </c>
      <c r="L167" s="2" t="s">
        <v>1083</v>
      </c>
      <c r="U167" s="2" t="s">
        <v>1756</v>
      </c>
    </row>
    <row r="168">
      <c r="B168" s="1"/>
      <c r="C168" s="2" t="s">
        <v>1842</v>
      </c>
      <c r="E168" s="25">
        <f>100*( K164*1000*sqrt(K162) ) / (25000 * sqrt(K163))</f>
        <v>4</v>
      </c>
      <c r="F168" s="2" t="s">
        <v>1399</v>
      </c>
      <c r="G168" s="248" t="s">
        <v>1824</v>
      </c>
      <c r="H168" s="25">
        <f>E168*3.5</f>
        <v>14</v>
      </c>
      <c r="I168" s="251" t="s">
        <v>1803</v>
      </c>
      <c r="J168" s="5" t="s">
        <v>1697</v>
      </c>
      <c r="K168" s="67">
        <f>100*K162/(K167*1000* PI()*K165^2)</f>
        <v>84.88263632</v>
      </c>
      <c r="L168" s="2" t="s">
        <v>1399</v>
      </c>
    </row>
    <row r="169">
      <c r="B169" s="1"/>
      <c r="C169" s="1"/>
      <c r="D169" s="1"/>
      <c r="E169" s="1"/>
      <c r="F169" s="1"/>
      <c r="G169" s="139"/>
      <c r="H169" s="139"/>
      <c r="I169" s="139"/>
      <c r="J169" s="5" t="s">
        <v>1704</v>
      </c>
      <c r="K169" s="74">
        <f>K168/(K163/10)</f>
        <v>848.8263632</v>
      </c>
    </row>
    <row r="174">
      <c r="D174" s="259">
        <f>10^-6*0.5*K175*(K177*10^3)^2</f>
        <v>25</v>
      </c>
      <c r="E174" s="231">
        <f>10^-6*0.5*K175*(K177*10^3)^2</f>
        <v>25</v>
      </c>
      <c r="F174" s="1" t="s">
        <v>43</v>
      </c>
      <c r="G174" s="139"/>
      <c r="H174" s="139"/>
      <c r="I174" s="139"/>
      <c r="J174" s="1"/>
      <c r="K174" s="251" t="s">
        <v>1968</v>
      </c>
    </row>
    <row r="175">
      <c r="C175" s="1"/>
      <c r="D175" s="1"/>
      <c r="E175" s="25">
        <f>D174/(PI()*(K176/20)^2)</f>
        <v>14.14710605</v>
      </c>
      <c r="F175" s="2" t="s">
        <v>1409</v>
      </c>
      <c r="G175" s="139"/>
      <c r="H175" s="139"/>
      <c r="I175" s="139"/>
      <c r="J175" s="139" t="s">
        <v>1491</v>
      </c>
      <c r="K175" s="249">
        <v>0.5</v>
      </c>
      <c r="L175" s="1" t="s">
        <v>36</v>
      </c>
    </row>
    <row r="176">
      <c r="C176" s="2" t="s">
        <v>1799</v>
      </c>
      <c r="E176" s="26">
        <f>D174/0.13</f>
        <v>192.3076923</v>
      </c>
      <c r="F176" s="251" t="s">
        <v>1803</v>
      </c>
      <c r="G176" s="139"/>
      <c r="H176" s="140">
        <f>E176/8</f>
        <v>24.03846154</v>
      </c>
      <c r="I176" s="248" t="s">
        <v>1399</v>
      </c>
      <c r="J176" s="248" t="s">
        <v>1787</v>
      </c>
      <c r="K176" s="249">
        <v>15.0</v>
      </c>
      <c r="L176" s="250" t="s">
        <v>1469</v>
      </c>
    </row>
    <row r="177">
      <c r="C177" s="2" t="s">
        <v>1814</v>
      </c>
      <c r="E177" s="25">
        <f>D174/0.73</f>
        <v>34.24657534</v>
      </c>
      <c r="F177" s="251" t="s">
        <v>1803</v>
      </c>
      <c r="G177" s="139"/>
      <c r="H177" s="25">
        <f>E177/2</f>
        <v>17.12328767</v>
      </c>
      <c r="I177" s="248" t="s">
        <v>1399</v>
      </c>
      <c r="J177" s="139" t="s">
        <v>1498</v>
      </c>
      <c r="K177" s="249">
        <v>10.0</v>
      </c>
      <c r="L177" s="253" t="s">
        <v>87</v>
      </c>
    </row>
    <row r="178">
      <c r="C178" s="2" t="s">
        <v>1820</v>
      </c>
      <c r="E178" s="67">
        <f>D174/5.7</f>
        <v>4.385964912</v>
      </c>
      <c r="F178" s="251" t="s">
        <v>1803</v>
      </c>
      <c r="H178" s="74">
        <f>E178/3.5</f>
        <v>1.253132832</v>
      </c>
      <c r="I178" s="248" t="s">
        <v>1399</v>
      </c>
      <c r="J178" s="139" t="s">
        <v>1418</v>
      </c>
      <c r="K178" s="139">
        <f>K176/2000</f>
        <v>0.0075</v>
      </c>
    </row>
    <row r="179">
      <c r="C179" s="2" t="s">
        <v>1823</v>
      </c>
      <c r="E179" s="25">
        <f>100*( K177*1000*sqrt(K175) ) / (2400 * sqrt(K176))</f>
        <v>76.07257743</v>
      </c>
      <c r="F179" s="2" t="s">
        <v>1399</v>
      </c>
      <c r="G179" s="248" t="s">
        <v>1824</v>
      </c>
      <c r="H179" s="25">
        <f>E179*8</f>
        <v>608.5806195</v>
      </c>
      <c r="I179" s="251" t="s">
        <v>1803</v>
      </c>
      <c r="J179" s="139" t="s">
        <v>1498</v>
      </c>
      <c r="K179" s="139">
        <f>K177*10^3</f>
        <v>10000</v>
      </c>
    </row>
    <row r="180">
      <c r="C180" s="251" t="s">
        <v>1826</v>
      </c>
      <c r="D180" s="1"/>
      <c r="E180" s="26">
        <f>100*( K177*1000*sqrt(K175) ) / (10000 * sqrt(K176))</f>
        <v>18.25741858</v>
      </c>
      <c r="F180" s="2" t="s">
        <v>1399</v>
      </c>
      <c r="G180" s="248" t="s">
        <v>1824</v>
      </c>
      <c r="H180" s="25">
        <f>E180*2</f>
        <v>36.51483717</v>
      </c>
      <c r="I180" s="251" t="s">
        <v>1803</v>
      </c>
      <c r="J180" s="5" t="s">
        <v>13</v>
      </c>
      <c r="K180" s="102">
        <v>20.0</v>
      </c>
      <c r="L180" s="2" t="s">
        <v>1083</v>
      </c>
    </row>
    <row r="181">
      <c r="C181" s="2" t="s">
        <v>1842</v>
      </c>
      <c r="E181" s="25">
        <f>100*( K177*1000*sqrt(K175) ) / (25000 * sqrt(K176))</f>
        <v>7.302967433</v>
      </c>
      <c r="F181" s="2" t="s">
        <v>1399</v>
      </c>
      <c r="G181" s="248" t="s">
        <v>1824</v>
      </c>
      <c r="H181" s="25">
        <f>E181*3.5</f>
        <v>25.56038602</v>
      </c>
      <c r="I181" s="251" t="s">
        <v>1803</v>
      </c>
      <c r="J181" s="5" t="s">
        <v>1697</v>
      </c>
      <c r="K181" s="67">
        <f>100*K175/(K180*1000* PI()*K178^2)</f>
        <v>14.14710605</v>
      </c>
      <c r="L181" s="2" t="s">
        <v>1399</v>
      </c>
    </row>
    <row r="182">
      <c r="C182" s="1"/>
      <c r="D182" s="1"/>
      <c r="E182" s="1"/>
      <c r="F182" s="1"/>
      <c r="G182" s="139"/>
      <c r="H182" s="139"/>
      <c r="I182" s="139"/>
      <c r="J182" s="5" t="s">
        <v>1704</v>
      </c>
      <c r="K182" s="74">
        <f>K181/(K176/10)</f>
        <v>9.431404035</v>
      </c>
    </row>
    <row r="186">
      <c r="B186" s="253" t="s">
        <v>1657</v>
      </c>
      <c r="C186" s="1"/>
      <c r="D186" s="1"/>
      <c r="E186" s="140">
        <f>10^-6*0.5*K187*(K189*10^3)^2</f>
        <v>0.5</v>
      </c>
      <c r="F186" s="1" t="s">
        <v>43</v>
      </c>
      <c r="G186" s="139"/>
      <c r="H186" s="139"/>
      <c r="I186" s="139"/>
      <c r="J186" s="1"/>
      <c r="K186" s="251" t="s">
        <v>1883</v>
      </c>
      <c r="L186" s="1"/>
    </row>
    <row r="187">
      <c r="B187" s="1"/>
      <c r="C187" s="1"/>
      <c r="D187" s="1"/>
      <c r="E187" s="25">
        <f>E186/(PI()*(K188/20)^2)</f>
        <v>63.66197724</v>
      </c>
      <c r="F187" s="2" t="s">
        <v>1134</v>
      </c>
      <c r="G187" s="139"/>
      <c r="H187" s="139"/>
      <c r="I187" s="139"/>
      <c r="J187" s="139" t="s">
        <v>1491</v>
      </c>
      <c r="K187" s="249">
        <v>0.01</v>
      </c>
      <c r="L187" s="1" t="s">
        <v>36</v>
      </c>
    </row>
    <row r="188">
      <c r="B188" s="1"/>
      <c r="C188" s="2" t="s">
        <v>1799</v>
      </c>
      <c r="E188" s="26">
        <f>E186/0.13</f>
        <v>3.846153846</v>
      </c>
      <c r="F188" s="251" t="s">
        <v>1803</v>
      </c>
      <c r="G188" s="139"/>
      <c r="H188" s="140">
        <f>E188/8</f>
        <v>0.4807692308</v>
      </c>
      <c r="I188" s="248" t="s">
        <v>1399</v>
      </c>
      <c r="J188" s="248" t="s">
        <v>1787</v>
      </c>
      <c r="K188" s="249">
        <v>1.0</v>
      </c>
      <c r="L188" s="250" t="s">
        <v>1469</v>
      </c>
    </row>
    <row r="189">
      <c r="B189" s="1"/>
      <c r="C189" s="2" t="s">
        <v>1814</v>
      </c>
      <c r="E189" s="25">
        <f>E186/0.73</f>
        <v>0.6849315068</v>
      </c>
      <c r="F189" s="251" t="s">
        <v>1803</v>
      </c>
      <c r="G189" s="139"/>
      <c r="H189" s="25">
        <f>E189/2</f>
        <v>0.3424657534</v>
      </c>
      <c r="I189" s="248" t="s">
        <v>1399</v>
      </c>
      <c r="J189" s="139" t="s">
        <v>1498</v>
      </c>
      <c r="K189" s="249">
        <v>10.0</v>
      </c>
      <c r="L189" s="253" t="s">
        <v>87</v>
      </c>
    </row>
    <row r="190">
      <c r="C190" s="2" t="s">
        <v>1820</v>
      </c>
      <c r="E190" s="67">
        <f>E186/5.7</f>
        <v>0.08771929825</v>
      </c>
      <c r="F190" s="251" t="s">
        <v>1803</v>
      </c>
      <c r="H190" s="74">
        <f>E190/3.5</f>
        <v>0.02506265664</v>
      </c>
      <c r="I190" s="248" t="s">
        <v>1399</v>
      </c>
      <c r="J190" s="139" t="s">
        <v>1418</v>
      </c>
      <c r="K190" s="139">
        <f>K188/2000</f>
        <v>0.0005</v>
      </c>
      <c r="M190" s="2" t="s">
        <v>189</v>
      </c>
    </row>
    <row r="191">
      <c r="C191" s="2" t="s">
        <v>1823</v>
      </c>
      <c r="E191" s="25">
        <f>100*( K189*1000*sqrt(K187) ) / (2400 * sqrt(K188))</f>
        <v>41.66666667</v>
      </c>
      <c r="F191" s="2" t="s">
        <v>1399</v>
      </c>
      <c r="G191" s="248" t="s">
        <v>1824</v>
      </c>
      <c r="H191" s="25">
        <f>E191*8</f>
        <v>333.3333333</v>
      </c>
      <c r="I191" s="251" t="s">
        <v>1803</v>
      </c>
      <c r="J191" s="139" t="s">
        <v>1498</v>
      </c>
      <c r="K191" s="139">
        <f>K189*10^3</f>
        <v>10000</v>
      </c>
      <c r="M191" s="2" t="s">
        <v>201</v>
      </c>
    </row>
    <row r="192">
      <c r="B192" s="1"/>
      <c r="C192" s="251" t="s">
        <v>1826</v>
      </c>
      <c r="D192" s="1"/>
      <c r="E192" s="26">
        <f>100*( K189*1000*sqrt(K187) ) / (10000 * sqrt(K188))</f>
        <v>10</v>
      </c>
      <c r="F192" s="2" t="s">
        <v>1399</v>
      </c>
      <c r="G192" s="248" t="s">
        <v>1824</v>
      </c>
      <c r="H192" s="25">
        <f>E192*2</f>
        <v>20</v>
      </c>
      <c r="I192" s="251" t="s">
        <v>1803</v>
      </c>
      <c r="J192" s="5" t="s">
        <v>13</v>
      </c>
      <c r="K192" s="102">
        <v>10.0</v>
      </c>
      <c r="L192" s="2" t="s">
        <v>1083</v>
      </c>
    </row>
    <row r="193">
      <c r="B193" s="1"/>
      <c r="C193" s="2" t="s">
        <v>1842</v>
      </c>
      <c r="E193" s="25">
        <f>100*( K189*1000*sqrt(K187) ) / (25000 * sqrt(K188))</f>
        <v>4</v>
      </c>
      <c r="F193" s="2" t="s">
        <v>1399</v>
      </c>
      <c r="G193" s="248" t="s">
        <v>1824</v>
      </c>
      <c r="H193" s="25">
        <f>E193*3.5</f>
        <v>14</v>
      </c>
      <c r="I193" s="251" t="s">
        <v>1803</v>
      </c>
      <c r="J193" s="5" t="s">
        <v>1697</v>
      </c>
      <c r="K193" s="67">
        <f>100*K187/(K192*1000* PI()*K190^2)</f>
        <v>127.3239545</v>
      </c>
      <c r="L193" s="2" t="s">
        <v>1399</v>
      </c>
    </row>
    <row r="194">
      <c r="B194" s="1"/>
      <c r="C194" s="1"/>
      <c r="D194" s="1"/>
      <c r="E194" s="1"/>
      <c r="F194" s="1"/>
      <c r="G194" s="139"/>
      <c r="H194" s="139"/>
      <c r="I194" s="139"/>
      <c r="J194" s="5" t="s">
        <v>1704</v>
      </c>
      <c r="K194" s="74">
        <f>K193/(K188/10)</f>
        <v>1273.239545</v>
      </c>
    </row>
    <row r="196">
      <c r="B196" s="253" t="s">
        <v>1657</v>
      </c>
      <c r="C196" s="1"/>
      <c r="D196" s="1"/>
      <c r="E196" s="140">
        <f>10^-6*0.5*K197*(K199*10^3)^2</f>
        <v>200</v>
      </c>
      <c r="F196" s="1" t="s">
        <v>43</v>
      </c>
      <c r="G196" s="139"/>
      <c r="H196" s="139"/>
      <c r="I196" s="139"/>
      <c r="J196" s="1"/>
      <c r="K196" s="251" t="s">
        <v>1891</v>
      </c>
      <c r="L196" s="1"/>
      <c r="R196" s="2" t="s">
        <v>2045</v>
      </c>
      <c r="S196" s="163">
        <f>1/2*S198*S197*10^6</f>
        <v>1412723.481</v>
      </c>
      <c r="T196" s="2" t="s">
        <v>496</v>
      </c>
    </row>
    <row r="197">
      <c r="B197" s="1"/>
      <c r="C197" s="1"/>
      <c r="D197" s="1"/>
      <c r="E197" s="25">
        <f>E196/(PI()*(K198/20)^2)</f>
        <v>28.29421211</v>
      </c>
      <c r="F197" s="2" t="s">
        <v>1134</v>
      </c>
      <c r="G197" s="139"/>
      <c r="H197" s="139"/>
      <c r="I197" s="139"/>
      <c r="J197" s="139" t="s">
        <v>1491</v>
      </c>
      <c r="K197" s="249">
        <v>1.0</v>
      </c>
      <c r="L197" s="1" t="s">
        <v>36</v>
      </c>
      <c r="N197">
        <f>K199*3</f>
        <v>60</v>
      </c>
      <c r="O197" s="2" t="s">
        <v>1503</v>
      </c>
      <c r="R197" s="2" t="s">
        <v>2054</v>
      </c>
      <c r="S197" s="2">
        <f>10^5</f>
        <v>100000</v>
      </c>
      <c r="T197" s="2" t="s">
        <v>639</v>
      </c>
    </row>
    <row r="198">
      <c r="B198" s="1"/>
      <c r="C198" s="2" t="s">
        <v>1799</v>
      </c>
      <c r="E198" s="26">
        <f>E196/0.13</f>
        <v>1538.461538</v>
      </c>
      <c r="F198" s="251" t="s">
        <v>1803</v>
      </c>
      <c r="G198" s="139"/>
      <c r="H198" s="140">
        <f>E198/8</f>
        <v>192.3076923</v>
      </c>
      <c r="I198" s="248" t="s">
        <v>1399</v>
      </c>
      <c r="J198" s="248" t="s">
        <v>1787</v>
      </c>
      <c r="K198" s="249">
        <v>30.0</v>
      </c>
      <c r="L198" s="250" t="s">
        <v>1469</v>
      </c>
      <c r="N198">
        <f>K197/18*N197^2</f>
        <v>200</v>
      </c>
      <c r="O198" s="2" t="s">
        <v>43</v>
      </c>
      <c r="R198" s="2" t="s">
        <v>2060</v>
      </c>
      <c r="S198" s="155">
        <f>S161*S200^2*S201/S202 </f>
        <v>0.00002825446962</v>
      </c>
      <c r="T198" s="2" t="s">
        <v>701</v>
      </c>
    </row>
    <row r="199">
      <c r="B199" s="1"/>
      <c r="C199" s="2" t="s">
        <v>1814</v>
      </c>
      <c r="E199" s="25">
        <f>E196/0.73</f>
        <v>273.9726027</v>
      </c>
      <c r="F199" s="251" t="s">
        <v>1803</v>
      </c>
      <c r="G199" s="139"/>
      <c r="H199" s="25">
        <f>E199/2</f>
        <v>136.9863014</v>
      </c>
      <c r="I199" s="248" t="s">
        <v>1399</v>
      </c>
      <c r="J199" s="139" t="s">
        <v>1498</v>
      </c>
      <c r="K199" s="249">
        <v>20.0</v>
      </c>
      <c r="L199" s="253" t="s">
        <v>87</v>
      </c>
      <c r="N199" s="38">
        <f>E202/N197</f>
        <v>0.6085806195</v>
      </c>
      <c r="O199" s="2" t="s">
        <v>1878</v>
      </c>
    </row>
    <row r="200">
      <c r="C200" s="2" t="s">
        <v>1820</v>
      </c>
      <c r="E200" s="67">
        <f>E196/5.7</f>
        <v>35.0877193</v>
      </c>
      <c r="F200" s="251" t="s">
        <v>1803</v>
      </c>
      <c r="H200" s="74">
        <f>E200/3.5</f>
        <v>10.02506266</v>
      </c>
      <c r="I200" s="248" t="s">
        <v>1399</v>
      </c>
      <c r="J200" s="139" t="s">
        <v>1418</v>
      </c>
      <c r="K200" s="139">
        <f>K198/2000</f>
        <v>0.015</v>
      </c>
      <c r="M200" s="2" t="s">
        <v>189</v>
      </c>
      <c r="R200" s="2" t="s">
        <v>2064</v>
      </c>
      <c r="S200" s="2">
        <v>100.0</v>
      </c>
      <c r="T200" s="2" t="s">
        <v>889</v>
      </c>
    </row>
    <row r="201">
      <c r="C201" s="2" t="s">
        <v>1823</v>
      </c>
      <c r="E201" s="25">
        <f>100*( K199*1000*sqrt(K197) ) / (2400 * sqrt(K198))</f>
        <v>152.1451549</v>
      </c>
      <c r="F201" s="2" t="s">
        <v>1399</v>
      </c>
      <c r="G201" s="248" t="s">
        <v>1824</v>
      </c>
      <c r="H201" s="25">
        <f>E201*8</f>
        <v>1217.161239</v>
      </c>
      <c r="I201" s="251" t="s">
        <v>1803</v>
      </c>
      <c r="J201" s="139" t="s">
        <v>1498</v>
      </c>
      <c r="K201" s="139">
        <f>K199*10^3</f>
        <v>20000</v>
      </c>
      <c r="M201" s="2" t="s">
        <v>201</v>
      </c>
      <c r="R201" s="2" t="s">
        <v>2067</v>
      </c>
      <c r="S201" s="163">
        <f>PI()*S203^2</f>
        <v>0.0007068583471</v>
      </c>
      <c r="T201" s="2" t="s">
        <v>640</v>
      </c>
    </row>
    <row r="202">
      <c r="C202" s="251" t="s">
        <v>1826</v>
      </c>
      <c r="D202" s="1"/>
      <c r="E202" s="26">
        <f>100*( K199*1000*sqrt(K197) ) / (10000 * sqrt(K198))</f>
        <v>36.51483717</v>
      </c>
      <c r="F202" s="2" t="s">
        <v>1399</v>
      </c>
      <c r="G202" s="248" t="s">
        <v>1824</v>
      </c>
      <c r="H202" s="25">
        <f>E202*2</f>
        <v>73.02967433</v>
      </c>
      <c r="I202" s="251" t="s">
        <v>1803</v>
      </c>
      <c r="J202" s="5" t="s">
        <v>13</v>
      </c>
      <c r="K202" s="102">
        <v>4.5</v>
      </c>
      <c r="L202" s="2" t="s">
        <v>1083</v>
      </c>
      <c r="R202" s="2" t="s">
        <v>2074</v>
      </c>
      <c r="S202" s="38">
        <f>K203/100</f>
        <v>0.3143801345</v>
      </c>
      <c r="T202" s="2" t="s">
        <v>189</v>
      </c>
      <c r="U202" s="2" t="s">
        <v>2075</v>
      </c>
    </row>
    <row r="203">
      <c r="C203" s="2" t="s">
        <v>1842</v>
      </c>
      <c r="E203" s="25">
        <f>100*( K199*1000*sqrt(K197) ) / (25000 * sqrt(K198))</f>
        <v>14.60593487</v>
      </c>
      <c r="F203" s="2" t="s">
        <v>1399</v>
      </c>
      <c r="G203" s="248" t="s">
        <v>1824</v>
      </c>
      <c r="H203" s="25">
        <f>E203*3.5</f>
        <v>51.12077203</v>
      </c>
      <c r="I203" s="251" t="s">
        <v>1803</v>
      </c>
      <c r="J203" s="5" t="s">
        <v>1697</v>
      </c>
      <c r="K203" s="67">
        <f>K197/(K202*10* PI()*K200^2)</f>
        <v>31.43801345</v>
      </c>
      <c r="L203" s="2" t="s">
        <v>1399</v>
      </c>
      <c r="R203" s="2" t="s">
        <v>2077</v>
      </c>
      <c r="S203" s="2">
        <f>K200</f>
        <v>0.015</v>
      </c>
      <c r="T203" s="2" t="s">
        <v>189</v>
      </c>
      <c r="U203" s="2" t="s">
        <v>2079</v>
      </c>
    </row>
    <row r="204">
      <c r="J204" s="5" t="s">
        <v>1704</v>
      </c>
      <c r="K204" s="74">
        <f>K203/(K198/10)</f>
        <v>10.47933782</v>
      </c>
    </row>
    <row r="205">
      <c r="R205" s="2" t="s">
        <v>2082</v>
      </c>
      <c r="S205" s="25">
        <f>sqrt(2*S196/K197)</f>
        <v>1680.906589</v>
      </c>
      <c r="T205" s="2" t="s">
        <v>201</v>
      </c>
      <c r="U205" s="2" t="s">
        <v>2083</v>
      </c>
      <c r="W205" s="2" t="s">
        <v>2084</v>
      </c>
    </row>
    <row r="206">
      <c r="R206" s="2" t="s">
        <v>2085</v>
      </c>
      <c r="S206" s="25">
        <f>S205^2/(2*S202)</f>
        <v>4493679.232</v>
      </c>
      <c r="T206" s="2" t="s">
        <v>201</v>
      </c>
      <c r="U206" s="2" t="s">
        <v>2087</v>
      </c>
      <c r="W206" s="2" t="s">
        <v>2088</v>
      </c>
    </row>
    <row r="208">
      <c r="T208" s="2" t="s">
        <v>2091</v>
      </c>
    </row>
    <row r="214">
      <c r="A214" s="2" t="s">
        <v>208</v>
      </c>
      <c r="G214" s="5"/>
      <c r="H214" s="5"/>
      <c r="I214" s="5"/>
    </row>
    <row r="215">
      <c r="A215" s="6">
        <v>0.0</v>
      </c>
      <c r="B215" s="2" t="s">
        <v>1657</v>
      </c>
      <c r="E215" s="25">
        <f>10^-3*0.5*K216*(K218*10^3)^2</f>
        <v>625</v>
      </c>
      <c r="F215" s="2" t="s">
        <v>265</v>
      </c>
      <c r="G215" s="5"/>
      <c r="H215" s="5"/>
      <c r="I215" s="5"/>
      <c r="K215" s="2" t="s">
        <v>2096</v>
      </c>
    </row>
    <row r="216">
      <c r="A216" s="123"/>
      <c r="E216" s="25">
        <f>E215/(PI()*(K217/20)^2)</f>
        <v>1.989436789</v>
      </c>
      <c r="F216" s="2" t="s">
        <v>1409</v>
      </c>
      <c r="G216" s="5"/>
      <c r="H216" s="5"/>
      <c r="I216" s="5"/>
      <c r="J216" s="5" t="s">
        <v>1491</v>
      </c>
      <c r="K216" s="206">
        <v>20.0</v>
      </c>
      <c r="L216" s="2" t="s">
        <v>36</v>
      </c>
    </row>
    <row r="217">
      <c r="A217" s="123"/>
      <c r="C217" s="2" t="s">
        <v>1786</v>
      </c>
      <c r="E217" s="25">
        <f>E215*1000/100</f>
        <v>6250</v>
      </c>
      <c r="F217" s="2" t="s">
        <v>93</v>
      </c>
      <c r="G217" s="5"/>
      <c r="H217" s="5"/>
      <c r="I217" s="5"/>
      <c r="J217" s="248" t="s">
        <v>1787</v>
      </c>
      <c r="K217" s="249">
        <v>200.0</v>
      </c>
      <c r="L217" s="250" t="s">
        <v>1469</v>
      </c>
    </row>
    <row r="218">
      <c r="A218" s="123"/>
      <c r="C218" s="2" t="s">
        <v>1799</v>
      </c>
      <c r="E218" s="141">
        <f>10^-3*E215/0.13</f>
        <v>4.807692308</v>
      </c>
      <c r="F218" s="251" t="s">
        <v>1803</v>
      </c>
      <c r="H218" s="231">
        <f>E218/8</f>
        <v>0.6009615385</v>
      </c>
      <c r="I218" s="248" t="s">
        <v>1399</v>
      </c>
      <c r="J218" s="5" t="s">
        <v>1498</v>
      </c>
      <c r="K218" s="206">
        <v>0.25</v>
      </c>
      <c r="L218" s="2" t="s">
        <v>87</v>
      </c>
    </row>
    <row r="219">
      <c r="A219" s="123"/>
      <c r="C219" s="2" t="s">
        <v>1814</v>
      </c>
      <c r="E219" s="38">
        <f>10^-3*E215/0.73</f>
        <v>0.8561643836</v>
      </c>
      <c r="F219" s="251" t="s">
        <v>1803</v>
      </c>
      <c r="H219" s="74">
        <f>E219/2</f>
        <v>0.4280821918</v>
      </c>
      <c r="I219" s="248" t="s">
        <v>1399</v>
      </c>
      <c r="J219" s="139" t="s">
        <v>1418</v>
      </c>
      <c r="K219" s="139">
        <f>K217/2000</f>
        <v>0.1</v>
      </c>
      <c r="M219" s="2" t="s">
        <v>189</v>
      </c>
    </row>
    <row r="220">
      <c r="A220" s="123"/>
      <c r="C220" s="2" t="s">
        <v>1820</v>
      </c>
      <c r="E220" s="252">
        <f>10^-3*E215/5.7</f>
        <v>0.1096491228</v>
      </c>
      <c r="F220" s="251" t="s">
        <v>1803</v>
      </c>
      <c r="H220" s="74">
        <f>E220/3.5</f>
        <v>0.0313283208</v>
      </c>
      <c r="I220" s="248" t="s">
        <v>1399</v>
      </c>
      <c r="J220" s="139" t="s">
        <v>1498</v>
      </c>
      <c r="K220" s="139">
        <f>K218*10^3</f>
        <v>250</v>
      </c>
      <c r="M220" s="2" t="s">
        <v>201</v>
      </c>
    </row>
    <row r="221">
      <c r="A221" s="123"/>
      <c r="C221" s="2" t="s">
        <v>1823</v>
      </c>
      <c r="E221" s="25">
        <f>100*( K218*1000*sqrt(K216) ) / (2400 * sqrt(K217))</f>
        <v>3.294039229</v>
      </c>
      <c r="F221" s="2" t="s">
        <v>1399</v>
      </c>
      <c r="G221" s="248" t="s">
        <v>1824</v>
      </c>
      <c r="H221" s="25">
        <f>E221*8</f>
        <v>26.35231383</v>
      </c>
      <c r="I221" s="251" t="s">
        <v>1803</v>
      </c>
      <c r="J221" s="5" t="s">
        <v>13</v>
      </c>
      <c r="K221" s="102">
        <v>10.0</v>
      </c>
      <c r="L221" s="2" t="s">
        <v>1083</v>
      </c>
    </row>
    <row r="222">
      <c r="A222" s="123"/>
      <c r="C222" s="251" t="s">
        <v>1826</v>
      </c>
      <c r="E222" s="74">
        <f>100*( K218*1000*sqrt(K216) ) / (10000 * sqrt(K217))</f>
        <v>0.790569415</v>
      </c>
      <c r="F222" s="2" t="s">
        <v>1399</v>
      </c>
      <c r="G222" s="248" t="s">
        <v>1824</v>
      </c>
      <c r="H222">
        <f>E222*2</f>
        <v>1.58113883</v>
      </c>
      <c r="I222" s="251" t="s">
        <v>1803</v>
      </c>
      <c r="J222" s="5" t="s">
        <v>1697</v>
      </c>
      <c r="K222" s="67">
        <f>K216/(K221*10* PI()*K219^2)</f>
        <v>6.366197724</v>
      </c>
      <c r="L222" s="2" t="s">
        <v>1399</v>
      </c>
    </row>
    <row r="223">
      <c r="A223" s="123"/>
      <c r="G223" s="5"/>
      <c r="H223" s="5"/>
      <c r="I223" s="5"/>
      <c r="J223" s="5" t="s">
        <v>1704</v>
      </c>
      <c r="K223" s="25">
        <f>K222/(K217/10)</f>
        <v>0.3183098862</v>
      </c>
    </row>
  </sheetData>
  <mergeCells count="34">
    <mergeCell ref="K60:L60"/>
    <mergeCell ref="K69:L69"/>
    <mergeCell ref="X69:Y69"/>
    <mergeCell ref="K70:L70"/>
    <mergeCell ref="X70:Y70"/>
    <mergeCell ref="K20:L20"/>
    <mergeCell ref="K21:L21"/>
    <mergeCell ref="K39:L39"/>
    <mergeCell ref="K40:L40"/>
    <mergeCell ref="K49:L49"/>
    <mergeCell ref="K50:L50"/>
    <mergeCell ref="K59:L59"/>
    <mergeCell ref="K78:L78"/>
    <mergeCell ref="K79:L79"/>
    <mergeCell ref="K87:L87"/>
    <mergeCell ref="K88:L88"/>
    <mergeCell ref="K96:L96"/>
    <mergeCell ref="K97:L97"/>
    <mergeCell ref="K107:L107"/>
    <mergeCell ref="K178:L178"/>
    <mergeCell ref="K179:L179"/>
    <mergeCell ref="K190:L190"/>
    <mergeCell ref="K191:L191"/>
    <mergeCell ref="K200:L200"/>
    <mergeCell ref="K201:L201"/>
    <mergeCell ref="K219:L219"/>
    <mergeCell ref="K220:L220"/>
    <mergeCell ref="K108:L108"/>
    <mergeCell ref="K117:L117"/>
    <mergeCell ref="K118:L118"/>
    <mergeCell ref="K153:L153"/>
    <mergeCell ref="K154:L154"/>
    <mergeCell ref="K165:L165"/>
    <mergeCell ref="K166:L166"/>
  </mergeCells>
  <hyperlinks>
    <hyperlink r:id="rId1" location="bettergun" ref="B3"/>
    <hyperlink r:id="rId2" location="id--Kinetic_Kill_Weapons--Railguns" ref="B6"/>
    <hyperlink r:id="rId3" ref="P37"/>
    <hyperlink r:id="rId4" ref="P52"/>
    <hyperlink r:id="rId5" ref="S84"/>
  </hyperlinks>
  <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63"/>
    <col customWidth="1" min="4" max="4" width="6.25"/>
    <col customWidth="1" min="5" max="5" width="7.5"/>
    <col customWidth="1" min="6" max="6" width="7.75"/>
    <col customWidth="1" min="7" max="7" width="7.13"/>
    <col customWidth="1" min="8" max="8" width="6.63"/>
    <col customWidth="1" min="9" max="9" width="20.63"/>
    <col customWidth="1" min="10" max="10" width="9.0"/>
    <col customWidth="1" min="11" max="11" width="9.25"/>
    <col customWidth="1" min="12" max="12" width="7.63"/>
    <col customWidth="1" min="13" max="13" width="5.5"/>
    <col customWidth="1" min="14" max="14" width="29.75"/>
    <col customWidth="1" min="15" max="15" width="6.5"/>
    <col customWidth="1" min="16" max="16" width="4.88"/>
    <col customWidth="1" min="17" max="17" width="6.38"/>
  </cols>
  <sheetData>
    <row r="1">
      <c r="O1" s="29"/>
      <c r="P1" s="29"/>
      <c r="Q1" s="29"/>
    </row>
    <row r="2">
      <c r="O2" s="29"/>
      <c r="P2" s="29"/>
      <c r="Q2" s="29"/>
    </row>
    <row r="3">
      <c r="O3" s="8" t="s">
        <v>265</v>
      </c>
      <c r="P3" s="8" t="s">
        <v>93</v>
      </c>
      <c r="Q3" s="8" t="s">
        <v>87</v>
      </c>
    </row>
    <row r="4">
      <c r="C4" s="3" t="s">
        <v>1832</v>
      </c>
      <c r="D4" s="3" t="s">
        <v>1835</v>
      </c>
      <c r="E4" s="3" t="s">
        <v>1461</v>
      </c>
      <c r="F4" s="3" t="s">
        <v>1937</v>
      </c>
      <c r="G4" s="3" t="s">
        <v>1938</v>
      </c>
      <c r="H4" s="3" t="s">
        <v>1939</v>
      </c>
      <c r="I4" s="52" t="s">
        <v>1785</v>
      </c>
      <c r="L4" s="3" t="s">
        <v>1832</v>
      </c>
      <c r="M4" s="3" t="s">
        <v>1835</v>
      </c>
      <c r="N4" s="52" t="s">
        <v>1785</v>
      </c>
      <c r="O4" s="3" t="s">
        <v>67</v>
      </c>
      <c r="P4" s="3" t="s">
        <v>73</v>
      </c>
      <c r="Q4" s="3" t="s">
        <v>207</v>
      </c>
    </row>
    <row r="5">
      <c r="A5" s="52" t="s">
        <v>1940</v>
      </c>
      <c r="B5" s="169" t="s">
        <v>1816</v>
      </c>
      <c r="C5" s="260" t="s">
        <v>1941</v>
      </c>
      <c r="D5" s="260"/>
      <c r="E5" s="260" t="s">
        <v>1870</v>
      </c>
      <c r="F5" s="260">
        <v>-2.0</v>
      </c>
      <c r="G5" s="260" t="s">
        <v>1942</v>
      </c>
      <c r="H5" s="260">
        <v>30.0</v>
      </c>
      <c r="I5" s="2" t="s">
        <v>1943</v>
      </c>
      <c r="J5" s="52" t="s">
        <v>1944</v>
      </c>
      <c r="K5" s="2" t="s">
        <v>1942</v>
      </c>
      <c r="L5" s="8">
        <v>1.0</v>
      </c>
      <c r="M5" s="8"/>
      <c r="O5" s="8">
        <v>5.0</v>
      </c>
      <c r="P5" s="8">
        <v>10.0</v>
      </c>
      <c r="Q5" s="8">
        <v>1.0</v>
      </c>
    </row>
    <row r="6">
      <c r="B6" s="2" t="s">
        <v>1945</v>
      </c>
      <c r="C6" s="8" t="s">
        <v>1946</v>
      </c>
      <c r="D6" s="8"/>
      <c r="E6" s="8" t="s">
        <v>1870</v>
      </c>
      <c r="F6" s="8">
        <v>-1.0</v>
      </c>
      <c r="G6" s="8" t="s">
        <v>1942</v>
      </c>
      <c r="H6" s="8">
        <v>50.0</v>
      </c>
      <c r="K6" s="169" t="s">
        <v>1947</v>
      </c>
      <c r="L6" s="260">
        <v>2.0</v>
      </c>
      <c r="M6" s="260"/>
      <c r="N6" s="59"/>
      <c r="O6" s="260">
        <v>50.0</v>
      </c>
      <c r="P6" s="260">
        <v>50.0</v>
      </c>
      <c r="Q6" s="260">
        <v>1.5</v>
      </c>
    </row>
    <row r="7">
      <c r="B7" s="169" t="s">
        <v>1948</v>
      </c>
      <c r="C7" s="260" t="s">
        <v>1949</v>
      </c>
      <c r="D7" s="260"/>
      <c r="E7" s="260" t="s">
        <v>1950</v>
      </c>
      <c r="F7" s="260">
        <v>-1.0</v>
      </c>
      <c r="G7" s="260" t="s">
        <v>1947</v>
      </c>
      <c r="H7" s="260">
        <v>30.0</v>
      </c>
      <c r="K7" s="2" t="s">
        <v>1951</v>
      </c>
      <c r="L7" s="8">
        <v>3.0</v>
      </c>
      <c r="M7" s="8"/>
      <c r="O7" s="8">
        <v>500.0</v>
      </c>
      <c r="P7" s="8">
        <v>400.0</v>
      </c>
      <c r="Q7" s="8">
        <v>1.5</v>
      </c>
    </row>
    <row r="8">
      <c r="B8" s="2" t="s">
        <v>1952</v>
      </c>
      <c r="C8" s="8">
        <v>2.0</v>
      </c>
      <c r="D8" s="8"/>
      <c r="E8" s="8" t="s">
        <v>1870</v>
      </c>
      <c r="F8" s="8">
        <v>-2.0</v>
      </c>
      <c r="G8" s="8" t="s">
        <v>1947</v>
      </c>
      <c r="H8" s="8">
        <v>10.0</v>
      </c>
      <c r="K8" s="169" t="s">
        <v>1953</v>
      </c>
      <c r="L8" s="260">
        <v>4.0</v>
      </c>
      <c r="M8" s="260"/>
      <c r="N8" s="59"/>
      <c r="O8" s="260" t="s">
        <v>1330</v>
      </c>
      <c r="P8" s="260" t="s">
        <v>1954</v>
      </c>
      <c r="Q8" s="260">
        <v>3.0</v>
      </c>
    </row>
    <row r="9">
      <c r="B9" s="169" t="s">
        <v>1916</v>
      </c>
      <c r="C9" s="260" t="s">
        <v>1955</v>
      </c>
      <c r="D9" s="260"/>
      <c r="E9" s="260" t="s">
        <v>1950</v>
      </c>
      <c r="F9" s="260">
        <v>0.0</v>
      </c>
      <c r="G9" s="260" t="s">
        <v>1947</v>
      </c>
      <c r="H9" s="260">
        <v>100.0</v>
      </c>
      <c r="K9" s="2" t="s">
        <v>1956</v>
      </c>
      <c r="L9" s="8">
        <v>5.0</v>
      </c>
      <c r="M9" s="8"/>
      <c r="O9" s="8" t="s">
        <v>1235</v>
      </c>
      <c r="P9" s="8" t="s">
        <v>1957</v>
      </c>
      <c r="Q9" s="8">
        <v>3.0</v>
      </c>
    </row>
    <row r="10">
      <c r="B10" s="2" t="s">
        <v>1958</v>
      </c>
      <c r="C10" s="8" t="s">
        <v>1959</v>
      </c>
      <c r="D10" s="8"/>
      <c r="E10" s="8" t="s">
        <v>1950</v>
      </c>
      <c r="F10" s="8">
        <v>1.0</v>
      </c>
      <c r="G10" s="8" t="s">
        <v>1951</v>
      </c>
      <c r="H10" s="8">
        <v>30.0</v>
      </c>
      <c r="J10" s="4" t="s">
        <v>1960</v>
      </c>
      <c r="K10" s="169" t="s">
        <v>1961</v>
      </c>
      <c r="L10" s="260">
        <v>1.0</v>
      </c>
      <c r="M10" s="260">
        <v>1.0</v>
      </c>
      <c r="O10" s="29"/>
      <c r="P10" s="29"/>
      <c r="Q10" s="29"/>
    </row>
    <row r="11">
      <c r="B11" s="169" t="s">
        <v>1962</v>
      </c>
      <c r="C11" s="260" t="s">
        <v>1963</v>
      </c>
      <c r="D11" s="260"/>
      <c r="E11" s="260" t="s">
        <v>1868</v>
      </c>
      <c r="F11" s="260">
        <v>2.0</v>
      </c>
      <c r="G11" s="260" t="s">
        <v>1953</v>
      </c>
      <c r="H11" s="260">
        <v>100.0</v>
      </c>
      <c r="J11" s="52"/>
      <c r="K11" s="2" t="s">
        <v>1964</v>
      </c>
      <c r="L11" s="8">
        <v>1.0</v>
      </c>
      <c r="M11" s="8">
        <v>4.0</v>
      </c>
      <c r="O11" s="29"/>
      <c r="P11" s="29"/>
      <c r="Q11" s="29"/>
    </row>
    <row r="12">
      <c r="B12" s="2" t="s">
        <v>1925</v>
      </c>
      <c r="C12" s="8">
        <v>5.0</v>
      </c>
      <c r="D12" s="8"/>
      <c r="E12" s="8" t="s">
        <v>1868</v>
      </c>
      <c r="F12" s="8">
        <v>3.0</v>
      </c>
      <c r="G12" s="8" t="s">
        <v>1956</v>
      </c>
      <c r="H12" s="8"/>
      <c r="K12" s="169" t="s">
        <v>1965</v>
      </c>
      <c r="L12" s="260">
        <v>2.0</v>
      </c>
      <c r="M12" s="260">
        <v>9.0</v>
      </c>
      <c r="O12" s="29"/>
      <c r="P12" s="29"/>
      <c r="Q12" s="29"/>
    </row>
    <row r="13">
      <c r="K13" s="2" t="s">
        <v>1966</v>
      </c>
      <c r="L13" s="8">
        <v>3.0</v>
      </c>
      <c r="M13" s="8">
        <v>20.0</v>
      </c>
      <c r="O13" s="29"/>
      <c r="P13" s="29"/>
      <c r="Q13" s="29"/>
    </row>
    <row r="14">
      <c r="C14" s="3" t="s">
        <v>1832</v>
      </c>
      <c r="D14" s="3" t="s">
        <v>1835</v>
      </c>
      <c r="E14" s="3" t="s">
        <v>1461</v>
      </c>
      <c r="F14" s="3" t="s">
        <v>1937</v>
      </c>
      <c r="G14" s="3" t="s">
        <v>1938</v>
      </c>
      <c r="H14" s="3" t="s">
        <v>1939</v>
      </c>
      <c r="K14" s="169" t="s">
        <v>1967</v>
      </c>
      <c r="L14" s="260">
        <v>4.0</v>
      </c>
      <c r="M14" s="260">
        <v>40.0</v>
      </c>
      <c r="O14" s="29"/>
      <c r="P14" s="29"/>
      <c r="Q14" s="29"/>
    </row>
    <row r="15">
      <c r="A15" s="52" t="s">
        <v>1969</v>
      </c>
      <c r="B15" s="2" t="s">
        <v>1923</v>
      </c>
      <c r="C15" s="8">
        <v>0.0</v>
      </c>
      <c r="D15" s="8"/>
      <c r="E15" s="8" t="s">
        <v>1950</v>
      </c>
      <c r="F15" s="8">
        <v>-2.0</v>
      </c>
      <c r="G15" s="8" t="s">
        <v>1970</v>
      </c>
      <c r="H15" s="8">
        <v>100.0</v>
      </c>
      <c r="I15" s="2" t="s">
        <v>1971</v>
      </c>
      <c r="K15" s="2" t="s">
        <v>1972</v>
      </c>
      <c r="L15" s="193" t="s">
        <v>1973</v>
      </c>
      <c r="N15" s="2" t="s">
        <v>1974</v>
      </c>
      <c r="O15" s="29"/>
      <c r="P15" s="29"/>
      <c r="Q15" s="29"/>
    </row>
    <row r="16">
      <c r="B16" s="169" t="s">
        <v>1843</v>
      </c>
      <c r="C16" s="260" t="s">
        <v>282</v>
      </c>
      <c r="D16" s="260">
        <v>40.0</v>
      </c>
      <c r="E16" s="260" t="s">
        <v>1975</v>
      </c>
      <c r="F16" s="260">
        <v>0.0</v>
      </c>
      <c r="G16" s="260" t="s">
        <v>1976</v>
      </c>
      <c r="H16" s="260">
        <v>100.0</v>
      </c>
      <c r="I16" s="2" t="s">
        <v>1977</v>
      </c>
      <c r="K16" s="169" t="s">
        <v>1978</v>
      </c>
      <c r="L16" s="260" t="s">
        <v>183</v>
      </c>
      <c r="M16" s="59"/>
      <c r="N16" s="169" t="s">
        <v>1980</v>
      </c>
      <c r="O16" s="29"/>
      <c r="P16" s="29"/>
      <c r="Q16" s="29"/>
    </row>
    <row r="17">
      <c r="B17" s="2" t="s">
        <v>1882</v>
      </c>
      <c r="C17" s="8" t="s">
        <v>1846</v>
      </c>
      <c r="D17" s="8">
        <v>40.0</v>
      </c>
      <c r="E17" s="8" t="s">
        <v>1975</v>
      </c>
      <c r="F17" s="8">
        <v>1.0</v>
      </c>
      <c r="G17" s="8" t="s">
        <v>1985</v>
      </c>
      <c r="H17" s="8">
        <v>100.0</v>
      </c>
      <c r="I17" s="2" t="s">
        <v>1987</v>
      </c>
      <c r="K17" s="2" t="s">
        <v>1990</v>
      </c>
      <c r="L17" s="8" t="s">
        <v>183</v>
      </c>
      <c r="M17" s="8" t="s">
        <v>1991</v>
      </c>
      <c r="N17" s="2" t="s">
        <v>1993</v>
      </c>
      <c r="O17" s="29"/>
      <c r="P17" s="29"/>
      <c r="Q17" s="29"/>
    </row>
    <row r="18">
      <c r="B18" s="169" t="s">
        <v>1995</v>
      </c>
      <c r="C18" s="260" t="s">
        <v>338</v>
      </c>
      <c r="D18" s="260">
        <v>75.0</v>
      </c>
      <c r="E18" s="260" t="s">
        <v>1975</v>
      </c>
      <c r="F18" s="260">
        <v>2.0</v>
      </c>
      <c r="G18" s="260" t="s">
        <v>1996</v>
      </c>
      <c r="H18" s="260">
        <v>100.0</v>
      </c>
      <c r="I18" s="2" t="s">
        <v>1997</v>
      </c>
    </row>
    <row r="19">
      <c r="J19" s="52" t="s">
        <v>1998</v>
      </c>
      <c r="K19" s="169" t="s">
        <v>1970</v>
      </c>
      <c r="L19" s="260">
        <v>0.0</v>
      </c>
      <c r="M19" s="260">
        <v>0.0</v>
      </c>
      <c r="N19" s="169" t="s">
        <v>1999</v>
      </c>
      <c r="O19" s="260" t="s">
        <v>1653</v>
      </c>
      <c r="P19" s="260" t="s">
        <v>2000</v>
      </c>
      <c r="Q19" s="260">
        <v>10.0</v>
      </c>
    </row>
    <row r="20">
      <c r="C20" s="3" t="s">
        <v>1832</v>
      </c>
      <c r="D20" s="3" t="s">
        <v>1835</v>
      </c>
      <c r="E20" s="3" t="s">
        <v>1461</v>
      </c>
      <c r="F20" s="3" t="s">
        <v>1937</v>
      </c>
      <c r="K20" s="2" t="s">
        <v>1976</v>
      </c>
      <c r="L20" s="8" t="s">
        <v>282</v>
      </c>
      <c r="M20" s="8">
        <v>40.0</v>
      </c>
      <c r="O20" s="8">
        <v>500.0</v>
      </c>
      <c r="P20" s="29"/>
      <c r="Q20" s="8">
        <v>10.0</v>
      </c>
    </row>
    <row r="21">
      <c r="A21" s="52" t="s">
        <v>270</v>
      </c>
      <c r="B21" s="2" t="s">
        <v>2003</v>
      </c>
      <c r="C21" s="8" t="s">
        <v>107</v>
      </c>
      <c r="D21" s="8" t="s">
        <v>2004</v>
      </c>
      <c r="E21" s="8" t="s">
        <v>1188</v>
      </c>
      <c r="F21" s="8">
        <v>-2.0</v>
      </c>
      <c r="K21" s="169" t="s">
        <v>1985</v>
      </c>
      <c r="L21" s="260" t="s">
        <v>1846</v>
      </c>
      <c r="M21" s="260">
        <v>40.0</v>
      </c>
      <c r="N21" s="59"/>
      <c r="O21" s="260" t="s">
        <v>1330</v>
      </c>
      <c r="P21" s="260">
        <v>100.0</v>
      </c>
      <c r="Q21" s="260">
        <v>10.0</v>
      </c>
    </row>
    <row r="22">
      <c r="B22" s="169" t="s">
        <v>2005</v>
      </c>
      <c r="C22" s="260" t="s">
        <v>114</v>
      </c>
      <c r="D22" s="260" t="s">
        <v>2006</v>
      </c>
      <c r="E22" s="260" t="s">
        <v>1188</v>
      </c>
      <c r="F22" s="260">
        <v>0.0</v>
      </c>
      <c r="K22" s="2" t="s">
        <v>1996</v>
      </c>
      <c r="L22" s="8" t="s">
        <v>338</v>
      </c>
      <c r="M22" s="8">
        <v>75.0</v>
      </c>
      <c r="O22" s="8" t="s">
        <v>2007</v>
      </c>
      <c r="P22" s="8" t="s">
        <v>1954</v>
      </c>
      <c r="Q22" s="8">
        <v>10.0</v>
      </c>
    </row>
    <row r="23">
      <c r="B23" s="2" t="s">
        <v>2008</v>
      </c>
      <c r="C23" s="8" t="s">
        <v>84</v>
      </c>
      <c r="D23" s="8" t="s">
        <v>2009</v>
      </c>
      <c r="E23" s="8" t="s">
        <v>2010</v>
      </c>
      <c r="F23" s="8">
        <v>-2.0</v>
      </c>
    </row>
    <row r="24">
      <c r="J24" s="52" t="s">
        <v>2011</v>
      </c>
      <c r="K24" s="2" t="s">
        <v>2012</v>
      </c>
      <c r="L24" s="8" t="s">
        <v>1846</v>
      </c>
      <c r="M24" s="8" t="s">
        <v>1991</v>
      </c>
      <c r="N24" s="2" t="s">
        <v>2013</v>
      </c>
      <c r="O24" s="29"/>
      <c r="P24" s="29"/>
      <c r="Q24" s="29"/>
    </row>
    <row r="25">
      <c r="C25" s="3" t="s">
        <v>1832</v>
      </c>
      <c r="D25" s="3" t="s">
        <v>1835</v>
      </c>
      <c r="E25" s="3" t="s">
        <v>1461</v>
      </c>
      <c r="F25" s="3" t="s">
        <v>1937</v>
      </c>
      <c r="G25" s="3" t="s">
        <v>1938</v>
      </c>
      <c r="H25" s="3" t="s">
        <v>1939</v>
      </c>
      <c r="K25" s="102" t="s">
        <v>2015</v>
      </c>
      <c r="L25" s="104" t="s">
        <v>2016</v>
      </c>
      <c r="M25" s="104" t="s">
        <v>2016</v>
      </c>
      <c r="N25" s="102" t="s">
        <v>2017</v>
      </c>
      <c r="O25" s="29"/>
      <c r="P25" s="29"/>
      <c r="Q25" s="29"/>
      <c r="R25" s="29"/>
    </row>
    <row r="26">
      <c r="A26" s="52" t="s">
        <v>607</v>
      </c>
      <c r="B26" s="2" t="s">
        <v>2018</v>
      </c>
      <c r="C26" s="8" t="s">
        <v>1846</v>
      </c>
      <c r="D26" s="8" t="s">
        <v>1991</v>
      </c>
      <c r="E26" s="8" t="s">
        <v>2021</v>
      </c>
      <c r="F26" s="8">
        <v>-1.0</v>
      </c>
      <c r="G26" s="8" t="s">
        <v>2012</v>
      </c>
      <c r="H26" s="8">
        <v>5.0</v>
      </c>
      <c r="O26" s="29"/>
      <c r="P26" s="29"/>
      <c r="Q26" s="29"/>
    </row>
    <row r="27">
      <c r="B27" s="169" t="s">
        <v>2022</v>
      </c>
      <c r="C27" s="260" t="s">
        <v>2016</v>
      </c>
      <c r="D27" s="260" t="s">
        <v>2016</v>
      </c>
      <c r="E27" s="260" t="s">
        <v>1950</v>
      </c>
      <c r="F27" s="260">
        <v>-1.0</v>
      </c>
      <c r="G27" s="260" t="s">
        <v>2015</v>
      </c>
      <c r="H27" s="260">
        <v>1.0</v>
      </c>
      <c r="O27" s="29"/>
      <c r="P27" s="29"/>
      <c r="Q27" s="29"/>
    </row>
    <row r="28">
      <c r="B28" s="2" t="s">
        <v>2023</v>
      </c>
      <c r="C28" s="8">
        <v>1.0</v>
      </c>
      <c r="D28" s="8"/>
      <c r="E28" s="8" t="s">
        <v>2021</v>
      </c>
      <c r="F28" s="8">
        <v>-2.0</v>
      </c>
      <c r="G28" s="8" t="s">
        <v>2024</v>
      </c>
      <c r="H28" s="8"/>
      <c r="O28" s="29"/>
      <c r="P28" s="29"/>
      <c r="Q28" s="29"/>
    </row>
    <row r="29">
      <c r="J29" s="25"/>
      <c r="O29" s="29"/>
      <c r="P29" s="29"/>
      <c r="Q29" s="29"/>
    </row>
    <row r="30">
      <c r="O30" s="29"/>
      <c r="P30" s="29"/>
      <c r="Q30" s="29"/>
    </row>
    <row r="31">
      <c r="B31" s="2" t="s">
        <v>2025</v>
      </c>
      <c r="C31" s="2">
        <v>800.0</v>
      </c>
      <c r="D31" s="2" t="s">
        <v>2026</v>
      </c>
      <c r="O31" s="29"/>
      <c r="P31" s="29"/>
      <c r="Q31" s="29"/>
    </row>
    <row r="32">
      <c r="C32" s="25">
        <f>C31/60</f>
        <v>13.33333333</v>
      </c>
      <c r="D32" s="2" t="s">
        <v>2030</v>
      </c>
      <c r="O32" s="29"/>
      <c r="P32" s="29"/>
      <c r="Q32" s="29"/>
    </row>
    <row r="33">
      <c r="O33" s="29"/>
      <c r="P33" s="29"/>
      <c r="Q33" s="29"/>
    </row>
    <row r="34">
      <c r="O34" s="29"/>
      <c r="P34" s="29"/>
      <c r="Q34" s="29"/>
    </row>
    <row r="35">
      <c r="O35" s="29"/>
      <c r="P35" s="29"/>
      <c r="Q35" s="29"/>
    </row>
    <row r="36">
      <c r="O36" s="29"/>
      <c r="P36" s="29"/>
      <c r="Q36" s="29"/>
    </row>
    <row r="37">
      <c r="O37" s="29"/>
      <c r="P37" s="29"/>
      <c r="Q37" s="29"/>
    </row>
    <row r="38">
      <c r="O38" s="29"/>
      <c r="P38" s="29"/>
      <c r="Q38" s="29"/>
    </row>
    <row r="39">
      <c r="O39" s="29"/>
      <c r="P39" s="29"/>
      <c r="Q39" s="29"/>
    </row>
    <row r="40">
      <c r="O40" s="29"/>
      <c r="P40" s="29"/>
      <c r="Q40" s="29"/>
    </row>
    <row r="41">
      <c r="O41" s="29"/>
      <c r="P41" s="29"/>
      <c r="Q41" s="29"/>
    </row>
    <row r="42">
      <c r="O42" s="29"/>
      <c r="P42" s="29"/>
      <c r="Q42" s="29"/>
    </row>
    <row r="43">
      <c r="O43" s="29"/>
      <c r="P43" s="29"/>
      <c r="Q43" s="29"/>
    </row>
    <row r="44">
      <c r="O44" s="29"/>
      <c r="P44" s="29"/>
      <c r="Q44" s="29"/>
    </row>
    <row r="45">
      <c r="O45" s="29"/>
      <c r="P45" s="29"/>
      <c r="Q45" s="29"/>
    </row>
    <row r="46">
      <c r="O46" s="29"/>
      <c r="P46" s="29"/>
      <c r="Q46" s="29"/>
    </row>
    <row r="47">
      <c r="O47" s="29"/>
      <c r="P47" s="29"/>
      <c r="Q47" s="29"/>
    </row>
    <row r="48">
      <c r="O48" s="29"/>
      <c r="P48" s="29"/>
      <c r="Q48" s="29"/>
    </row>
    <row r="49">
      <c r="O49" s="29"/>
      <c r="P49" s="29"/>
      <c r="Q49" s="29"/>
    </row>
    <row r="50">
      <c r="O50" s="29"/>
      <c r="P50" s="29"/>
      <c r="Q50" s="29"/>
    </row>
    <row r="51">
      <c r="O51" s="29"/>
      <c r="P51" s="29"/>
      <c r="Q51" s="29"/>
    </row>
    <row r="52">
      <c r="O52" s="29"/>
      <c r="P52" s="29"/>
      <c r="Q52" s="29"/>
    </row>
    <row r="53">
      <c r="O53" s="29"/>
      <c r="P53" s="29"/>
      <c r="Q53" s="29"/>
    </row>
    <row r="54">
      <c r="O54" s="29"/>
      <c r="P54" s="29"/>
      <c r="Q54" s="29"/>
    </row>
    <row r="55">
      <c r="O55" s="29"/>
      <c r="P55" s="29"/>
      <c r="Q55" s="29"/>
    </row>
    <row r="56">
      <c r="O56" s="29"/>
      <c r="P56" s="29"/>
      <c r="Q56" s="29"/>
    </row>
    <row r="57">
      <c r="O57" s="29"/>
      <c r="P57" s="29"/>
      <c r="Q57" s="29"/>
    </row>
    <row r="58">
      <c r="O58" s="29"/>
      <c r="P58" s="29"/>
      <c r="Q58" s="29"/>
    </row>
    <row r="59">
      <c r="O59" s="29"/>
      <c r="P59" s="29"/>
      <c r="Q59" s="29"/>
    </row>
    <row r="60">
      <c r="O60" s="29"/>
      <c r="P60" s="29"/>
      <c r="Q60" s="29"/>
    </row>
    <row r="61">
      <c r="O61" s="29"/>
      <c r="P61" s="29"/>
      <c r="Q61" s="29"/>
    </row>
    <row r="62">
      <c r="O62" s="29"/>
      <c r="P62" s="29"/>
      <c r="Q62" s="29"/>
    </row>
    <row r="63">
      <c r="O63" s="29"/>
      <c r="P63" s="29"/>
      <c r="Q63" s="29"/>
    </row>
    <row r="64">
      <c r="O64" s="29"/>
      <c r="P64" s="29"/>
      <c r="Q64" s="29"/>
    </row>
    <row r="65">
      <c r="O65" s="29"/>
      <c r="P65" s="29"/>
      <c r="Q65" s="29"/>
    </row>
    <row r="66">
      <c r="O66" s="29"/>
      <c r="P66" s="29"/>
      <c r="Q66" s="29"/>
    </row>
    <row r="67">
      <c r="O67" s="29"/>
      <c r="P67" s="29"/>
      <c r="Q67" s="29"/>
    </row>
    <row r="68">
      <c r="O68" s="29"/>
      <c r="P68" s="29"/>
      <c r="Q68" s="29"/>
    </row>
    <row r="69">
      <c r="O69" s="29"/>
      <c r="P69" s="29"/>
      <c r="Q69" s="29"/>
    </row>
    <row r="70">
      <c r="O70" s="29"/>
      <c r="P70" s="29"/>
      <c r="Q70" s="29"/>
    </row>
    <row r="71">
      <c r="O71" s="29"/>
      <c r="P71" s="29"/>
      <c r="Q71" s="29"/>
    </row>
    <row r="72">
      <c r="O72" s="29"/>
      <c r="P72" s="29"/>
      <c r="Q72" s="29"/>
    </row>
    <row r="73">
      <c r="O73" s="29"/>
      <c r="P73" s="29"/>
      <c r="Q73" s="29"/>
    </row>
    <row r="74">
      <c r="O74" s="29"/>
      <c r="P74" s="29"/>
      <c r="Q74" s="29"/>
    </row>
    <row r="75">
      <c r="O75" s="29"/>
      <c r="P75" s="29"/>
      <c r="Q75" s="29"/>
    </row>
    <row r="76">
      <c r="O76" s="29"/>
      <c r="P76" s="29"/>
      <c r="Q76" s="29"/>
    </row>
    <row r="77">
      <c r="O77" s="29"/>
      <c r="P77" s="29"/>
      <c r="Q77" s="29"/>
    </row>
    <row r="78">
      <c r="O78" s="29"/>
      <c r="P78" s="29"/>
      <c r="Q78" s="29"/>
    </row>
    <row r="79">
      <c r="O79" s="29"/>
      <c r="P79" s="29"/>
      <c r="Q79" s="29"/>
    </row>
    <row r="80">
      <c r="O80" s="29"/>
      <c r="P80" s="29"/>
      <c r="Q80" s="29"/>
    </row>
    <row r="81">
      <c r="O81" s="29"/>
      <c r="P81" s="29"/>
      <c r="Q81" s="29"/>
    </row>
    <row r="82">
      <c r="O82" s="29"/>
      <c r="P82" s="29"/>
      <c r="Q82" s="29"/>
    </row>
    <row r="83">
      <c r="O83" s="29"/>
      <c r="P83" s="29"/>
      <c r="Q83" s="29"/>
    </row>
    <row r="84">
      <c r="O84" s="29"/>
      <c r="P84" s="29"/>
      <c r="Q84" s="29"/>
    </row>
    <row r="85">
      <c r="O85" s="29"/>
      <c r="P85" s="29"/>
      <c r="Q85" s="29"/>
    </row>
    <row r="86">
      <c r="O86" s="29"/>
      <c r="P86" s="29"/>
      <c r="Q86" s="29"/>
    </row>
    <row r="87">
      <c r="O87" s="29"/>
      <c r="P87" s="29"/>
      <c r="Q87" s="29"/>
    </row>
    <row r="88">
      <c r="O88" s="29"/>
      <c r="P88" s="29"/>
      <c r="Q88" s="29"/>
    </row>
    <row r="89">
      <c r="O89" s="29"/>
      <c r="P89" s="29"/>
      <c r="Q89" s="29"/>
    </row>
    <row r="90">
      <c r="O90" s="29"/>
      <c r="P90" s="29"/>
      <c r="Q90" s="29"/>
    </row>
    <row r="91">
      <c r="O91" s="29"/>
      <c r="P91" s="29"/>
      <c r="Q91" s="29"/>
    </row>
    <row r="92">
      <c r="O92" s="29"/>
      <c r="P92" s="29"/>
      <c r="Q92" s="29"/>
    </row>
    <row r="93">
      <c r="O93" s="29"/>
      <c r="P93" s="29"/>
      <c r="Q93" s="29"/>
    </row>
    <row r="94">
      <c r="O94" s="29"/>
      <c r="P94" s="29"/>
      <c r="Q94" s="29"/>
    </row>
    <row r="95">
      <c r="O95" s="29"/>
      <c r="P95" s="29"/>
      <c r="Q95" s="29"/>
    </row>
    <row r="96">
      <c r="O96" s="29"/>
      <c r="P96" s="29"/>
      <c r="Q96" s="29"/>
    </row>
    <row r="97">
      <c r="O97" s="29"/>
      <c r="P97" s="29"/>
      <c r="Q97" s="29"/>
    </row>
    <row r="98">
      <c r="O98" s="29"/>
      <c r="P98" s="29"/>
      <c r="Q98" s="29"/>
    </row>
    <row r="99">
      <c r="O99" s="29"/>
      <c r="P99" s="29"/>
      <c r="Q99" s="29"/>
    </row>
    <row r="100">
      <c r="O100" s="29"/>
      <c r="P100" s="29"/>
      <c r="Q100" s="29"/>
    </row>
    <row r="101">
      <c r="O101" s="29"/>
      <c r="P101" s="29"/>
      <c r="Q101" s="29"/>
    </row>
    <row r="102">
      <c r="O102" s="29"/>
      <c r="P102" s="29"/>
      <c r="Q102" s="29"/>
    </row>
    <row r="103">
      <c r="O103" s="29"/>
      <c r="P103" s="29"/>
      <c r="Q103" s="29"/>
    </row>
    <row r="104">
      <c r="O104" s="29"/>
      <c r="P104" s="29"/>
      <c r="Q104" s="29"/>
    </row>
    <row r="105">
      <c r="O105" s="29"/>
      <c r="P105" s="29"/>
      <c r="Q105" s="29"/>
    </row>
    <row r="106">
      <c r="O106" s="29"/>
      <c r="P106" s="29"/>
      <c r="Q106" s="29"/>
    </row>
    <row r="107">
      <c r="O107" s="29"/>
      <c r="P107" s="29"/>
      <c r="Q107" s="29"/>
    </row>
    <row r="108">
      <c r="O108" s="29"/>
      <c r="P108" s="29"/>
      <c r="Q108" s="29"/>
    </row>
    <row r="109">
      <c r="O109" s="29"/>
      <c r="P109" s="29"/>
      <c r="Q109" s="29"/>
    </row>
    <row r="110">
      <c r="O110" s="29"/>
      <c r="P110" s="29"/>
      <c r="Q110" s="29"/>
    </row>
    <row r="111">
      <c r="O111" s="29"/>
      <c r="P111" s="29"/>
      <c r="Q111" s="29"/>
    </row>
    <row r="112">
      <c r="O112" s="29"/>
      <c r="P112" s="29"/>
      <c r="Q112" s="29"/>
    </row>
    <row r="113">
      <c r="O113" s="29"/>
      <c r="P113" s="29"/>
      <c r="Q113" s="29"/>
    </row>
    <row r="114">
      <c r="O114" s="29"/>
      <c r="P114" s="29"/>
      <c r="Q114" s="29"/>
    </row>
    <row r="115">
      <c r="O115" s="29"/>
      <c r="P115" s="29"/>
      <c r="Q115" s="29"/>
    </row>
    <row r="116">
      <c r="O116" s="29"/>
      <c r="P116" s="29"/>
      <c r="Q116" s="29"/>
    </row>
    <row r="117">
      <c r="O117" s="29"/>
      <c r="P117" s="29"/>
      <c r="Q117" s="29"/>
    </row>
    <row r="118">
      <c r="O118" s="29"/>
      <c r="P118" s="29"/>
      <c r="Q118" s="29"/>
    </row>
    <row r="119">
      <c r="O119" s="29"/>
      <c r="P119" s="29"/>
      <c r="Q119" s="29"/>
    </row>
    <row r="120">
      <c r="O120" s="29"/>
      <c r="P120" s="29"/>
      <c r="Q120" s="29"/>
    </row>
    <row r="121">
      <c r="O121" s="29"/>
      <c r="P121" s="29"/>
      <c r="Q121" s="29"/>
    </row>
    <row r="122">
      <c r="O122" s="29"/>
      <c r="P122" s="29"/>
      <c r="Q122" s="29"/>
    </row>
    <row r="123">
      <c r="O123" s="29"/>
      <c r="P123" s="29"/>
      <c r="Q123" s="29"/>
    </row>
    <row r="124">
      <c r="O124" s="29"/>
      <c r="P124" s="29"/>
      <c r="Q124" s="29"/>
    </row>
    <row r="125">
      <c r="O125" s="29"/>
      <c r="P125" s="29"/>
      <c r="Q125" s="29"/>
    </row>
    <row r="126">
      <c r="O126" s="29"/>
      <c r="P126" s="29"/>
      <c r="Q126" s="29"/>
    </row>
    <row r="127">
      <c r="O127" s="29"/>
      <c r="P127" s="29"/>
      <c r="Q127" s="29"/>
    </row>
    <row r="128">
      <c r="O128" s="29"/>
      <c r="P128" s="29"/>
      <c r="Q128" s="29"/>
    </row>
    <row r="129">
      <c r="O129" s="29"/>
      <c r="P129" s="29"/>
      <c r="Q129" s="29"/>
    </row>
    <row r="130">
      <c r="O130" s="29"/>
      <c r="P130" s="29"/>
      <c r="Q130" s="29"/>
    </row>
    <row r="131">
      <c r="O131" s="29"/>
      <c r="P131" s="29"/>
      <c r="Q131" s="29"/>
    </row>
    <row r="132">
      <c r="O132" s="29"/>
      <c r="P132" s="29"/>
      <c r="Q132" s="29"/>
    </row>
    <row r="133">
      <c r="O133" s="29"/>
      <c r="P133" s="29"/>
      <c r="Q133" s="29"/>
    </row>
    <row r="134">
      <c r="O134" s="29"/>
      <c r="P134" s="29"/>
      <c r="Q134" s="29"/>
    </row>
    <row r="135">
      <c r="O135" s="29"/>
      <c r="P135" s="29"/>
      <c r="Q135" s="29"/>
    </row>
    <row r="136">
      <c r="O136" s="29"/>
      <c r="P136" s="29"/>
      <c r="Q136" s="29"/>
    </row>
    <row r="137">
      <c r="O137" s="29"/>
      <c r="P137" s="29"/>
      <c r="Q137" s="29"/>
    </row>
    <row r="138">
      <c r="O138" s="29"/>
      <c r="P138" s="29"/>
      <c r="Q138" s="29"/>
    </row>
    <row r="139">
      <c r="O139" s="29"/>
      <c r="P139" s="29"/>
      <c r="Q139" s="29"/>
    </row>
    <row r="140">
      <c r="O140" s="29"/>
      <c r="P140" s="29"/>
      <c r="Q140" s="29"/>
    </row>
    <row r="141">
      <c r="O141" s="29"/>
      <c r="P141" s="29"/>
      <c r="Q141" s="29"/>
    </row>
    <row r="142">
      <c r="O142" s="29"/>
      <c r="P142" s="29"/>
      <c r="Q142" s="29"/>
    </row>
    <row r="143">
      <c r="O143" s="29"/>
      <c r="P143" s="29"/>
      <c r="Q143" s="29"/>
    </row>
    <row r="144">
      <c r="O144" s="29"/>
      <c r="P144" s="29"/>
      <c r="Q144" s="29"/>
    </row>
    <row r="145">
      <c r="O145" s="29"/>
      <c r="P145" s="29"/>
      <c r="Q145" s="29"/>
    </row>
    <row r="146">
      <c r="O146" s="29"/>
      <c r="P146" s="29"/>
      <c r="Q146" s="29"/>
    </row>
    <row r="147">
      <c r="O147" s="29"/>
      <c r="P147" s="29"/>
      <c r="Q147" s="29"/>
    </row>
    <row r="148">
      <c r="O148" s="29"/>
      <c r="P148" s="29"/>
      <c r="Q148" s="29"/>
    </row>
    <row r="149">
      <c r="O149" s="29"/>
      <c r="P149" s="29"/>
      <c r="Q149" s="29"/>
    </row>
    <row r="150">
      <c r="O150" s="29"/>
      <c r="P150" s="29"/>
      <c r="Q150" s="29"/>
    </row>
    <row r="151">
      <c r="O151" s="29"/>
      <c r="P151" s="29"/>
      <c r="Q151" s="29"/>
    </row>
    <row r="152">
      <c r="O152" s="29"/>
      <c r="P152" s="29"/>
      <c r="Q152" s="29"/>
    </row>
    <row r="153">
      <c r="O153" s="29"/>
      <c r="P153" s="29"/>
      <c r="Q153" s="29"/>
    </row>
    <row r="154">
      <c r="O154" s="29"/>
      <c r="P154" s="29"/>
      <c r="Q154" s="29"/>
    </row>
    <row r="155">
      <c r="O155" s="29"/>
      <c r="P155" s="29"/>
      <c r="Q155" s="29"/>
    </row>
    <row r="156">
      <c r="O156" s="29"/>
      <c r="P156" s="29"/>
      <c r="Q156" s="29"/>
    </row>
    <row r="157">
      <c r="O157" s="29"/>
      <c r="P157" s="29"/>
      <c r="Q157" s="29"/>
    </row>
    <row r="158">
      <c r="O158" s="29"/>
      <c r="P158" s="29"/>
      <c r="Q158" s="29"/>
    </row>
    <row r="159">
      <c r="O159" s="29"/>
      <c r="P159" s="29"/>
      <c r="Q159" s="29"/>
    </row>
    <row r="160">
      <c r="O160" s="29"/>
      <c r="P160" s="29"/>
      <c r="Q160" s="29"/>
    </row>
    <row r="161">
      <c r="O161" s="29"/>
      <c r="P161" s="29"/>
      <c r="Q161" s="29"/>
    </row>
    <row r="162">
      <c r="O162" s="29"/>
      <c r="P162" s="29"/>
      <c r="Q162" s="29"/>
    </row>
    <row r="163">
      <c r="O163" s="29"/>
      <c r="P163" s="29"/>
      <c r="Q163" s="29"/>
    </row>
    <row r="164">
      <c r="O164" s="29"/>
      <c r="P164" s="29"/>
      <c r="Q164" s="29"/>
    </row>
    <row r="165">
      <c r="O165" s="29"/>
      <c r="P165" s="29"/>
      <c r="Q165" s="29"/>
    </row>
    <row r="166">
      <c r="O166" s="29"/>
      <c r="P166" s="29"/>
      <c r="Q166" s="29"/>
    </row>
    <row r="167">
      <c r="O167" s="29"/>
      <c r="P167" s="29"/>
      <c r="Q167" s="29"/>
    </row>
    <row r="168">
      <c r="O168" s="29"/>
      <c r="P168" s="29"/>
      <c r="Q168" s="29"/>
    </row>
    <row r="169">
      <c r="O169" s="29"/>
      <c r="P169" s="29"/>
      <c r="Q169" s="29"/>
    </row>
    <row r="170">
      <c r="O170" s="29"/>
      <c r="P170" s="29"/>
      <c r="Q170" s="29"/>
    </row>
    <row r="171">
      <c r="O171" s="29"/>
      <c r="P171" s="29"/>
      <c r="Q171" s="29"/>
    </row>
    <row r="172">
      <c r="O172" s="29"/>
      <c r="P172" s="29"/>
      <c r="Q172" s="29"/>
    </row>
    <row r="173">
      <c r="O173" s="29"/>
      <c r="P173" s="29"/>
      <c r="Q173" s="29"/>
    </row>
    <row r="174">
      <c r="O174" s="29"/>
      <c r="P174" s="29"/>
      <c r="Q174" s="29"/>
    </row>
    <row r="175">
      <c r="O175" s="29"/>
      <c r="P175" s="29"/>
      <c r="Q175" s="29"/>
    </row>
    <row r="176">
      <c r="O176" s="29"/>
      <c r="P176" s="29"/>
      <c r="Q176" s="29"/>
    </row>
    <row r="177">
      <c r="O177" s="29"/>
      <c r="P177" s="29"/>
      <c r="Q177" s="29"/>
    </row>
    <row r="178">
      <c r="O178" s="29"/>
      <c r="P178" s="29"/>
      <c r="Q178" s="29"/>
    </row>
    <row r="179">
      <c r="O179" s="29"/>
      <c r="P179" s="29"/>
      <c r="Q179" s="29"/>
    </row>
    <row r="180">
      <c r="O180" s="29"/>
      <c r="P180" s="29"/>
      <c r="Q180" s="29"/>
    </row>
    <row r="181">
      <c r="O181" s="29"/>
      <c r="P181" s="29"/>
      <c r="Q181" s="29"/>
    </row>
    <row r="182">
      <c r="O182" s="29"/>
      <c r="P182" s="29"/>
      <c r="Q182" s="29"/>
    </row>
    <row r="183">
      <c r="O183" s="29"/>
      <c r="P183" s="29"/>
      <c r="Q183" s="29"/>
    </row>
    <row r="184">
      <c r="O184" s="29"/>
      <c r="P184" s="29"/>
      <c r="Q184" s="29"/>
    </row>
    <row r="185">
      <c r="O185" s="29"/>
      <c r="P185" s="29"/>
      <c r="Q185" s="29"/>
    </row>
    <row r="186">
      <c r="O186" s="29"/>
      <c r="P186" s="29"/>
      <c r="Q186" s="29"/>
    </row>
    <row r="187">
      <c r="O187" s="29"/>
      <c r="P187" s="29"/>
      <c r="Q187" s="29"/>
    </row>
    <row r="188">
      <c r="O188" s="29"/>
      <c r="P188" s="29"/>
      <c r="Q188" s="29"/>
    </row>
    <row r="189">
      <c r="O189" s="29"/>
      <c r="P189" s="29"/>
      <c r="Q189" s="29"/>
    </row>
    <row r="190">
      <c r="O190" s="29"/>
      <c r="P190" s="29"/>
      <c r="Q190" s="29"/>
    </row>
    <row r="191">
      <c r="O191" s="29"/>
      <c r="P191" s="29"/>
      <c r="Q191" s="29"/>
    </row>
    <row r="192">
      <c r="O192" s="29"/>
      <c r="P192" s="29"/>
      <c r="Q192" s="29"/>
    </row>
    <row r="193">
      <c r="O193" s="29"/>
      <c r="P193" s="29"/>
      <c r="Q193" s="29"/>
    </row>
    <row r="194">
      <c r="O194" s="29"/>
      <c r="P194" s="29"/>
      <c r="Q194" s="29"/>
    </row>
    <row r="195">
      <c r="O195" s="29"/>
      <c r="P195" s="29"/>
      <c r="Q195" s="29"/>
    </row>
    <row r="196">
      <c r="O196" s="29"/>
      <c r="P196" s="29"/>
      <c r="Q196" s="29"/>
    </row>
    <row r="197">
      <c r="O197" s="29"/>
      <c r="P197" s="29"/>
      <c r="Q197" s="29"/>
    </row>
    <row r="198">
      <c r="O198" s="29"/>
      <c r="P198" s="29"/>
      <c r="Q198" s="29"/>
    </row>
    <row r="199">
      <c r="O199" s="29"/>
      <c r="P199" s="29"/>
      <c r="Q199" s="29"/>
    </row>
    <row r="200">
      <c r="O200" s="29"/>
      <c r="P200" s="29"/>
      <c r="Q200" s="29"/>
    </row>
    <row r="201">
      <c r="O201" s="29"/>
      <c r="P201" s="29"/>
      <c r="Q201" s="29"/>
    </row>
    <row r="202">
      <c r="O202" s="29"/>
      <c r="P202" s="29"/>
      <c r="Q202" s="29"/>
    </row>
    <row r="203">
      <c r="O203" s="29"/>
      <c r="P203" s="29"/>
      <c r="Q203" s="29"/>
    </row>
    <row r="204">
      <c r="O204" s="29"/>
      <c r="P204" s="29"/>
      <c r="Q204" s="29"/>
    </row>
    <row r="205">
      <c r="O205" s="29"/>
      <c r="P205" s="29"/>
      <c r="Q205" s="29"/>
    </row>
    <row r="206">
      <c r="O206" s="29"/>
      <c r="P206" s="29"/>
      <c r="Q206" s="29"/>
    </row>
    <row r="207">
      <c r="O207" s="29"/>
      <c r="P207" s="29"/>
      <c r="Q207" s="29"/>
    </row>
    <row r="208">
      <c r="O208" s="29"/>
      <c r="P208" s="29"/>
      <c r="Q208" s="29"/>
    </row>
    <row r="209">
      <c r="O209" s="29"/>
      <c r="P209" s="29"/>
      <c r="Q209" s="29"/>
    </row>
    <row r="210">
      <c r="O210" s="29"/>
      <c r="P210" s="29"/>
      <c r="Q210" s="29"/>
    </row>
    <row r="211">
      <c r="O211" s="29"/>
      <c r="P211" s="29"/>
      <c r="Q211" s="29"/>
    </row>
    <row r="212">
      <c r="O212" s="29"/>
      <c r="P212" s="29"/>
      <c r="Q212" s="29"/>
    </row>
    <row r="213">
      <c r="O213" s="29"/>
      <c r="P213" s="29"/>
      <c r="Q213" s="29"/>
    </row>
    <row r="214">
      <c r="O214" s="29"/>
      <c r="P214" s="29"/>
      <c r="Q214" s="29"/>
    </row>
    <row r="215">
      <c r="O215" s="29"/>
      <c r="P215" s="29"/>
      <c r="Q215" s="29"/>
    </row>
    <row r="216">
      <c r="O216" s="29"/>
      <c r="P216" s="29"/>
      <c r="Q216" s="29"/>
    </row>
    <row r="217">
      <c r="O217" s="29"/>
      <c r="P217" s="29"/>
      <c r="Q217" s="29"/>
    </row>
    <row r="218">
      <c r="O218" s="29"/>
      <c r="P218" s="29"/>
      <c r="Q218" s="29"/>
    </row>
    <row r="219">
      <c r="O219" s="29"/>
      <c r="P219" s="29"/>
      <c r="Q219" s="29"/>
    </row>
    <row r="220">
      <c r="O220" s="29"/>
      <c r="P220" s="29"/>
      <c r="Q220" s="29"/>
    </row>
    <row r="221">
      <c r="O221" s="29"/>
      <c r="P221" s="29"/>
      <c r="Q221" s="29"/>
    </row>
    <row r="222">
      <c r="O222" s="29"/>
      <c r="P222" s="29"/>
      <c r="Q222" s="29"/>
    </row>
    <row r="223">
      <c r="O223" s="29"/>
      <c r="P223" s="29"/>
      <c r="Q223" s="29"/>
    </row>
    <row r="224">
      <c r="O224" s="29"/>
      <c r="P224" s="29"/>
      <c r="Q224" s="29"/>
    </row>
    <row r="225">
      <c r="O225" s="29"/>
      <c r="P225" s="29"/>
      <c r="Q225" s="29"/>
    </row>
    <row r="226">
      <c r="O226" s="29"/>
      <c r="P226" s="29"/>
      <c r="Q226" s="29"/>
    </row>
    <row r="227">
      <c r="O227" s="29"/>
      <c r="P227" s="29"/>
      <c r="Q227" s="29"/>
    </row>
    <row r="228">
      <c r="O228" s="29"/>
      <c r="P228" s="29"/>
      <c r="Q228" s="29"/>
    </row>
    <row r="229">
      <c r="O229" s="29"/>
      <c r="P229" s="29"/>
      <c r="Q229" s="29"/>
    </row>
    <row r="230">
      <c r="O230" s="29"/>
      <c r="P230" s="29"/>
      <c r="Q230" s="29"/>
    </row>
    <row r="231">
      <c r="O231" s="29"/>
      <c r="P231" s="29"/>
      <c r="Q231" s="29"/>
    </row>
    <row r="232">
      <c r="O232" s="29"/>
      <c r="P232" s="29"/>
      <c r="Q232" s="29"/>
    </row>
    <row r="233">
      <c r="O233" s="29"/>
      <c r="P233" s="29"/>
      <c r="Q233" s="29"/>
    </row>
    <row r="234">
      <c r="O234" s="29"/>
      <c r="P234" s="29"/>
      <c r="Q234" s="29"/>
    </row>
    <row r="235">
      <c r="O235" s="29"/>
      <c r="P235" s="29"/>
      <c r="Q235" s="29"/>
    </row>
    <row r="236">
      <c r="O236" s="29"/>
      <c r="P236" s="29"/>
      <c r="Q236" s="29"/>
    </row>
    <row r="237">
      <c r="O237" s="29"/>
      <c r="P237" s="29"/>
      <c r="Q237" s="29"/>
    </row>
    <row r="238">
      <c r="O238" s="29"/>
      <c r="P238" s="29"/>
      <c r="Q238" s="29"/>
    </row>
    <row r="239">
      <c r="O239" s="29"/>
      <c r="P239" s="29"/>
      <c r="Q239" s="29"/>
    </row>
    <row r="240">
      <c r="O240" s="29"/>
      <c r="P240" s="29"/>
      <c r="Q240" s="29"/>
    </row>
    <row r="241">
      <c r="O241" s="29"/>
      <c r="P241" s="29"/>
      <c r="Q241" s="29"/>
    </row>
    <row r="242">
      <c r="O242" s="29"/>
      <c r="P242" s="29"/>
      <c r="Q242" s="29"/>
    </row>
    <row r="243">
      <c r="O243" s="29"/>
      <c r="P243" s="29"/>
      <c r="Q243" s="29"/>
    </row>
    <row r="244">
      <c r="O244" s="29"/>
      <c r="P244" s="29"/>
      <c r="Q244" s="29"/>
    </row>
    <row r="245">
      <c r="O245" s="29"/>
      <c r="P245" s="29"/>
      <c r="Q245" s="29"/>
    </row>
    <row r="246">
      <c r="O246" s="29"/>
      <c r="P246" s="29"/>
      <c r="Q246" s="29"/>
    </row>
    <row r="247">
      <c r="O247" s="29"/>
      <c r="P247" s="29"/>
      <c r="Q247" s="29"/>
    </row>
    <row r="248">
      <c r="O248" s="29"/>
      <c r="P248" s="29"/>
      <c r="Q248" s="29"/>
    </row>
    <row r="249">
      <c r="O249" s="29"/>
      <c r="P249" s="29"/>
      <c r="Q249" s="29"/>
    </row>
    <row r="250">
      <c r="O250" s="29"/>
      <c r="P250" s="29"/>
      <c r="Q250" s="29"/>
    </row>
    <row r="251">
      <c r="O251" s="29"/>
      <c r="P251" s="29"/>
      <c r="Q251" s="29"/>
    </row>
    <row r="252">
      <c r="O252" s="29"/>
      <c r="P252" s="29"/>
      <c r="Q252" s="29"/>
    </row>
    <row r="253">
      <c r="O253" s="29"/>
      <c r="P253" s="29"/>
      <c r="Q253" s="29"/>
    </row>
    <row r="254">
      <c r="O254" s="29"/>
      <c r="P254" s="29"/>
      <c r="Q254" s="29"/>
    </row>
    <row r="255">
      <c r="O255" s="29"/>
      <c r="P255" s="29"/>
      <c r="Q255" s="29"/>
    </row>
    <row r="256">
      <c r="O256" s="29"/>
      <c r="P256" s="29"/>
      <c r="Q256" s="29"/>
    </row>
    <row r="257">
      <c r="O257" s="29"/>
      <c r="P257" s="29"/>
      <c r="Q257" s="29"/>
    </row>
    <row r="258">
      <c r="O258" s="29"/>
      <c r="P258" s="29"/>
      <c r="Q258" s="29"/>
    </row>
    <row r="259">
      <c r="O259" s="29"/>
      <c r="P259" s="29"/>
      <c r="Q259" s="29"/>
    </row>
    <row r="260">
      <c r="O260" s="29"/>
      <c r="P260" s="29"/>
      <c r="Q260" s="29"/>
    </row>
    <row r="261">
      <c r="O261" s="29"/>
      <c r="P261" s="29"/>
      <c r="Q261" s="29"/>
    </row>
    <row r="262">
      <c r="O262" s="29"/>
      <c r="P262" s="29"/>
      <c r="Q262" s="29"/>
    </row>
    <row r="263">
      <c r="O263" s="29"/>
      <c r="P263" s="29"/>
      <c r="Q263" s="29"/>
    </row>
    <row r="264">
      <c r="O264" s="29"/>
      <c r="P264" s="29"/>
      <c r="Q264" s="29"/>
    </row>
    <row r="265">
      <c r="O265" s="29"/>
      <c r="P265" s="29"/>
      <c r="Q265" s="29"/>
    </row>
    <row r="266">
      <c r="O266" s="29"/>
      <c r="P266" s="29"/>
      <c r="Q266" s="29"/>
    </row>
    <row r="267">
      <c r="O267" s="29"/>
      <c r="P267" s="29"/>
      <c r="Q267" s="29"/>
    </row>
    <row r="268">
      <c r="O268" s="29"/>
      <c r="P268" s="29"/>
      <c r="Q268" s="29"/>
    </row>
    <row r="269">
      <c r="O269" s="29"/>
      <c r="P269" s="29"/>
      <c r="Q269" s="29"/>
    </row>
    <row r="270">
      <c r="O270" s="29"/>
      <c r="P270" s="29"/>
      <c r="Q270" s="29"/>
    </row>
    <row r="271">
      <c r="O271" s="29"/>
      <c r="P271" s="29"/>
      <c r="Q271" s="29"/>
    </row>
    <row r="272">
      <c r="O272" s="29"/>
      <c r="P272" s="29"/>
      <c r="Q272" s="29"/>
    </row>
    <row r="273">
      <c r="O273" s="29"/>
      <c r="P273" s="29"/>
      <c r="Q273" s="29"/>
    </row>
    <row r="274">
      <c r="O274" s="29"/>
      <c r="P274" s="29"/>
      <c r="Q274" s="29"/>
    </row>
    <row r="275">
      <c r="O275" s="29"/>
      <c r="P275" s="29"/>
      <c r="Q275" s="29"/>
    </row>
    <row r="276">
      <c r="O276" s="29"/>
      <c r="P276" s="29"/>
      <c r="Q276" s="29"/>
    </row>
    <row r="277">
      <c r="O277" s="29"/>
      <c r="P277" s="29"/>
      <c r="Q277" s="29"/>
    </row>
    <row r="278">
      <c r="O278" s="29"/>
      <c r="P278" s="29"/>
      <c r="Q278" s="29"/>
    </row>
    <row r="279">
      <c r="O279" s="29"/>
      <c r="P279" s="29"/>
      <c r="Q279" s="29"/>
    </row>
    <row r="280">
      <c r="O280" s="29"/>
      <c r="P280" s="29"/>
      <c r="Q280" s="29"/>
    </row>
    <row r="281">
      <c r="O281" s="29"/>
      <c r="P281" s="29"/>
      <c r="Q281" s="29"/>
    </row>
    <row r="282">
      <c r="O282" s="29"/>
      <c r="P282" s="29"/>
      <c r="Q282" s="29"/>
    </row>
    <row r="283">
      <c r="O283" s="29"/>
      <c r="P283" s="29"/>
      <c r="Q283" s="29"/>
    </row>
    <row r="284">
      <c r="O284" s="29"/>
      <c r="P284" s="29"/>
      <c r="Q284" s="29"/>
    </row>
    <row r="285">
      <c r="O285" s="29"/>
      <c r="P285" s="29"/>
      <c r="Q285" s="29"/>
    </row>
    <row r="286">
      <c r="O286" s="29"/>
      <c r="P286" s="29"/>
      <c r="Q286" s="29"/>
    </row>
    <row r="287">
      <c r="O287" s="29"/>
      <c r="P287" s="29"/>
      <c r="Q287" s="29"/>
    </row>
    <row r="288">
      <c r="O288" s="29"/>
      <c r="P288" s="29"/>
      <c r="Q288" s="29"/>
    </row>
    <row r="289">
      <c r="O289" s="29"/>
      <c r="P289" s="29"/>
      <c r="Q289" s="29"/>
    </row>
    <row r="290">
      <c r="O290" s="29"/>
      <c r="P290" s="29"/>
      <c r="Q290" s="29"/>
    </row>
    <row r="291">
      <c r="O291" s="29"/>
      <c r="P291" s="29"/>
      <c r="Q291" s="29"/>
    </row>
    <row r="292">
      <c r="O292" s="29"/>
      <c r="P292" s="29"/>
      <c r="Q292" s="29"/>
    </row>
    <row r="293">
      <c r="O293" s="29"/>
      <c r="P293" s="29"/>
      <c r="Q293" s="29"/>
    </row>
    <row r="294">
      <c r="O294" s="29"/>
      <c r="P294" s="29"/>
      <c r="Q294" s="29"/>
    </row>
    <row r="295">
      <c r="O295" s="29"/>
      <c r="P295" s="29"/>
      <c r="Q295" s="29"/>
    </row>
    <row r="296">
      <c r="O296" s="29"/>
      <c r="P296" s="29"/>
      <c r="Q296" s="29"/>
    </row>
    <row r="297">
      <c r="O297" s="29"/>
      <c r="P297" s="29"/>
      <c r="Q297" s="29"/>
    </row>
    <row r="298">
      <c r="O298" s="29"/>
      <c r="P298" s="29"/>
      <c r="Q298" s="29"/>
    </row>
    <row r="299">
      <c r="O299" s="29"/>
      <c r="P299" s="29"/>
      <c r="Q299" s="29"/>
    </row>
    <row r="300">
      <c r="O300" s="29"/>
      <c r="P300" s="29"/>
      <c r="Q300" s="29"/>
    </row>
    <row r="301">
      <c r="O301" s="29"/>
      <c r="P301" s="29"/>
      <c r="Q301" s="29"/>
    </row>
    <row r="302">
      <c r="O302" s="29"/>
      <c r="P302" s="29"/>
      <c r="Q302" s="29"/>
    </row>
    <row r="303">
      <c r="O303" s="29"/>
      <c r="P303" s="29"/>
      <c r="Q303" s="29"/>
    </row>
    <row r="304">
      <c r="O304" s="29"/>
      <c r="P304" s="29"/>
      <c r="Q304" s="29"/>
    </row>
    <row r="305">
      <c r="O305" s="29"/>
      <c r="P305" s="29"/>
      <c r="Q305" s="29"/>
    </row>
    <row r="306">
      <c r="O306" s="29"/>
      <c r="P306" s="29"/>
      <c r="Q306" s="29"/>
    </row>
    <row r="307">
      <c r="O307" s="29"/>
      <c r="P307" s="29"/>
      <c r="Q307" s="29"/>
    </row>
    <row r="308">
      <c r="O308" s="29"/>
      <c r="P308" s="29"/>
      <c r="Q308" s="29"/>
    </row>
    <row r="309">
      <c r="O309" s="29"/>
      <c r="P309" s="29"/>
      <c r="Q309" s="29"/>
    </row>
    <row r="310">
      <c r="O310" s="29"/>
      <c r="P310" s="29"/>
      <c r="Q310" s="29"/>
    </row>
    <row r="311">
      <c r="O311" s="29"/>
      <c r="P311" s="29"/>
      <c r="Q311" s="29"/>
    </row>
    <row r="312">
      <c r="O312" s="29"/>
      <c r="P312" s="29"/>
      <c r="Q312" s="29"/>
    </row>
    <row r="313">
      <c r="O313" s="29"/>
      <c r="P313" s="29"/>
      <c r="Q313" s="29"/>
    </row>
    <row r="314">
      <c r="O314" s="29"/>
      <c r="P314" s="29"/>
      <c r="Q314" s="29"/>
    </row>
    <row r="315">
      <c r="O315" s="29"/>
      <c r="P315" s="29"/>
      <c r="Q315" s="29"/>
    </row>
    <row r="316">
      <c r="O316" s="29"/>
      <c r="P316" s="29"/>
      <c r="Q316" s="29"/>
    </row>
    <row r="317">
      <c r="O317" s="29"/>
      <c r="P317" s="29"/>
      <c r="Q317" s="29"/>
    </row>
    <row r="318">
      <c r="O318" s="29"/>
      <c r="P318" s="29"/>
      <c r="Q318" s="29"/>
    </row>
    <row r="319">
      <c r="O319" s="29"/>
      <c r="P319" s="29"/>
      <c r="Q319" s="29"/>
    </row>
    <row r="320">
      <c r="O320" s="29"/>
      <c r="P320" s="29"/>
      <c r="Q320" s="29"/>
    </row>
    <row r="321">
      <c r="O321" s="29"/>
      <c r="P321" s="29"/>
      <c r="Q321" s="29"/>
    </row>
    <row r="322">
      <c r="O322" s="29"/>
      <c r="P322" s="29"/>
      <c r="Q322" s="29"/>
    </row>
    <row r="323">
      <c r="O323" s="29"/>
      <c r="P323" s="29"/>
      <c r="Q323" s="29"/>
    </row>
    <row r="324">
      <c r="O324" s="29"/>
      <c r="P324" s="29"/>
      <c r="Q324" s="29"/>
    </row>
    <row r="325">
      <c r="O325" s="29"/>
      <c r="P325" s="29"/>
      <c r="Q325" s="29"/>
    </row>
    <row r="326">
      <c r="O326" s="29"/>
      <c r="P326" s="29"/>
      <c r="Q326" s="29"/>
    </row>
    <row r="327">
      <c r="O327" s="29"/>
      <c r="P327" s="29"/>
      <c r="Q327" s="29"/>
    </row>
    <row r="328">
      <c r="O328" s="29"/>
      <c r="P328" s="29"/>
      <c r="Q328" s="29"/>
    </row>
    <row r="329">
      <c r="O329" s="29"/>
      <c r="P329" s="29"/>
      <c r="Q329" s="29"/>
    </row>
    <row r="330">
      <c r="O330" s="29"/>
      <c r="P330" s="29"/>
      <c r="Q330" s="29"/>
    </row>
    <row r="331">
      <c r="O331" s="29"/>
      <c r="P331" s="29"/>
      <c r="Q331" s="29"/>
    </row>
    <row r="332">
      <c r="O332" s="29"/>
      <c r="P332" s="29"/>
      <c r="Q332" s="29"/>
    </row>
    <row r="333">
      <c r="O333" s="29"/>
      <c r="P333" s="29"/>
      <c r="Q333" s="29"/>
    </row>
    <row r="334">
      <c r="O334" s="29"/>
      <c r="P334" s="29"/>
      <c r="Q334" s="29"/>
    </row>
    <row r="335">
      <c r="O335" s="29"/>
      <c r="P335" s="29"/>
      <c r="Q335" s="29"/>
    </row>
    <row r="336">
      <c r="O336" s="29"/>
      <c r="P336" s="29"/>
      <c r="Q336" s="29"/>
    </row>
    <row r="337">
      <c r="O337" s="29"/>
      <c r="P337" s="29"/>
      <c r="Q337" s="29"/>
    </row>
    <row r="338">
      <c r="O338" s="29"/>
      <c r="P338" s="29"/>
      <c r="Q338" s="29"/>
    </row>
    <row r="339">
      <c r="O339" s="29"/>
      <c r="P339" s="29"/>
      <c r="Q339" s="29"/>
    </row>
    <row r="340">
      <c r="O340" s="29"/>
      <c r="P340" s="29"/>
      <c r="Q340" s="29"/>
    </row>
    <row r="341">
      <c r="O341" s="29"/>
      <c r="P341" s="29"/>
      <c r="Q341" s="29"/>
    </row>
    <row r="342">
      <c r="O342" s="29"/>
      <c r="P342" s="29"/>
      <c r="Q342" s="29"/>
    </row>
    <row r="343">
      <c r="O343" s="29"/>
      <c r="P343" s="29"/>
      <c r="Q343" s="29"/>
    </row>
    <row r="344">
      <c r="O344" s="29"/>
      <c r="P344" s="29"/>
      <c r="Q344" s="29"/>
    </row>
    <row r="345">
      <c r="O345" s="29"/>
      <c r="P345" s="29"/>
      <c r="Q345" s="29"/>
    </row>
    <row r="346">
      <c r="O346" s="29"/>
      <c r="P346" s="29"/>
      <c r="Q346" s="29"/>
    </row>
    <row r="347">
      <c r="O347" s="29"/>
      <c r="P347" s="29"/>
      <c r="Q347" s="29"/>
    </row>
    <row r="348">
      <c r="O348" s="29"/>
      <c r="P348" s="29"/>
      <c r="Q348" s="29"/>
    </row>
    <row r="349">
      <c r="O349" s="29"/>
      <c r="P349" s="29"/>
      <c r="Q349" s="29"/>
    </row>
    <row r="350">
      <c r="O350" s="29"/>
      <c r="P350" s="29"/>
      <c r="Q350" s="29"/>
    </row>
    <row r="351">
      <c r="O351" s="29"/>
      <c r="P351" s="29"/>
      <c r="Q351" s="29"/>
    </row>
    <row r="352">
      <c r="O352" s="29"/>
      <c r="P352" s="29"/>
      <c r="Q352" s="29"/>
    </row>
    <row r="353">
      <c r="O353" s="29"/>
      <c r="P353" s="29"/>
      <c r="Q353" s="29"/>
    </row>
    <row r="354">
      <c r="O354" s="29"/>
      <c r="P354" s="29"/>
      <c r="Q354" s="29"/>
    </row>
    <row r="355">
      <c r="O355" s="29"/>
      <c r="P355" s="29"/>
      <c r="Q355" s="29"/>
    </row>
    <row r="356">
      <c r="O356" s="29"/>
      <c r="P356" s="29"/>
      <c r="Q356" s="29"/>
    </row>
    <row r="357">
      <c r="O357" s="29"/>
      <c r="P357" s="29"/>
      <c r="Q357" s="29"/>
    </row>
    <row r="358">
      <c r="O358" s="29"/>
      <c r="P358" s="29"/>
      <c r="Q358" s="29"/>
    </row>
    <row r="359">
      <c r="O359" s="29"/>
      <c r="P359" s="29"/>
      <c r="Q359" s="29"/>
    </row>
    <row r="360">
      <c r="O360" s="29"/>
      <c r="P360" s="29"/>
      <c r="Q360" s="29"/>
    </row>
    <row r="361">
      <c r="O361" s="29"/>
      <c r="P361" s="29"/>
      <c r="Q361" s="29"/>
    </row>
    <row r="362">
      <c r="O362" s="29"/>
      <c r="P362" s="29"/>
      <c r="Q362" s="29"/>
    </row>
    <row r="363">
      <c r="O363" s="29"/>
      <c r="P363" s="29"/>
      <c r="Q363" s="29"/>
    </row>
    <row r="364">
      <c r="O364" s="29"/>
      <c r="P364" s="29"/>
      <c r="Q364" s="29"/>
    </row>
    <row r="365">
      <c r="O365" s="29"/>
      <c r="P365" s="29"/>
      <c r="Q365" s="29"/>
    </row>
    <row r="366">
      <c r="O366" s="29"/>
      <c r="P366" s="29"/>
      <c r="Q366" s="29"/>
    </row>
    <row r="367">
      <c r="O367" s="29"/>
      <c r="P367" s="29"/>
      <c r="Q367" s="29"/>
    </row>
    <row r="368">
      <c r="O368" s="29"/>
      <c r="P368" s="29"/>
      <c r="Q368" s="29"/>
    </row>
    <row r="369">
      <c r="O369" s="29"/>
      <c r="P369" s="29"/>
      <c r="Q369" s="29"/>
    </row>
    <row r="370">
      <c r="O370" s="29"/>
      <c r="P370" s="29"/>
      <c r="Q370" s="29"/>
    </row>
    <row r="371">
      <c r="O371" s="29"/>
      <c r="P371" s="29"/>
      <c r="Q371" s="29"/>
    </row>
    <row r="372">
      <c r="O372" s="29"/>
      <c r="P372" s="29"/>
      <c r="Q372" s="29"/>
    </row>
    <row r="373">
      <c r="O373" s="29"/>
      <c r="P373" s="29"/>
      <c r="Q373" s="29"/>
    </row>
    <row r="374">
      <c r="O374" s="29"/>
      <c r="P374" s="29"/>
      <c r="Q374" s="29"/>
    </row>
    <row r="375">
      <c r="O375" s="29"/>
      <c r="P375" s="29"/>
      <c r="Q375" s="29"/>
    </row>
    <row r="376">
      <c r="O376" s="29"/>
      <c r="P376" s="29"/>
      <c r="Q376" s="29"/>
    </row>
    <row r="377">
      <c r="O377" s="29"/>
      <c r="P377" s="29"/>
      <c r="Q377" s="29"/>
    </row>
    <row r="378">
      <c r="O378" s="29"/>
      <c r="P378" s="29"/>
      <c r="Q378" s="29"/>
    </row>
    <row r="379">
      <c r="O379" s="29"/>
      <c r="P379" s="29"/>
      <c r="Q379" s="29"/>
    </row>
    <row r="380">
      <c r="O380" s="29"/>
      <c r="P380" s="29"/>
      <c r="Q380" s="29"/>
    </row>
    <row r="381">
      <c r="O381" s="29"/>
      <c r="P381" s="29"/>
      <c r="Q381" s="29"/>
    </row>
    <row r="382">
      <c r="O382" s="29"/>
      <c r="P382" s="29"/>
      <c r="Q382" s="29"/>
    </row>
    <row r="383">
      <c r="O383" s="29"/>
      <c r="P383" s="29"/>
      <c r="Q383" s="29"/>
    </row>
    <row r="384">
      <c r="O384" s="29"/>
      <c r="P384" s="29"/>
      <c r="Q384" s="29"/>
    </row>
    <row r="385">
      <c r="O385" s="29"/>
      <c r="P385" s="29"/>
      <c r="Q385" s="29"/>
    </row>
    <row r="386">
      <c r="O386" s="29"/>
      <c r="P386" s="29"/>
      <c r="Q386" s="29"/>
    </row>
    <row r="387">
      <c r="O387" s="29"/>
      <c r="P387" s="29"/>
      <c r="Q387" s="29"/>
    </row>
    <row r="388">
      <c r="O388" s="29"/>
      <c r="P388" s="29"/>
      <c r="Q388" s="29"/>
    </row>
    <row r="389">
      <c r="O389" s="29"/>
      <c r="P389" s="29"/>
      <c r="Q389" s="29"/>
    </row>
    <row r="390">
      <c r="O390" s="29"/>
      <c r="P390" s="29"/>
      <c r="Q390" s="29"/>
    </row>
    <row r="391">
      <c r="O391" s="29"/>
      <c r="P391" s="29"/>
      <c r="Q391" s="29"/>
    </row>
    <row r="392">
      <c r="O392" s="29"/>
      <c r="P392" s="29"/>
      <c r="Q392" s="29"/>
    </row>
    <row r="393">
      <c r="O393" s="29"/>
      <c r="P393" s="29"/>
      <c r="Q393" s="29"/>
    </row>
    <row r="394">
      <c r="O394" s="29"/>
      <c r="P394" s="29"/>
      <c r="Q394" s="29"/>
    </row>
    <row r="395">
      <c r="O395" s="29"/>
      <c r="P395" s="29"/>
      <c r="Q395" s="29"/>
    </row>
    <row r="396">
      <c r="O396" s="29"/>
      <c r="P396" s="29"/>
      <c r="Q396" s="29"/>
    </row>
    <row r="397">
      <c r="O397" s="29"/>
      <c r="P397" s="29"/>
      <c r="Q397" s="29"/>
    </row>
    <row r="398">
      <c r="O398" s="29"/>
      <c r="P398" s="29"/>
      <c r="Q398" s="29"/>
    </row>
    <row r="399">
      <c r="O399" s="29"/>
      <c r="P399" s="29"/>
      <c r="Q399" s="29"/>
    </row>
    <row r="400">
      <c r="O400" s="29"/>
      <c r="P400" s="29"/>
      <c r="Q400" s="29"/>
    </row>
    <row r="401">
      <c r="O401" s="29"/>
      <c r="P401" s="29"/>
      <c r="Q401" s="29"/>
    </row>
    <row r="402">
      <c r="O402" s="29"/>
      <c r="P402" s="29"/>
      <c r="Q402" s="29"/>
    </row>
    <row r="403">
      <c r="O403" s="29"/>
      <c r="P403" s="29"/>
      <c r="Q403" s="29"/>
    </row>
    <row r="404">
      <c r="O404" s="29"/>
      <c r="P404" s="29"/>
      <c r="Q404" s="29"/>
    </row>
    <row r="405">
      <c r="O405" s="29"/>
      <c r="P405" s="29"/>
      <c r="Q405" s="29"/>
    </row>
    <row r="406">
      <c r="O406" s="29"/>
      <c r="P406" s="29"/>
      <c r="Q406" s="29"/>
    </row>
    <row r="407">
      <c r="O407" s="29"/>
      <c r="P407" s="29"/>
      <c r="Q407" s="29"/>
    </row>
    <row r="408">
      <c r="O408" s="29"/>
      <c r="P408" s="29"/>
      <c r="Q408" s="29"/>
    </row>
    <row r="409">
      <c r="O409" s="29"/>
      <c r="P409" s="29"/>
      <c r="Q409" s="29"/>
    </row>
    <row r="410">
      <c r="O410" s="29"/>
      <c r="P410" s="29"/>
      <c r="Q410" s="29"/>
    </row>
    <row r="411">
      <c r="O411" s="29"/>
      <c r="P411" s="29"/>
      <c r="Q411" s="29"/>
    </row>
    <row r="412">
      <c r="O412" s="29"/>
      <c r="P412" s="29"/>
      <c r="Q412" s="29"/>
    </row>
    <row r="413">
      <c r="O413" s="29"/>
      <c r="P413" s="29"/>
      <c r="Q413" s="29"/>
    </row>
    <row r="414">
      <c r="O414" s="29"/>
      <c r="P414" s="29"/>
      <c r="Q414" s="29"/>
    </row>
    <row r="415">
      <c r="O415" s="29"/>
      <c r="P415" s="29"/>
      <c r="Q415" s="29"/>
    </row>
    <row r="416">
      <c r="O416" s="29"/>
      <c r="P416" s="29"/>
      <c r="Q416" s="29"/>
    </row>
    <row r="417">
      <c r="O417" s="29"/>
      <c r="P417" s="29"/>
      <c r="Q417" s="29"/>
    </row>
    <row r="418">
      <c r="O418" s="29"/>
      <c r="P418" s="29"/>
      <c r="Q418" s="29"/>
    </row>
    <row r="419">
      <c r="O419" s="29"/>
      <c r="P419" s="29"/>
      <c r="Q419" s="29"/>
    </row>
    <row r="420">
      <c r="O420" s="29"/>
      <c r="P420" s="29"/>
      <c r="Q420" s="29"/>
    </row>
    <row r="421">
      <c r="O421" s="29"/>
      <c r="P421" s="29"/>
      <c r="Q421" s="29"/>
    </row>
    <row r="422">
      <c r="O422" s="29"/>
      <c r="P422" s="29"/>
      <c r="Q422" s="29"/>
    </row>
    <row r="423">
      <c r="O423" s="29"/>
      <c r="P423" s="29"/>
      <c r="Q423" s="29"/>
    </row>
    <row r="424">
      <c r="O424" s="29"/>
      <c r="P424" s="29"/>
      <c r="Q424" s="29"/>
    </row>
    <row r="425">
      <c r="O425" s="29"/>
      <c r="P425" s="29"/>
      <c r="Q425" s="29"/>
    </row>
    <row r="426">
      <c r="O426" s="29"/>
      <c r="P426" s="29"/>
      <c r="Q426" s="29"/>
    </row>
    <row r="427">
      <c r="O427" s="29"/>
      <c r="P427" s="29"/>
      <c r="Q427" s="29"/>
    </row>
    <row r="428">
      <c r="O428" s="29"/>
      <c r="P428" s="29"/>
      <c r="Q428" s="29"/>
    </row>
    <row r="429">
      <c r="O429" s="29"/>
      <c r="P429" s="29"/>
      <c r="Q429" s="29"/>
    </row>
    <row r="430">
      <c r="O430" s="29"/>
      <c r="P430" s="29"/>
      <c r="Q430" s="29"/>
    </row>
    <row r="431">
      <c r="O431" s="29"/>
      <c r="P431" s="29"/>
      <c r="Q431" s="29"/>
    </row>
    <row r="432">
      <c r="O432" s="29"/>
      <c r="P432" s="29"/>
      <c r="Q432" s="29"/>
    </row>
    <row r="433">
      <c r="O433" s="29"/>
      <c r="P433" s="29"/>
      <c r="Q433" s="29"/>
    </row>
    <row r="434">
      <c r="O434" s="29"/>
      <c r="P434" s="29"/>
      <c r="Q434" s="29"/>
    </row>
    <row r="435">
      <c r="O435" s="29"/>
      <c r="P435" s="29"/>
      <c r="Q435" s="29"/>
    </row>
    <row r="436">
      <c r="O436" s="29"/>
      <c r="P436" s="29"/>
      <c r="Q436" s="29"/>
    </row>
    <row r="437">
      <c r="O437" s="29"/>
      <c r="P437" s="29"/>
      <c r="Q437" s="29"/>
    </row>
    <row r="438">
      <c r="O438" s="29"/>
      <c r="P438" s="29"/>
      <c r="Q438" s="29"/>
    </row>
    <row r="439">
      <c r="O439" s="29"/>
      <c r="P439" s="29"/>
      <c r="Q439" s="29"/>
    </row>
    <row r="440">
      <c r="O440" s="29"/>
      <c r="P440" s="29"/>
      <c r="Q440" s="29"/>
    </row>
    <row r="441">
      <c r="O441" s="29"/>
      <c r="P441" s="29"/>
      <c r="Q441" s="29"/>
    </row>
    <row r="442">
      <c r="O442" s="29"/>
      <c r="P442" s="29"/>
      <c r="Q442" s="29"/>
    </row>
    <row r="443">
      <c r="O443" s="29"/>
      <c r="P443" s="29"/>
      <c r="Q443" s="29"/>
    </row>
    <row r="444">
      <c r="O444" s="29"/>
      <c r="P444" s="29"/>
      <c r="Q444" s="29"/>
    </row>
    <row r="445">
      <c r="O445" s="29"/>
      <c r="P445" s="29"/>
      <c r="Q445" s="29"/>
    </row>
    <row r="446">
      <c r="O446" s="29"/>
      <c r="P446" s="29"/>
      <c r="Q446" s="29"/>
    </row>
    <row r="447">
      <c r="O447" s="29"/>
      <c r="P447" s="29"/>
      <c r="Q447" s="29"/>
    </row>
    <row r="448">
      <c r="O448" s="29"/>
      <c r="P448" s="29"/>
      <c r="Q448" s="29"/>
    </row>
    <row r="449">
      <c r="O449" s="29"/>
      <c r="P449" s="29"/>
      <c r="Q449" s="29"/>
    </row>
    <row r="450">
      <c r="O450" s="29"/>
      <c r="P450" s="29"/>
      <c r="Q450" s="29"/>
    </row>
    <row r="451">
      <c r="O451" s="29"/>
      <c r="P451" s="29"/>
      <c r="Q451" s="29"/>
    </row>
    <row r="452">
      <c r="O452" s="29"/>
      <c r="P452" s="29"/>
      <c r="Q452" s="29"/>
    </row>
    <row r="453">
      <c r="O453" s="29"/>
      <c r="P453" s="29"/>
      <c r="Q453" s="29"/>
    </row>
    <row r="454">
      <c r="O454" s="29"/>
      <c r="P454" s="29"/>
      <c r="Q454" s="29"/>
    </row>
    <row r="455">
      <c r="O455" s="29"/>
      <c r="P455" s="29"/>
      <c r="Q455" s="29"/>
    </row>
    <row r="456">
      <c r="O456" s="29"/>
      <c r="P456" s="29"/>
      <c r="Q456" s="29"/>
    </row>
    <row r="457">
      <c r="O457" s="29"/>
      <c r="P457" s="29"/>
      <c r="Q457" s="29"/>
    </row>
    <row r="458">
      <c r="O458" s="29"/>
      <c r="P458" s="29"/>
      <c r="Q458" s="29"/>
    </row>
    <row r="459">
      <c r="O459" s="29"/>
      <c r="P459" s="29"/>
      <c r="Q459" s="29"/>
    </row>
    <row r="460">
      <c r="O460" s="29"/>
      <c r="P460" s="29"/>
      <c r="Q460" s="29"/>
    </row>
    <row r="461">
      <c r="O461" s="29"/>
      <c r="P461" s="29"/>
      <c r="Q461" s="29"/>
    </row>
    <row r="462">
      <c r="O462" s="29"/>
      <c r="P462" s="29"/>
      <c r="Q462" s="29"/>
    </row>
    <row r="463">
      <c r="O463" s="29"/>
      <c r="P463" s="29"/>
      <c r="Q463" s="29"/>
    </row>
    <row r="464">
      <c r="O464" s="29"/>
      <c r="P464" s="29"/>
      <c r="Q464" s="29"/>
    </row>
    <row r="465">
      <c r="O465" s="29"/>
      <c r="P465" s="29"/>
      <c r="Q465" s="29"/>
    </row>
    <row r="466">
      <c r="O466" s="29"/>
      <c r="P466" s="29"/>
      <c r="Q466" s="29"/>
    </row>
    <row r="467">
      <c r="O467" s="29"/>
      <c r="P467" s="29"/>
      <c r="Q467" s="29"/>
    </row>
    <row r="468">
      <c r="O468" s="29"/>
      <c r="P468" s="29"/>
      <c r="Q468" s="29"/>
    </row>
    <row r="469">
      <c r="O469" s="29"/>
      <c r="P469" s="29"/>
      <c r="Q469" s="29"/>
    </row>
    <row r="470">
      <c r="O470" s="29"/>
      <c r="P470" s="29"/>
      <c r="Q470" s="29"/>
    </row>
    <row r="471">
      <c r="O471" s="29"/>
      <c r="P471" s="29"/>
      <c r="Q471" s="29"/>
    </row>
    <row r="472">
      <c r="O472" s="29"/>
      <c r="P472" s="29"/>
      <c r="Q472" s="29"/>
    </row>
    <row r="473">
      <c r="O473" s="29"/>
      <c r="P473" s="29"/>
      <c r="Q473" s="29"/>
    </row>
    <row r="474">
      <c r="O474" s="29"/>
      <c r="P474" s="29"/>
      <c r="Q474" s="29"/>
    </row>
    <row r="475">
      <c r="O475" s="29"/>
      <c r="P475" s="29"/>
      <c r="Q475" s="29"/>
    </row>
    <row r="476">
      <c r="O476" s="29"/>
      <c r="P476" s="29"/>
      <c r="Q476" s="29"/>
    </row>
    <row r="477">
      <c r="O477" s="29"/>
      <c r="P477" s="29"/>
      <c r="Q477" s="29"/>
    </row>
    <row r="478">
      <c r="O478" s="29"/>
      <c r="P478" s="29"/>
      <c r="Q478" s="29"/>
    </row>
    <row r="479">
      <c r="O479" s="29"/>
      <c r="P479" s="29"/>
      <c r="Q479" s="29"/>
    </row>
    <row r="480">
      <c r="O480" s="29"/>
      <c r="P480" s="29"/>
      <c r="Q480" s="29"/>
    </row>
    <row r="481">
      <c r="O481" s="29"/>
      <c r="P481" s="29"/>
      <c r="Q481" s="29"/>
    </row>
    <row r="482">
      <c r="O482" s="29"/>
      <c r="P482" s="29"/>
      <c r="Q482" s="29"/>
    </row>
    <row r="483">
      <c r="O483" s="29"/>
      <c r="P483" s="29"/>
      <c r="Q483" s="29"/>
    </row>
    <row r="484">
      <c r="O484" s="29"/>
      <c r="P484" s="29"/>
      <c r="Q484" s="29"/>
    </row>
    <row r="485">
      <c r="O485" s="29"/>
      <c r="P485" s="29"/>
      <c r="Q485" s="29"/>
    </row>
    <row r="486">
      <c r="O486" s="29"/>
      <c r="P486" s="29"/>
      <c r="Q486" s="29"/>
    </row>
    <row r="487">
      <c r="O487" s="29"/>
      <c r="P487" s="29"/>
      <c r="Q487" s="29"/>
    </row>
    <row r="488">
      <c r="O488" s="29"/>
      <c r="P488" s="29"/>
      <c r="Q488" s="29"/>
    </row>
    <row r="489">
      <c r="O489" s="29"/>
      <c r="P489" s="29"/>
      <c r="Q489" s="29"/>
    </row>
    <row r="490">
      <c r="O490" s="29"/>
      <c r="P490" s="29"/>
      <c r="Q490" s="29"/>
    </row>
    <row r="491">
      <c r="O491" s="29"/>
      <c r="P491" s="29"/>
      <c r="Q491" s="29"/>
    </row>
    <row r="492">
      <c r="O492" s="29"/>
      <c r="P492" s="29"/>
      <c r="Q492" s="29"/>
    </row>
    <row r="493">
      <c r="O493" s="29"/>
      <c r="P493" s="29"/>
      <c r="Q493" s="29"/>
    </row>
    <row r="494">
      <c r="O494" s="29"/>
      <c r="P494" s="29"/>
      <c r="Q494" s="29"/>
    </row>
    <row r="495">
      <c r="O495" s="29"/>
      <c r="P495" s="29"/>
      <c r="Q495" s="29"/>
    </row>
    <row r="496">
      <c r="O496" s="29"/>
      <c r="P496" s="29"/>
      <c r="Q496" s="29"/>
    </row>
    <row r="497">
      <c r="O497" s="29"/>
      <c r="P497" s="29"/>
      <c r="Q497" s="29"/>
    </row>
    <row r="498">
      <c r="O498" s="29"/>
      <c r="P498" s="29"/>
      <c r="Q498" s="29"/>
    </row>
    <row r="499">
      <c r="O499" s="29"/>
      <c r="P499" s="29"/>
      <c r="Q499" s="29"/>
    </row>
    <row r="500">
      <c r="O500" s="29"/>
      <c r="P500" s="29"/>
      <c r="Q500" s="29"/>
    </row>
    <row r="501">
      <c r="O501" s="29"/>
      <c r="P501" s="29"/>
      <c r="Q501" s="29"/>
    </row>
    <row r="502">
      <c r="O502" s="29"/>
      <c r="P502" s="29"/>
      <c r="Q502" s="29"/>
    </row>
    <row r="503">
      <c r="O503" s="29"/>
      <c r="P503" s="29"/>
      <c r="Q503" s="29"/>
    </row>
    <row r="504">
      <c r="O504" s="29"/>
      <c r="P504" s="29"/>
      <c r="Q504" s="29"/>
    </row>
    <row r="505">
      <c r="O505" s="29"/>
      <c r="P505" s="29"/>
      <c r="Q505" s="29"/>
    </row>
    <row r="506">
      <c r="O506" s="29"/>
      <c r="P506" s="29"/>
      <c r="Q506" s="29"/>
    </row>
    <row r="507">
      <c r="O507" s="29"/>
      <c r="P507" s="29"/>
      <c r="Q507" s="29"/>
    </row>
    <row r="508">
      <c r="O508" s="29"/>
      <c r="P508" s="29"/>
      <c r="Q508" s="29"/>
    </row>
    <row r="509">
      <c r="O509" s="29"/>
      <c r="P509" s="29"/>
      <c r="Q509" s="29"/>
    </row>
    <row r="510">
      <c r="O510" s="29"/>
      <c r="P510" s="29"/>
      <c r="Q510" s="29"/>
    </row>
    <row r="511">
      <c r="O511" s="29"/>
      <c r="P511" s="29"/>
      <c r="Q511" s="29"/>
    </row>
    <row r="512">
      <c r="O512" s="29"/>
      <c r="P512" s="29"/>
      <c r="Q512" s="29"/>
    </row>
    <row r="513">
      <c r="O513" s="29"/>
      <c r="P513" s="29"/>
      <c r="Q513" s="29"/>
    </row>
    <row r="514">
      <c r="O514" s="29"/>
      <c r="P514" s="29"/>
      <c r="Q514" s="29"/>
    </row>
    <row r="515">
      <c r="O515" s="29"/>
      <c r="P515" s="29"/>
      <c r="Q515" s="29"/>
    </row>
    <row r="516">
      <c r="O516" s="29"/>
      <c r="P516" s="29"/>
      <c r="Q516" s="29"/>
    </row>
    <row r="517">
      <c r="O517" s="29"/>
      <c r="P517" s="29"/>
      <c r="Q517" s="29"/>
    </row>
    <row r="518">
      <c r="O518" s="29"/>
      <c r="P518" s="29"/>
      <c r="Q518" s="29"/>
    </row>
    <row r="519">
      <c r="O519" s="29"/>
      <c r="P519" s="29"/>
      <c r="Q519" s="29"/>
    </row>
    <row r="520">
      <c r="O520" s="29"/>
      <c r="P520" s="29"/>
      <c r="Q520" s="29"/>
    </row>
    <row r="521">
      <c r="O521" s="29"/>
      <c r="P521" s="29"/>
      <c r="Q521" s="29"/>
    </row>
    <row r="522">
      <c r="O522" s="29"/>
      <c r="P522" s="29"/>
      <c r="Q522" s="29"/>
    </row>
    <row r="523">
      <c r="O523" s="29"/>
      <c r="P523" s="29"/>
      <c r="Q523" s="29"/>
    </row>
    <row r="524">
      <c r="O524" s="29"/>
      <c r="P524" s="29"/>
      <c r="Q524" s="29"/>
    </row>
    <row r="525">
      <c r="O525" s="29"/>
      <c r="P525" s="29"/>
      <c r="Q525" s="29"/>
    </row>
    <row r="526">
      <c r="O526" s="29"/>
      <c r="P526" s="29"/>
      <c r="Q526" s="29"/>
    </row>
    <row r="527">
      <c r="O527" s="29"/>
      <c r="P527" s="29"/>
      <c r="Q527" s="29"/>
    </row>
    <row r="528">
      <c r="O528" s="29"/>
      <c r="P528" s="29"/>
      <c r="Q528" s="29"/>
    </row>
    <row r="529">
      <c r="O529" s="29"/>
      <c r="P529" s="29"/>
      <c r="Q529" s="29"/>
    </row>
    <row r="530">
      <c r="O530" s="29"/>
      <c r="P530" s="29"/>
      <c r="Q530" s="29"/>
    </row>
    <row r="531">
      <c r="O531" s="29"/>
      <c r="P531" s="29"/>
      <c r="Q531" s="29"/>
    </row>
    <row r="532">
      <c r="O532" s="29"/>
      <c r="P532" s="29"/>
      <c r="Q532" s="29"/>
    </row>
    <row r="533">
      <c r="O533" s="29"/>
      <c r="P533" s="29"/>
      <c r="Q533" s="29"/>
    </row>
    <row r="534">
      <c r="O534" s="29"/>
      <c r="P534" s="29"/>
      <c r="Q534" s="29"/>
    </row>
    <row r="535">
      <c r="O535" s="29"/>
      <c r="P535" s="29"/>
      <c r="Q535" s="29"/>
    </row>
    <row r="536">
      <c r="O536" s="29"/>
      <c r="P536" s="29"/>
      <c r="Q536" s="29"/>
    </row>
    <row r="537">
      <c r="O537" s="29"/>
      <c r="P537" s="29"/>
      <c r="Q537" s="29"/>
    </row>
    <row r="538">
      <c r="O538" s="29"/>
      <c r="P538" s="29"/>
      <c r="Q538" s="29"/>
    </row>
    <row r="539">
      <c r="O539" s="29"/>
      <c r="P539" s="29"/>
      <c r="Q539" s="29"/>
    </row>
    <row r="540">
      <c r="O540" s="29"/>
      <c r="P540" s="29"/>
      <c r="Q540" s="29"/>
    </row>
    <row r="541">
      <c r="O541" s="29"/>
      <c r="P541" s="29"/>
      <c r="Q541" s="29"/>
    </row>
    <row r="542">
      <c r="O542" s="29"/>
      <c r="P542" s="29"/>
      <c r="Q542" s="29"/>
    </row>
    <row r="543">
      <c r="O543" s="29"/>
      <c r="P543" s="29"/>
      <c r="Q543" s="29"/>
    </row>
    <row r="544">
      <c r="O544" s="29"/>
      <c r="P544" s="29"/>
      <c r="Q544" s="29"/>
    </row>
    <row r="545">
      <c r="O545" s="29"/>
      <c r="P545" s="29"/>
      <c r="Q545" s="29"/>
    </row>
    <row r="546">
      <c r="O546" s="29"/>
      <c r="P546" s="29"/>
      <c r="Q546" s="29"/>
    </row>
    <row r="547">
      <c r="O547" s="29"/>
      <c r="P547" s="29"/>
      <c r="Q547" s="29"/>
    </row>
    <row r="548">
      <c r="O548" s="29"/>
      <c r="P548" s="29"/>
      <c r="Q548" s="29"/>
    </row>
    <row r="549">
      <c r="O549" s="29"/>
      <c r="P549" s="29"/>
      <c r="Q549" s="29"/>
    </row>
    <row r="550">
      <c r="O550" s="29"/>
      <c r="P550" s="29"/>
      <c r="Q550" s="29"/>
    </row>
    <row r="551">
      <c r="O551" s="29"/>
      <c r="P551" s="29"/>
      <c r="Q551" s="29"/>
    </row>
    <row r="552">
      <c r="O552" s="29"/>
      <c r="P552" s="29"/>
      <c r="Q552" s="29"/>
    </row>
    <row r="553">
      <c r="O553" s="29"/>
      <c r="P553" s="29"/>
      <c r="Q553" s="29"/>
    </row>
    <row r="554">
      <c r="O554" s="29"/>
      <c r="P554" s="29"/>
      <c r="Q554" s="29"/>
    </row>
    <row r="555">
      <c r="O555" s="29"/>
      <c r="P555" s="29"/>
      <c r="Q555" s="29"/>
    </row>
    <row r="556">
      <c r="O556" s="29"/>
      <c r="P556" s="29"/>
      <c r="Q556" s="29"/>
    </row>
    <row r="557">
      <c r="O557" s="29"/>
      <c r="P557" s="29"/>
      <c r="Q557" s="29"/>
    </row>
    <row r="558">
      <c r="O558" s="29"/>
      <c r="P558" s="29"/>
      <c r="Q558" s="29"/>
    </row>
    <row r="559">
      <c r="O559" s="29"/>
      <c r="P559" s="29"/>
      <c r="Q559" s="29"/>
    </row>
    <row r="560">
      <c r="O560" s="29"/>
      <c r="P560" s="29"/>
      <c r="Q560" s="29"/>
    </row>
    <row r="561">
      <c r="O561" s="29"/>
      <c r="P561" s="29"/>
      <c r="Q561" s="29"/>
    </row>
    <row r="562">
      <c r="O562" s="29"/>
      <c r="P562" s="29"/>
      <c r="Q562" s="29"/>
    </row>
    <row r="563">
      <c r="O563" s="29"/>
      <c r="P563" s="29"/>
      <c r="Q563" s="29"/>
    </row>
    <row r="564">
      <c r="O564" s="29"/>
      <c r="P564" s="29"/>
      <c r="Q564" s="29"/>
    </row>
    <row r="565">
      <c r="O565" s="29"/>
      <c r="P565" s="29"/>
      <c r="Q565" s="29"/>
    </row>
    <row r="566">
      <c r="O566" s="29"/>
      <c r="P566" s="29"/>
      <c r="Q566" s="29"/>
    </row>
    <row r="567">
      <c r="O567" s="29"/>
      <c r="P567" s="29"/>
      <c r="Q567" s="29"/>
    </row>
    <row r="568">
      <c r="O568" s="29"/>
      <c r="P568" s="29"/>
      <c r="Q568" s="29"/>
    </row>
    <row r="569">
      <c r="O569" s="29"/>
      <c r="P569" s="29"/>
      <c r="Q569" s="29"/>
    </row>
    <row r="570">
      <c r="O570" s="29"/>
      <c r="P570" s="29"/>
      <c r="Q570" s="29"/>
    </row>
    <row r="571">
      <c r="O571" s="29"/>
      <c r="P571" s="29"/>
      <c r="Q571" s="29"/>
    </row>
    <row r="572">
      <c r="O572" s="29"/>
      <c r="P572" s="29"/>
      <c r="Q572" s="29"/>
    </row>
    <row r="573">
      <c r="O573" s="29"/>
      <c r="P573" s="29"/>
      <c r="Q573" s="29"/>
    </row>
    <row r="574">
      <c r="O574" s="29"/>
      <c r="P574" s="29"/>
      <c r="Q574" s="29"/>
    </row>
    <row r="575">
      <c r="O575" s="29"/>
      <c r="P575" s="29"/>
      <c r="Q575" s="29"/>
    </row>
    <row r="576">
      <c r="O576" s="29"/>
      <c r="P576" s="29"/>
      <c r="Q576" s="29"/>
    </row>
    <row r="577">
      <c r="O577" s="29"/>
      <c r="P577" s="29"/>
      <c r="Q577" s="29"/>
    </row>
    <row r="578">
      <c r="O578" s="29"/>
      <c r="P578" s="29"/>
      <c r="Q578" s="29"/>
    </row>
    <row r="579">
      <c r="O579" s="29"/>
      <c r="P579" s="29"/>
      <c r="Q579" s="29"/>
    </row>
    <row r="580">
      <c r="O580" s="29"/>
      <c r="P580" s="29"/>
      <c r="Q580" s="29"/>
    </row>
    <row r="581">
      <c r="O581" s="29"/>
      <c r="P581" s="29"/>
      <c r="Q581" s="29"/>
    </row>
    <row r="582">
      <c r="O582" s="29"/>
      <c r="P582" s="29"/>
      <c r="Q582" s="29"/>
    </row>
    <row r="583">
      <c r="O583" s="29"/>
      <c r="P583" s="29"/>
      <c r="Q583" s="29"/>
    </row>
    <row r="584">
      <c r="O584" s="29"/>
      <c r="P584" s="29"/>
      <c r="Q584" s="29"/>
    </row>
    <row r="585">
      <c r="O585" s="29"/>
      <c r="P585" s="29"/>
      <c r="Q585" s="29"/>
    </row>
    <row r="586">
      <c r="O586" s="29"/>
      <c r="P586" s="29"/>
      <c r="Q586" s="29"/>
    </row>
    <row r="587">
      <c r="O587" s="29"/>
      <c r="P587" s="29"/>
      <c r="Q587" s="29"/>
    </row>
    <row r="588">
      <c r="O588" s="29"/>
      <c r="P588" s="29"/>
      <c r="Q588" s="29"/>
    </row>
    <row r="589">
      <c r="O589" s="29"/>
      <c r="P589" s="29"/>
      <c r="Q589" s="29"/>
    </row>
    <row r="590">
      <c r="O590" s="29"/>
      <c r="P590" s="29"/>
      <c r="Q590" s="29"/>
    </row>
    <row r="591">
      <c r="O591" s="29"/>
      <c r="P591" s="29"/>
      <c r="Q591" s="29"/>
    </row>
    <row r="592">
      <c r="O592" s="29"/>
      <c r="P592" s="29"/>
      <c r="Q592" s="29"/>
    </row>
    <row r="593">
      <c r="O593" s="29"/>
      <c r="P593" s="29"/>
      <c r="Q593" s="29"/>
    </row>
    <row r="594">
      <c r="O594" s="29"/>
      <c r="P594" s="29"/>
      <c r="Q594" s="29"/>
    </row>
    <row r="595">
      <c r="O595" s="29"/>
      <c r="P595" s="29"/>
      <c r="Q595" s="29"/>
    </row>
    <row r="596">
      <c r="O596" s="29"/>
      <c r="P596" s="29"/>
      <c r="Q596" s="29"/>
    </row>
    <row r="597">
      <c r="O597" s="29"/>
      <c r="P597" s="29"/>
      <c r="Q597" s="29"/>
    </row>
    <row r="598">
      <c r="O598" s="29"/>
      <c r="P598" s="29"/>
      <c r="Q598" s="29"/>
    </row>
    <row r="599">
      <c r="O599" s="29"/>
      <c r="P599" s="29"/>
      <c r="Q599" s="29"/>
    </row>
    <row r="600">
      <c r="O600" s="29"/>
      <c r="P600" s="29"/>
      <c r="Q600" s="29"/>
    </row>
    <row r="601">
      <c r="O601" s="29"/>
      <c r="P601" s="29"/>
      <c r="Q601" s="29"/>
    </row>
    <row r="602">
      <c r="O602" s="29"/>
      <c r="P602" s="29"/>
      <c r="Q602" s="29"/>
    </row>
    <row r="603">
      <c r="O603" s="29"/>
      <c r="P603" s="29"/>
      <c r="Q603" s="29"/>
    </row>
    <row r="604">
      <c r="O604" s="29"/>
      <c r="P604" s="29"/>
      <c r="Q604" s="29"/>
    </row>
    <row r="605">
      <c r="O605" s="29"/>
      <c r="P605" s="29"/>
      <c r="Q605" s="29"/>
    </row>
    <row r="606">
      <c r="O606" s="29"/>
      <c r="P606" s="29"/>
      <c r="Q606" s="29"/>
    </row>
    <row r="607">
      <c r="O607" s="29"/>
      <c r="P607" s="29"/>
      <c r="Q607" s="29"/>
    </row>
    <row r="608">
      <c r="O608" s="29"/>
      <c r="P608" s="29"/>
      <c r="Q608" s="29"/>
    </row>
    <row r="609">
      <c r="O609" s="29"/>
      <c r="P609" s="29"/>
      <c r="Q609" s="29"/>
    </row>
    <row r="610">
      <c r="O610" s="29"/>
      <c r="P610" s="29"/>
      <c r="Q610" s="29"/>
    </row>
    <row r="611">
      <c r="O611" s="29"/>
      <c r="P611" s="29"/>
      <c r="Q611" s="29"/>
    </row>
    <row r="612">
      <c r="O612" s="29"/>
      <c r="P612" s="29"/>
      <c r="Q612" s="29"/>
    </row>
    <row r="613">
      <c r="O613" s="29"/>
      <c r="P613" s="29"/>
      <c r="Q613" s="29"/>
    </row>
    <row r="614">
      <c r="O614" s="29"/>
      <c r="P614" s="29"/>
      <c r="Q614" s="29"/>
    </row>
    <row r="615">
      <c r="O615" s="29"/>
      <c r="P615" s="29"/>
      <c r="Q615" s="29"/>
    </row>
    <row r="616">
      <c r="O616" s="29"/>
      <c r="P616" s="29"/>
      <c r="Q616" s="29"/>
    </row>
    <row r="617">
      <c r="O617" s="29"/>
      <c r="P617" s="29"/>
      <c r="Q617" s="29"/>
    </row>
    <row r="618">
      <c r="O618" s="29"/>
      <c r="P618" s="29"/>
      <c r="Q618" s="29"/>
    </row>
    <row r="619">
      <c r="O619" s="29"/>
      <c r="P619" s="29"/>
      <c r="Q619" s="29"/>
    </row>
    <row r="620">
      <c r="O620" s="29"/>
      <c r="P620" s="29"/>
      <c r="Q620" s="29"/>
    </row>
    <row r="621">
      <c r="O621" s="29"/>
      <c r="P621" s="29"/>
      <c r="Q621" s="29"/>
    </row>
    <row r="622">
      <c r="O622" s="29"/>
      <c r="P622" s="29"/>
      <c r="Q622" s="29"/>
    </row>
    <row r="623">
      <c r="O623" s="29"/>
      <c r="P623" s="29"/>
      <c r="Q623" s="29"/>
    </row>
    <row r="624">
      <c r="O624" s="29"/>
      <c r="P624" s="29"/>
      <c r="Q624" s="29"/>
    </row>
    <row r="625">
      <c r="O625" s="29"/>
      <c r="P625" s="29"/>
      <c r="Q625" s="29"/>
    </row>
    <row r="626">
      <c r="O626" s="29"/>
      <c r="P626" s="29"/>
      <c r="Q626" s="29"/>
    </row>
    <row r="627">
      <c r="O627" s="29"/>
      <c r="P627" s="29"/>
      <c r="Q627" s="29"/>
    </row>
    <row r="628">
      <c r="O628" s="29"/>
      <c r="P628" s="29"/>
      <c r="Q628" s="29"/>
    </row>
    <row r="629">
      <c r="O629" s="29"/>
      <c r="P629" s="29"/>
      <c r="Q629" s="29"/>
    </row>
    <row r="630">
      <c r="O630" s="29"/>
      <c r="P630" s="29"/>
      <c r="Q630" s="29"/>
    </row>
    <row r="631">
      <c r="O631" s="29"/>
      <c r="P631" s="29"/>
      <c r="Q631" s="29"/>
    </row>
    <row r="632">
      <c r="O632" s="29"/>
      <c r="P632" s="29"/>
      <c r="Q632" s="29"/>
    </row>
    <row r="633">
      <c r="O633" s="29"/>
      <c r="P633" s="29"/>
      <c r="Q633" s="29"/>
    </row>
    <row r="634">
      <c r="O634" s="29"/>
      <c r="P634" s="29"/>
      <c r="Q634" s="29"/>
    </row>
    <row r="635">
      <c r="O635" s="29"/>
      <c r="P635" s="29"/>
      <c r="Q635" s="29"/>
    </row>
    <row r="636">
      <c r="O636" s="29"/>
      <c r="P636" s="29"/>
      <c r="Q636" s="29"/>
    </row>
    <row r="637">
      <c r="O637" s="29"/>
      <c r="P637" s="29"/>
      <c r="Q637" s="29"/>
    </row>
    <row r="638">
      <c r="O638" s="29"/>
      <c r="P638" s="29"/>
      <c r="Q638" s="29"/>
    </row>
    <row r="639">
      <c r="O639" s="29"/>
      <c r="P639" s="29"/>
      <c r="Q639" s="29"/>
    </row>
    <row r="640">
      <c r="O640" s="29"/>
      <c r="P640" s="29"/>
      <c r="Q640" s="29"/>
    </row>
    <row r="641">
      <c r="O641" s="29"/>
      <c r="P641" s="29"/>
      <c r="Q641" s="29"/>
    </row>
    <row r="642">
      <c r="O642" s="29"/>
      <c r="P642" s="29"/>
      <c r="Q642" s="29"/>
    </row>
    <row r="643">
      <c r="O643" s="29"/>
      <c r="P643" s="29"/>
      <c r="Q643" s="29"/>
    </row>
    <row r="644">
      <c r="O644" s="29"/>
      <c r="P644" s="29"/>
      <c r="Q644" s="29"/>
    </row>
    <row r="645">
      <c r="O645" s="29"/>
      <c r="P645" s="29"/>
      <c r="Q645" s="29"/>
    </row>
    <row r="646">
      <c r="O646" s="29"/>
      <c r="P646" s="29"/>
      <c r="Q646" s="29"/>
    </row>
    <row r="647">
      <c r="O647" s="29"/>
      <c r="P647" s="29"/>
      <c r="Q647" s="29"/>
    </row>
    <row r="648">
      <c r="O648" s="29"/>
      <c r="P648" s="29"/>
      <c r="Q648" s="29"/>
    </row>
    <row r="649">
      <c r="O649" s="29"/>
      <c r="P649" s="29"/>
      <c r="Q649" s="29"/>
    </row>
    <row r="650">
      <c r="O650" s="29"/>
      <c r="P650" s="29"/>
      <c r="Q650" s="29"/>
    </row>
    <row r="651">
      <c r="O651" s="29"/>
      <c r="P651" s="29"/>
      <c r="Q651" s="29"/>
    </row>
    <row r="652">
      <c r="O652" s="29"/>
      <c r="P652" s="29"/>
      <c r="Q652" s="29"/>
    </row>
    <row r="653">
      <c r="O653" s="29"/>
      <c r="P653" s="29"/>
      <c r="Q653" s="29"/>
    </row>
    <row r="654">
      <c r="O654" s="29"/>
      <c r="P654" s="29"/>
      <c r="Q654" s="29"/>
    </row>
    <row r="655">
      <c r="O655" s="29"/>
      <c r="P655" s="29"/>
      <c r="Q655" s="29"/>
    </row>
    <row r="656">
      <c r="O656" s="29"/>
      <c r="P656" s="29"/>
      <c r="Q656" s="29"/>
    </row>
    <row r="657">
      <c r="O657" s="29"/>
      <c r="P657" s="29"/>
      <c r="Q657" s="29"/>
    </row>
    <row r="658">
      <c r="O658" s="29"/>
      <c r="P658" s="29"/>
      <c r="Q658" s="29"/>
    </row>
    <row r="659">
      <c r="O659" s="29"/>
      <c r="P659" s="29"/>
      <c r="Q659" s="29"/>
    </row>
    <row r="660">
      <c r="O660" s="29"/>
      <c r="P660" s="29"/>
      <c r="Q660" s="29"/>
    </row>
    <row r="661">
      <c r="O661" s="29"/>
      <c r="P661" s="29"/>
      <c r="Q661" s="29"/>
    </row>
    <row r="662">
      <c r="O662" s="29"/>
      <c r="P662" s="29"/>
      <c r="Q662" s="29"/>
    </row>
    <row r="663">
      <c r="O663" s="29"/>
      <c r="P663" s="29"/>
      <c r="Q663" s="29"/>
    </row>
    <row r="664">
      <c r="O664" s="29"/>
      <c r="P664" s="29"/>
      <c r="Q664" s="29"/>
    </row>
    <row r="665">
      <c r="O665" s="29"/>
      <c r="P665" s="29"/>
      <c r="Q665" s="29"/>
    </row>
    <row r="666">
      <c r="O666" s="29"/>
      <c r="P666" s="29"/>
      <c r="Q666" s="29"/>
    </row>
    <row r="667">
      <c r="O667" s="29"/>
      <c r="P667" s="29"/>
      <c r="Q667" s="29"/>
    </row>
    <row r="668">
      <c r="O668" s="29"/>
      <c r="P668" s="29"/>
      <c r="Q668" s="29"/>
    </row>
    <row r="669">
      <c r="O669" s="29"/>
      <c r="P669" s="29"/>
      <c r="Q669" s="29"/>
    </row>
    <row r="670">
      <c r="O670" s="29"/>
      <c r="P670" s="29"/>
      <c r="Q670" s="29"/>
    </row>
    <row r="671">
      <c r="O671" s="29"/>
      <c r="P671" s="29"/>
      <c r="Q671" s="29"/>
    </row>
    <row r="672">
      <c r="O672" s="29"/>
      <c r="P672" s="29"/>
      <c r="Q672" s="29"/>
    </row>
    <row r="673">
      <c r="O673" s="29"/>
      <c r="P673" s="29"/>
      <c r="Q673" s="29"/>
    </row>
    <row r="674">
      <c r="O674" s="29"/>
      <c r="P674" s="29"/>
      <c r="Q674" s="29"/>
    </row>
    <row r="675">
      <c r="O675" s="29"/>
      <c r="P675" s="29"/>
      <c r="Q675" s="29"/>
    </row>
    <row r="676">
      <c r="O676" s="29"/>
      <c r="P676" s="29"/>
      <c r="Q676" s="29"/>
    </row>
    <row r="677">
      <c r="O677" s="29"/>
      <c r="P677" s="29"/>
      <c r="Q677" s="29"/>
    </row>
    <row r="678">
      <c r="O678" s="29"/>
      <c r="P678" s="29"/>
      <c r="Q678" s="29"/>
    </row>
    <row r="679">
      <c r="O679" s="29"/>
      <c r="P679" s="29"/>
      <c r="Q679" s="29"/>
    </row>
    <row r="680">
      <c r="O680" s="29"/>
      <c r="P680" s="29"/>
      <c r="Q680" s="29"/>
    </row>
    <row r="681">
      <c r="O681" s="29"/>
      <c r="P681" s="29"/>
      <c r="Q681" s="29"/>
    </row>
    <row r="682">
      <c r="O682" s="29"/>
      <c r="P682" s="29"/>
      <c r="Q682" s="29"/>
    </row>
    <row r="683">
      <c r="O683" s="29"/>
      <c r="P683" s="29"/>
      <c r="Q683" s="29"/>
    </row>
    <row r="684">
      <c r="O684" s="29"/>
      <c r="P684" s="29"/>
      <c r="Q684" s="29"/>
    </row>
    <row r="685">
      <c r="O685" s="29"/>
      <c r="P685" s="29"/>
      <c r="Q685" s="29"/>
    </row>
    <row r="686">
      <c r="O686" s="29"/>
      <c r="P686" s="29"/>
      <c r="Q686" s="29"/>
    </row>
    <row r="687">
      <c r="O687" s="29"/>
      <c r="P687" s="29"/>
      <c r="Q687" s="29"/>
    </row>
    <row r="688">
      <c r="O688" s="29"/>
      <c r="P688" s="29"/>
      <c r="Q688" s="29"/>
    </row>
    <row r="689">
      <c r="O689" s="29"/>
      <c r="P689" s="29"/>
      <c r="Q689" s="29"/>
    </row>
    <row r="690">
      <c r="O690" s="29"/>
      <c r="P690" s="29"/>
      <c r="Q690" s="29"/>
    </row>
    <row r="691">
      <c r="O691" s="29"/>
      <c r="P691" s="29"/>
      <c r="Q691" s="29"/>
    </row>
    <row r="692">
      <c r="O692" s="29"/>
      <c r="P692" s="29"/>
      <c r="Q692" s="29"/>
    </row>
    <row r="693">
      <c r="O693" s="29"/>
      <c r="P693" s="29"/>
      <c r="Q693" s="29"/>
    </row>
    <row r="694">
      <c r="O694" s="29"/>
      <c r="P694" s="29"/>
      <c r="Q694" s="29"/>
    </row>
    <row r="695">
      <c r="O695" s="29"/>
      <c r="P695" s="29"/>
      <c r="Q695" s="29"/>
    </row>
    <row r="696">
      <c r="O696" s="29"/>
      <c r="P696" s="29"/>
      <c r="Q696" s="29"/>
    </row>
    <row r="697">
      <c r="O697" s="29"/>
      <c r="P697" s="29"/>
      <c r="Q697" s="29"/>
    </row>
    <row r="698">
      <c r="O698" s="29"/>
      <c r="P698" s="29"/>
      <c r="Q698" s="29"/>
    </row>
    <row r="699">
      <c r="O699" s="29"/>
      <c r="P699" s="29"/>
      <c r="Q699" s="29"/>
    </row>
    <row r="700">
      <c r="O700" s="29"/>
      <c r="P700" s="29"/>
      <c r="Q700" s="29"/>
    </row>
    <row r="701">
      <c r="O701" s="29"/>
      <c r="P701" s="29"/>
      <c r="Q701" s="29"/>
    </row>
    <row r="702">
      <c r="O702" s="29"/>
      <c r="P702" s="29"/>
      <c r="Q702" s="29"/>
    </row>
    <row r="703">
      <c r="O703" s="29"/>
      <c r="P703" s="29"/>
      <c r="Q703" s="29"/>
    </row>
    <row r="704">
      <c r="O704" s="29"/>
      <c r="P704" s="29"/>
      <c r="Q704" s="29"/>
    </row>
    <row r="705">
      <c r="O705" s="29"/>
      <c r="P705" s="29"/>
      <c r="Q705" s="29"/>
    </row>
    <row r="706">
      <c r="O706" s="29"/>
      <c r="P706" s="29"/>
      <c r="Q706" s="29"/>
    </row>
    <row r="707">
      <c r="O707" s="29"/>
      <c r="P707" s="29"/>
      <c r="Q707" s="29"/>
    </row>
    <row r="708">
      <c r="O708" s="29"/>
      <c r="P708" s="29"/>
      <c r="Q708" s="29"/>
    </row>
    <row r="709">
      <c r="O709" s="29"/>
      <c r="P709" s="29"/>
      <c r="Q709" s="29"/>
    </row>
    <row r="710">
      <c r="O710" s="29"/>
      <c r="P710" s="29"/>
      <c r="Q710" s="29"/>
    </row>
    <row r="711">
      <c r="O711" s="29"/>
      <c r="P711" s="29"/>
      <c r="Q711" s="29"/>
    </row>
    <row r="712">
      <c r="O712" s="29"/>
      <c r="P712" s="29"/>
      <c r="Q712" s="29"/>
    </row>
    <row r="713">
      <c r="O713" s="29"/>
      <c r="P713" s="29"/>
      <c r="Q713" s="29"/>
    </row>
    <row r="714">
      <c r="O714" s="29"/>
      <c r="P714" s="29"/>
      <c r="Q714" s="29"/>
    </row>
    <row r="715">
      <c r="O715" s="29"/>
      <c r="P715" s="29"/>
      <c r="Q715" s="29"/>
    </row>
    <row r="716">
      <c r="O716" s="29"/>
      <c r="P716" s="29"/>
      <c r="Q716" s="29"/>
    </row>
    <row r="717">
      <c r="O717" s="29"/>
      <c r="P717" s="29"/>
      <c r="Q717" s="29"/>
    </row>
    <row r="718">
      <c r="O718" s="29"/>
      <c r="P718" s="29"/>
      <c r="Q718" s="29"/>
    </row>
    <row r="719">
      <c r="O719" s="29"/>
      <c r="P719" s="29"/>
      <c r="Q719" s="29"/>
    </row>
    <row r="720">
      <c r="O720" s="29"/>
      <c r="P720" s="29"/>
      <c r="Q720" s="29"/>
    </row>
    <row r="721">
      <c r="O721" s="29"/>
      <c r="P721" s="29"/>
      <c r="Q721" s="29"/>
    </row>
    <row r="722">
      <c r="O722" s="29"/>
      <c r="P722" s="29"/>
      <c r="Q722" s="29"/>
    </row>
    <row r="723">
      <c r="O723" s="29"/>
      <c r="P723" s="29"/>
      <c r="Q723" s="29"/>
    </row>
    <row r="724">
      <c r="O724" s="29"/>
      <c r="P724" s="29"/>
      <c r="Q724" s="29"/>
    </row>
    <row r="725">
      <c r="O725" s="29"/>
      <c r="P725" s="29"/>
      <c r="Q725" s="29"/>
    </row>
    <row r="726">
      <c r="O726" s="29"/>
      <c r="P726" s="29"/>
      <c r="Q726" s="29"/>
    </row>
    <row r="727">
      <c r="O727" s="29"/>
      <c r="P727" s="29"/>
      <c r="Q727" s="29"/>
    </row>
    <row r="728">
      <c r="O728" s="29"/>
      <c r="P728" s="29"/>
      <c r="Q728" s="29"/>
    </row>
    <row r="729">
      <c r="O729" s="29"/>
      <c r="P729" s="29"/>
      <c r="Q729" s="29"/>
    </row>
    <row r="730">
      <c r="O730" s="29"/>
      <c r="P730" s="29"/>
      <c r="Q730" s="29"/>
    </row>
    <row r="731">
      <c r="O731" s="29"/>
      <c r="P731" s="29"/>
      <c r="Q731" s="29"/>
    </row>
    <row r="732">
      <c r="O732" s="29"/>
      <c r="P732" s="29"/>
      <c r="Q732" s="29"/>
    </row>
    <row r="733">
      <c r="O733" s="29"/>
      <c r="P733" s="29"/>
      <c r="Q733" s="29"/>
    </row>
    <row r="734">
      <c r="O734" s="29"/>
      <c r="P734" s="29"/>
      <c r="Q734" s="29"/>
    </row>
    <row r="735">
      <c r="O735" s="29"/>
      <c r="P735" s="29"/>
      <c r="Q735" s="29"/>
    </row>
    <row r="736">
      <c r="O736" s="29"/>
      <c r="P736" s="29"/>
      <c r="Q736" s="29"/>
    </row>
    <row r="737">
      <c r="O737" s="29"/>
      <c r="P737" s="29"/>
      <c r="Q737" s="29"/>
    </row>
    <row r="738">
      <c r="O738" s="29"/>
      <c r="P738" s="29"/>
      <c r="Q738" s="29"/>
    </row>
    <row r="739">
      <c r="O739" s="29"/>
      <c r="P739" s="29"/>
      <c r="Q739" s="29"/>
    </row>
    <row r="740">
      <c r="O740" s="29"/>
      <c r="P740" s="29"/>
      <c r="Q740" s="29"/>
    </row>
    <row r="741">
      <c r="O741" s="29"/>
      <c r="P741" s="29"/>
      <c r="Q741" s="29"/>
    </row>
    <row r="742">
      <c r="O742" s="29"/>
      <c r="P742" s="29"/>
      <c r="Q742" s="29"/>
    </row>
    <row r="743">
      <c r="O743" s="29"/>
      <c r="P743" s="29"/>
      <c r="Q743" s="29"/>
    </row>
    <row r="744">
      <c r="O744" s="29"/>
      <c r="P744" s="29"/>
      <c r="Q744" s="29"/>
    </row>
    <row r="745">
      <c r="O745" s="29"/>
      <c r="P745" s="29"/>
      <c r="Q745" s="29"/>
    </row>
    <row r="746">
      <c r="O746" s="29"/>
      <c r="P746" s="29"/>
      <c r="Q746" s="29"/>
    </row>
    <row r="747">
      <c r="O747" s="29"/>
      <c r="P747" s="29"/>
      <c r="Q747" s="29"/>
    </row>
    <row r="748">
      <c r="O748" s="29"/>
      <c r="P748" s="29"/>
      <c r="Q748" s="29"/>
    </row>
    <row r="749">
      <c r="O749" s="29"/>
      <c r="P749" s="29"/>
      <c r="Q749" s="29"/>
    </row>
    <row r="750">
      <c r="O750" s="29"/>
      <c r="P750" s="29"/>
      <c r="Q750" s="29"/>
    </row>
    <row r="751">
      <c r="O751" s="29"/>
      <c r="P751" s="29"/>
      <c r="Q751" s="29"/>
    </row>
    <row r="752">
      <c r="O752" s="29"/>
      <c r="P752" s="29"/>
      <c r="Q752" s="29"/>
    </row>
    <row r="753">
      <c r="O753" s="29"/>
      <c r="P753" s="29"/>
      <c r="Q753" s="29"/>
    </row>
    <row r="754">
      <c r="O754" s="29"/>
      <c r="P754" s="29"/>
      <c r="Q754" s="29"/>
    </row>
    <row r="755">
      <c r="O755" s="29"/>
      <c r="P755" s="29"/>
      <c r="Q755" s="29"/>
    </row>
    <row r="756">
      <c r="O756" s="29"/>
      <c r="P756" s="29"/>
      <c r="Q756" s="29"/>
    </row>
    <row r="757">
      <c r="O757" s="29"/>
      <c r="P757" s="29"/>
      <c r="Q757" s="29"/>
    </row>
    <row r="758">
      <c r="O758" s="29"/>
      <c r="P758" s="29"/>
      <c r="Q758" s="29"/>
    </row>
    <row r="759">
      <c r="O759" s="29"/>
      <c r="P759" s="29"/>
      <c r="Q759" s="29"/>
    </row>
    <row r="760">
      <c r="O760" s="29"/>
      <c r="P760" s="29"/>
      <c r="Q760" s="29"/>
    </row>
    <row r="761">
      <c r="O761" s="29"/>
      <c r="P761" s="29"/>
      <c r="Q761" s="29"/>
    </row>
    <row r="762">
      <c r="O762" s="29"/>
      <c r="P762" s="29"/>
      <c r="Q762" s="29"/>
    </row>
    <row r="763">
      <c r="O763" s="29"/>
      <c r="P763" s="29"/>
      <c r="Q763" s="29"/>
    </row>
    <row r="764">
      <c r="O764" s="29"/>
      <c r="P764" s="29"/>
      <c r="Q764" s="29"/>
    </row>
    <row r="765">
      <c r="O765" s="29"/>
      <c r="P765" s="29"/>
      <c r="Q765" s="29"/>
    </row>
    <row r="766">
      <c r="O766" s="29"/>
      <c r="P766" s="29"/>
      <c r="Q766" s="29"/>
    </row>
    <row r="767">
      <c r="O767" s="29"/>
      <c r="P767" s="29"/>
      <c r="Q767" s="29"/>
    </row>
    <row r="768">
      <c r="O768" s="29"/>
      <c r="P768" s="29"/>
      <c r="Q768" s="29"/>
    </row>
    <row r="769">
      <c r="O769" s="29"/>
      <c r="P769" s="29"/>
      <c r="Q769" s="29"/>
    </row>
    <row r="770">
      <c r="O770" s="29"/>
      <c r="P770" s="29"/>
      <c r="Q770" s="29"/>
    </row>
    <row r="771">
      <c r="O771" s="29"/>
      <c r="P771" s="29"/>
      <c r="Q771" s="29"/>
    </row>
    <row r="772">
      <c r="O772" s="29"/>
      <c r="P772" s="29"/>
      <c r="Q772" s="29"/>
    </row>
    <row r="773">
      <c r="O773" s="29"/>
      <c r="P773" s="29"/>
      <c r="Q773" s="29"/>
    </row>
    <row r="774">
      <c r="O774" s="29"/>
      <c r="P774" s="29"/>
      <c r="Q774" s="29"/>
    </row>
    <row r="775">
      <c r="O775" s="29"/>
      <c r="P775" s="29"/>
      <c r="Q775" s="29"/>
    </row>
    <row r="776">
      <c r="O776" s="29"/>
      <c r="P776" s="29"/>
      <c r="Q776" s="29"/>
    </row>
    <row r="777">
      <c r="O777" s="29"/>
      <c r="P777" s="29"/>
      <c r="Q777" s="29"/>
    </row>
    <row r="778">
      <c r="O778" s="29"/>
      <c r="P778" s="29"/>
      <c r="Q778" s="29"/>
    </row>
    <row r="779">
      <c r="O779" s="29"/>
      <c r="P779" s="29"/>
      <c r="Q779" s="29"/>
    </row>
    <row r="780">
      <c r="O780" s="29"/>
      <c r="P780" s="29"/>
      <c r="Q780" s="29"/>
    </row>
    <row r="781">
      <c r="O781" s="29"/>
      <c r="P781" s="29"/>
      <c r="Q781" s="29"/>
    </row>
    <row r="782">
      <c r="O782" s="29"/>
      <c r="P782" s="29"/>
      <c r="Q782" s="29"/>
    </row>
    <row r="783">
      <c r="O783" s="29"/>
      <c r="P783" s="29"/>
      <c r="Q783" s="29"/>
    </row>
    <row r="784">
      <c r="O784" s="29"/>
      <c r="P784" s="29"/>
      <c r="Q784" s="29"/>
    </row>
    <row r="785">
      <c r="O785" s="29"/>
      <c r="P785" s="29"/>
      <c r="Q785" s="29"/>
    </row>
    <row r="786">
      <c r="O786" s="29"/>
      <c r="P786" s="29"/>
      <c r="Q786" s="29"/>
    </row>
    <row r="787">
      <c r="O787" s="29"/>
      <c r="P787" s="29"/>
      <c r="Q787" s="29"/>
    </row>
    <row r="788">
      <c r="O788" s="29"/>
      <c r="P788" s="29"/>
      <c r="Q788" s="29"/>
    </row>
    <row r="789">
      <c r="O789" s="29"/>
      <c r="P789" s="29"/>
      <c r="Q789" s="29"/>
    </row>
    <row r="790">
      <c r="O790" s="29"/>
      <c r="P790" s="29"/>
      <c r="Q790" s="29"/>
    </row>
    <row r="791">
      <c r="O791" s="29"/>
      <c r="P791" s="29"/>
      <c r="Q791" s="29"/>
    </row>
    <row r="792">
      <c r="O792" s="29"/>
      <c r="P792" s="29"/>
      <c r="Q792" s="29"/>
    </row>
    <row r="793">
      <c r="O793" s="29"/>
      <c r="P793" s="29"/>
      <c r="Q793" s="29"/>
    </row>
    <row r="794">
      <c r="O794" s="29"/>
      <c r="P794" s="29"/>
      <c r="Q794" s="29"/>
    </row>
    <row r="795">
      <c r="O795" s="29"/>
      <c r="P795" s="29"/>
      <c r="Q795" s="29"/>
    </row>
    <row r="796">
      <c r="O796" s="29"/>
      <c r="P796" s="29"/>
      <c r="Q796" s="29"/>
    </row>
    <row r="797">
      <c r="O797" s="29"/>
      <c r="P797" s="29"/>
      <c r="Q797" s="29"/>
    </row>
    <row r="798">
      <c r="O798" s="29"/>
      <c r="P798" s="29"/>
      <c r="Q798" s="29"/>
    </row>
    <row r="799">
      <c r="O799" s="29"/>
      <c r="P799" s="29"/>
      <c r="Q799" s="29"/>
    </row>
    <row r="800">
      <c r="O800" s="29"/>
      <c r="P800" s="29"/>
      <c r="Q800" s="29"/>
    </row>
    <row r="801">
      <c r="O801" s="29"/>
      <c r="P801" s="29"/>
      <c r="Q801" s="29"/>
    </row>
    <row r="802">
      <c r="O802" s="29"/>
      <c r="P802" s="29"/>
      <c r="Q802" s="29"/>
    </row>
    <row r="803">
      <c r="O803" s="29"/>
      <c r="P803" s="29"/>
      <c r="Q803" s="29"/>
    </row>
    <row r="804">
      <c r="O804" s="29"/>
      <c r="P804" s="29"/>
      <c r="Q804" s="29"/>
    </row>
    <row r="805">
      <c r="O805" s="29"/>
      <c r="P805" s="29"/>
      <c r="Q805" s="29"/>
    </row>
    <row r="806">
      <c r="O806" s="29"/>
      <c r="P806" s="29"/>
      <c r="Q806" s="29"/>
    </row>
    <row r="807">
      <c r="O807" s="29"/>
      <c r="P807" s="29"/>
      <c r="Q807" s="29"/>
    </row>
    <row r="808">
      <c r="O808" s="29"/>
      <c r="P808" s="29"/>
      <c r="Q808" s="29"/>
    </row>
    <row r="809">
      <c r="O809" s="29"/>
      <c r="P809" s="29"/>
      <c r="Q809" s="29"/>
    </row>
    <row r="810">
      <c r="O810" s="29"/>
      <c r="P810" s="29"/>
      <c r="Q810" s="29"/>
    </row>
    <row r="811">
      <c r="O811" s="29"/>
      <c r="P811" s="29"/>
      <c r="Q811" s="29"/>
    </row>
    <row r="812">
      <c r="O812" s="29"/>
      <c r="P812" s="29"/>
      <c r="Q812" s="29"/>
    </row>
    <row r="813">
      <c r="O813" s="29"/>
      <c r="P813" s="29"/>
      <c r="Q813" s="29"/>
    </row>
    <row r="814">
      <c r="O814" s="29"/>
      <c r="P814" s="29"/>
      <c r="Q814" s="29"/>
    </row>
    <row r="815">
      <c r="O815" s="29"/>
      <c r="P815" s="29"/>
      <c r="Q815" s="29"/>
    </row>
    <row r="816">
      <c r="O816" s="29"/>
      <c r="P816" s="29"/>
      <c r="Q816" s="29"/>
    </row>
    <row r="817">
      <c r="O817" s="29"/>
      <c r="P817" s="29"/>
      <c r="Q817" s="29"/>
    </row>
    <row r="818">
      <c r="O818" s="29"/>
      <c r="P818" s="29"/>
      <c r="Q818" s="29"/>
    </row>
    <row r="819">
      <c r="O819" s="29"/>
      <c r="P819" s="29"/>
      <c r="Q819" s="29"/>
    </row>
    <row r="820">
      <c r="O820" s="29"/>
      <c r="P820" s="29"/>
      <c r="Q820" s="29"/>
    </row>
    <row r="821">
      <c r="O821" s="29"/>
      <c r="P821" s="29"/>
      <c r="Q821" s="29"/>
    </row>
    <row r="822">
      <c r="O822" s="29"/>
      <c r="P822" s="29"/>
      <c r="Q822" s="29"/>
    </row>
    <row r="823">
      <c r="O823" s="29"/>
      <c r="P823" s="29"/>
      <c r="Q823" s="29"/>
    </row>
    <row r="824">
      <c r="O824" s="29"/>
      <c r="P824" s="29"/>
      <c r="Q824" s="29"/>
    </row>
    <row r="825">
      <c r="O825" s="29"/>
      <c r="P825" s="29"/>
      <c r="Q825" s="29"/>
    </row>
    <row r="826">
      <c r="O826" s="29"/>
      <c r="P826" s="29"/>
      <c r="Q826" s="29"/>
    </row>
    <row r="827">
      <c r="O827" s="29"/>
      <c r="P827" s="29"/>
      <c r="Q827" s="29"/>
    </row>
    <row r="828">
      <c r="O828" s="29"/>
      <c r="P828" s="29"/>
      <c r="Q828" s="29"/>
    </row>
    <row r="829">
      <c r="O829" s="29"/>
      <c r="P829" s="29"/>
      <c r="Q829" s="29"/>
    </row>
    <row r="830">
      <c r="O830" s="29"/>
      <c r="P830" s="29"/>
      <c r="Q830" s="29"/>
    </row>
    <row r="831">
      <c r="O831" s="29"/>
      <c r="P831" s="29"/>
      <c r="Q831" s="29"/>
    </row>
    <row r="832">
      <c r="O832" s="29"/>
      <c r="P832" s="29"/>
      <c r="Q832" s="29"/>
    </row>
    <row r="833">
      <c r="O833" s="29"/>
      <c r="P833" s="29"/>
      <c r="Q833" s="29"/>
    </row>
    <row r="834">
      <c r="O834" s="29"/>
      <c r="P834" s="29"/>
      <c r="Q834" s="29"/>
    </row>
    <row r="835">
      <c r="O835" s="29"/>
      <c r="P835" s="29"/>
      <c r="Q835" s="29"/>
    </row>
    <row r="836">
      <c r="O836" s="29"/>
      <c r="P836" s="29"/>
      <c r="Q836" s="29"/>
    </row>
    <row r="837">
      <c r="O837" s="29"/>
      <c r="P837" s="29"/>
      <c r="Q837" s="29"/>
    </row>
    <row r="838">
      <c r="O838" s="29"/>
      <c r="P838" s="29"/>
      <c r="Q838" s="29"/>
    </row>
    <row r="839">
      <c r="O839" s="29"/>
      <c r="P839" s="29"/>
      <c r="Q839" s="29"/>
    </row>
    <row r="840">
      <c r="O840" s="29"/>
      <c r="P840" s="29"/>
      <c r="Q840" s="29"/>
    </row>
    <row r="841">
      <c r="O841" s="29"/>
      <c r="P841" s="29"/>
      <c r="Q841" s="29"/>
    </row>
    <row r="842">
      <c r="O842" s="29"/>
      <c r="P842" s="29"/>
      <c r="Q842" s="29"/>
    </row>
    <row r="843">
      <c r="O843" s="29"/>
      <c r="P843" s="29"/>
      <c r="Q843" s="29"/>
    </row>
    <row r="844">
      <c r="O844" s="29"/>
      <c r="P844" s="29"/>
      <c r="Q844" s="29"/>
    </row>
    <row r="845">
      <c r="O845" s="29"/>
      <c r="P845" s="29"/>
      <c r="Q845" s="29"/>
    </row>
    <row r="846">
      <c r="O846" s="29"/>
      <c r="P846" s="29"/>
      <c r="Q846" s="29"/>
    </row>
    <row r="847">
      <c r="O847" s="29"/>
      <c r="P847" s="29"/>
      <c r="Q847" s="29"/>
    </row>
    <row r="848">
      <c r="O848" s="29"/>
      <c r="P848" s="29"/>
      <c r="Q848" s="29"/>
    </row>
    <row r="849">
      <c r="O849" s="29"/>
      <c r="P849" s="29"/>
      <c r="Q849" s="29"/>
    </row>
    <row r="850">
      <c r="O850" s="29"/>
      <c r="P850" s="29"/>
      <c r="Q850" s="29"/>
    </row>
    <row r="851">
      <c r="O851" s="29"/>
      <c r="P851" s="29"/>
      <c r="Q851" s="29"/>
    </row>
    <row r="852">
      <c r="O852" s="29"/>
      <c r="P852" s="29"/>
      <c r="Q852" s="29"/>
    </row>
    <row r="853">
      <c r="O853" s="29"/>
      <c r="P853" s="29"/>
      <c r="Q853" s="29"/>
    </row>
    <row r="854">
      <c r="O854" s="29"/>
      <c r="P854" s="29"/>
      <c r="Q854" s="29"/>
    </row>
    <row r="855">
      <c r="O855" s="29"/>
      <c r="P855" s="29"/>
      <c r="Q855" s="29"/>
    </row>
    <row r="856">
      <c r="O856" s="29"/>
      <c r="P856" s="29"/>
      <c r="Q856" s="29"/>
    </row>
    <row r="857">
      <c r="O857" s="29"/>
      <c r="P857" s="29"/>
      <c r="Q857" s="29"/>
    </row>
    <row r="858">
      <c r="O858" s="29"/>
      <c r="P858" s="29"/>
      <c r="Q858" s="29"/>
    </row>
    <row r="859">
      <c r="O859" s="29"/>
      <c r="P859" s="29"/>
      <c r="Q859" s="29"/>
    </row>
    <row r="860">
      <c r="O860" s="29"/>
      <c r="P860" s="29"/>
      <c r="Q860" s="29"/>
    </row>
    <row r="861">
      <c r="O861" s="29"/>
      <c r="P861" s="29"/>
      <c r="Q861" s="29"/>
    </row>
    <row r="862">
      <c r="O862" s="29"/>
      <c r="P862" s="29"/>
      <c r="Q862" s="29"/>
    </row>
    <row r="863">
      <c r="O863" s="29"/>
      <c r="P863" s="29"/>
      <c r="Q863" s="29"/>
    </row>
    <row r="864">
      <c r="O864" s="29"/>
      <c r="P864" s="29"/>
      <c r="Q864" s="29"/>
    </row>
    <row r="865">
      <c r="O865" s="29"/>
      <c r="P865" s="29"/>
      <c r="Q865" s="29"/>
    </row>
    <row r="866">
      <c r="O866" s="29"/>
      <c r="P866" s="29"/>
      <c r="Q866" s="29"/>
    </row>
    <row r="867">
      <c r="O867" s="29"/>
      <c r="P867" s="29"/>
      <c r="Q867" s="29"/>
    </row>
    <row r="868">
      <c r="O868" s="29"/>
      <c r="P868" s="29"/>
      <c r="Q868" s="29"/>
    </row>
    <row r="869">
      <c r="O869" s="29"/>
      <c r="P869" s="29"/>
      <c r="Q869" s="29"/>
    </row>
    <row r="870">
      <c r="O870" s="29"/>
      <c r="P870" s="29"/>
      <c r="Q870" s="29"/>
    </row>
    <row r="871">
      <c r="O871" s="29"/>
      <c r="P871" s="29"/>
      <c r="Q871" s="29"/>
    </row>
    <row r="872">
      <c r="O872" s="29"/>
      <c r="P872" s="29"/>
      <c r="Q872" s="29"/>
    </row>
    <row r="873">
      <c r="O873" s="29"/>
      <c r="P873" s="29"/>
      <c r="Q873" s="29"/>
    </row>
    <row r="874">
      <c r="O874" s="29"/>
      <c r="P874" s="29"/>
      <c r="Q874" s="29"/>
    </row>
    <row r="875">
      <c r="O875" s="29"/>
      <c r="P875" s="29"/>
      <c r="Q875" s="29"/>
    </row>
    <row r="876">
      <c r="O876" s="29"/>
      <c r="P876" s="29"/>
      <c r="Q876" s="29"/>
    </row>
    <row r="877">
      <c r="O877" s="29"/>
      <c r="P877" s="29"/>
      <c r="Q877" s="29"/>
    </row>
    <row r="878">
      <c r="O878" s="29"/>
      <c r="P878" s="29"/>
      <c r="Q878" s="29"/>
    </row>
    <row r="879">
      <c r="O879" s="29"/>
      <c r="P879" s="29"/>
      <c r="Q879" s="29"/>
    </row>
    <row r="880">
      <c r="O880" s="29"/>
      <c r="P880" s="29"/>
      <c r="Q880" s="29"/>
    </row>
    <row r="881">
      <c r="O881" s="29"/>
      <c r="P881" s="29"/>
      <c r="Q881" s="29"/>
    </row>
    <row r="882">
      <c r="O882" s="29"/>
      <c r="P882" s="29"/>
      <c r="Q882" s="29"/>
    </row>
    <row r="883">
      <c r="O883" s="29"/>
      <c r="P883" s="29"/>
      <c r="Q883" s="29"/>
    </row>
    <row r="884">
      <c r="O884" s="29"/>
      <c r="P884" s="29"/>
      <c r="Q884" s="29"/>
    </row>
    <row r="885">
      <c r="O885" s="29"/>
      <c r="P885" s="29"/>
      <c r="Q885" s="29"/>
    </row>
    <row r="886">
      <c r="O886" s="29"/>
      <c r="P886" s="29"/>
      <c r="Q886" s="29"/>
    </row>
    <row r="887">
      <c r="O887" s="29"/>
      <c r="P887" s="29"/>
      <c r="Q887" s="29"/>
    </row>
    <row r="888">
      <c r="O888" s="29"/>
      <c r="P888" s="29"/>
      <c r="Q888" s="29"/>
    </row>
    <row r="889">
      <c r="O889" s="29"/>
      <c r="P889" s="29"/>
      <c r="Q889" s="29"/>
    </row>
    <row r="890">
      <c r="O890" s="29"/>
      <c r="P890" s="29"/>
      <c r="Q890" s="29"/>
    </row>
    <row r="891">
      <c r="O891" s="29"/>
      <c r="P891" s="29"/>
      <c r="Q891" s="29"/>
    </row>
    <row r="892">
      <c r="O892" s="29"/>
      <c r="P892" s="29"/>
      <c r="Q892" s="29"/>
    </row>
    <row r="893">
      <c r="O893" s="29"/>
      <c r="P893" s="29"/>
      <c r="Q893" s="29"/>
    </row>
    <row r="894">
      <c r="O894" s="29"/>
      <c r="P894" s="29"/>
      <c r="Q894" s="29"/>
    </row>
    <row r="895">
      <c r="O895" s="29"/>
      <c r="P895" s="29"/>
      <c r="Q895" s="29"/>
    </row>
    <row r="896">
      <c r="O896" s="29"/>
      <c r="P896" s="29"/>
      <c r="Q896" s="29"/>
    </row>
    <row r="897">
      <c r="O897" s="29"/>
      <c r="P897" s="29"/>
      <c r="Q897" s="29"/>
    </row>
    <row r="898">
      <c r="O898" s="29"/>
      <c r="P898" s="29"/>
      <c r="Q898" s="29"/>
    </row>
    <row r="899">
      <c r="O899" s="29"/>
      <c r="P899" s="29"/>
      <c r="Q899" s="29"/>
    </row>
    <row r="900">
      <c r="O900" s="29"/>
      <c r="P900" s="29"/>
      <c r="Q900" s="29"/>
    </row>
    <row r="901">
      <c r="O901" s="29"/>
      <c r="P901" s="29"/>
      <c r="Q901" s="29"/>
    </row>
    <row r="902">
      <c r="O902" s="29"/>
      <c r="P902" s="29"/>
      <c r="Q902" s="29"/>
    </row>
    <row r="903">
      <c r="O903" s="29"/>
      <c r="P903" s="29"/>
      <c r="Q903" s="29"/>
    </row>
    <row r="904">
      <c r="O904" s="29"/>
      <c r="P904" s="29"/>
      <c r="Q904" s="29"/>
    </row>
    <row r="905">
      <c r="O905" s="29"/>
      <c r="P905" s="29"/>
      <c r="Q905" s="29"/>
    </row>
    <row r="906">
      <c r="O906" s="29"/>
      <c r="P906" s="29"/>
      <c r="Q906" s="29"/>
    </row>
    <row r="907">
      <c r="O907" s="29"/>
      <c r="P907" s="29"/>
      <c r="Q907" s="29"/>
    </row>
    <row r="908">
      <c r="O908" s="29"/>
      <c r="P908" s="29"/>
      <c r="Q908" s="29"/>
    </row>
    <row r="909">
      <c r="O909" s="29"/>
      <c r="P909" s="29"/>
      <c r="Q909" s="29"/>
    </row>
    <row r="910">
      <c r="O910" s="29"/>
      <c r="P910" s="29"/>
      <c r="Q910" s="29"/>
    </row>
    <row r="911">
      <c r="O911" s="29"/>
      <c r="P911" s="29"/>
      <c r="Q911" s="29"/>
    </row>
    <row r="912">
      <c r="O912" s="29"/>
      <c r="P912" s="29"/>
      <c r="Q912" s="29"/>
    </row>
    <row r="913">
      <c r="O913" s="29"/>
      <c r="P913" s="29"/>
      <c r="Q913" s="29"/>
    </row>
    <row r="914">
      <c r="O914" s="29"/>
      <c r="P914" s="29"/>
      <c r="Q914" s="29"/>
    </row>
    <row r="915">
      <c r="O915" s="29"/>
      <c r="P915" s="29"/>
      <c r="Q915" s="29"/>
    </row>
    <row r="916">
      <c r="O916" s="29"/>
      <c r="P916" s="29"/>
      <c r="Q916" s="29"/>
    </row>
    <row r="917">
      <c r="O917" s="29"/>
      <c r="P917" s="29"/>
      <c r="Q917" s="29"/>
    </row>
    <row r="918">
      <c r="O918" s="29"/>
      <c r="P918" s="29"/>
      <c r="Q918" s="29"/>
    </row>
    <row r="919">
      <c r="O919" s="29"/>
      <c r="P919" s="29"/>
      <c r="Q919" s="29"/>
    </row>
    <row r="920">
      <c r="O920" s="29"/>
      <c r="P920" s="29"/>
      <c r="Q920" s="29"/>
    </row>
    <row r="921">
      <c r="O921" s="29"/>
      <c r="P921" s="29"/>
      <c r="Q921" s="29"/>
    </row>
    <row r="922">
      <c r="O922" s="29"/>
      <c r="P922" s="29"/>
      <c r="Q922" s="29"/>
    </row>
    <row r="923">
      <c r="O923" s="29"/>
      <c r="P923" s="29"/>
      <c r="Q923" s="29"/>
    </row>
    <row r="924">
      <c r="O924" s="29"/>
      <c r="P924" s="29"/>
      <c r="Q924" s="29"/>
    </row>
    <row r="925">
      <c r="O925" s="29"/>
      <c r="P925" s="29"/>
      <c r="Q925" s="29"/>
    </row>
    <row r="926">
      <c r="O926" s="29"/>
      <c r="P926" s="29"/>
      <c r="Q926" s="29"/>
    </row>
    <row r="927">
      <c r="O927" s="29"/>
      <c r="P927" s="29"/>
      <c r="Q927" s="29"/>
    </row>
    <row r="928">
      <c r="O928" s="29"/>
      <c r="P928" s="29"/>
      <c r="Q928" s="29"/>
    </row>
    <row r="929">
      <c r="O929" s="29"/>
      <c r="P929" s="29"/>
      <c r="Q929" s="29"/>
    </row>
    <row r="930">
      <c r="O930" s="29"/>
      <c r="P930" s="29"/>
      <c r="Q930" s="29"/>
    </row>
    <row r="931">
      <c r="O931" s="29"/>
      <c r="P931" s="29"/>
      <c r="Q931" s="29"/>
    </row>
    <row r="932">
      <c r="O932" s="29"/>
      <c r="P932" s="29"/>
      <c r="Q932" s="29"/>
    </row>
    <row r="933">
      <c r="O933" s="29"/>
      <c r="P933" s="29"/>
      <c r="Q933" s="29"/>
    </row>
    <row r="934">
      <c r="O934" s="29"/>
      <c r="P934" s="29"/>
      <c r="Q934" s="29"/>
    </row>
    <row r="935">
      <c r="O935" s="29"/>
      <c r="P935" s="29"/>
      <c r="Q935" s="29"/>
    </row>
    <row r="936">
      <c r="O936" s="29"/>
      <c r="P936" s="29"/>
      <c r="Q936" s="29"/>
    </row>
    <row r="937">
      <c r="O937" s="29"/>
      <c r="P937" s="29"/>
      <c r="Q937" s="29"/>
    </row>
    <row r="938">
      <c r="O938" s="29"/>
      <c r="P938" s="29"/>
      <c r="Q938" s="29"/>
    </row>
    <row r="939">
      <c r="O939" s="29"/>
      <c r="P939" s="29"/>
      <c r="Q939" s="29"/>
    </row>
    <row r="940">
      <c r="O940" s="29"/>
      <c r="P940" s="29"/>
      <c r="Q940" s="29"/>
    </row>
    <row r="941">
      <c r="O941" s="29"/>
      <c r="P941" s="29"/>
      <c r="Q941" s="29"/>
    </row>
    <row r="942">
      <c r="O942" s="29"/>
      <c r="P942" s="29"/>
      <c r="Q942" s="29"/>
    </row>
    <row r="943">
      <c r="O943" s="29"/>
      <c r="P943" s="29"/>
      <c r="Q943" s="29"/>
    </row>
    <row r="944">
      <c r="O944" s="29"/>
      <c r="P944" s="29"/>
      <c r="Q944" s="29"/>
    </row>
    <row r="945">
      <c r="O945" s="29"/>
      <c r="P945" s="29"/>
      <c r="Q945" s="29"/>
    </row>
    <row r="946">
      <c r="O946" s="29"/>
      <c r="P946" s="29"/>
      <c r="Q946" s="29"/>
    </row>
    <row r="947">
      <c r="O947" s="29"/>
      <c r="P947" s="29"/>
      <c r="Q947" s="29"/>
    </row>
    <row r="948">
      <c r="O948" s="29"/>
      <c r="P948" s="29"/>
      <c r="Q948" s="29"/>
    </row>
    <row r="949">
      <c r="O949" s="29"/>
      <c r="P949" s="29"/>
      <c r="Q949" s="29"/>
    </row>
    <row r="950">
      <c r="O950" s="29"/>
      <c r="P950" s="29"/>
      <c r="Q950" s="29"/>
    </row>
    <row r="951">
      <c r="O951" s="29"/>
      <c r="P951" s="29"/>
      <c r="Q951" s="29"/>
    </row>
    <row r="952">
      <c r="O952" s="29"/>
      <c r="P952" s="29"/>
      <c r="Q952" s="29"/>
    </row>
    <row r="953">
      <c r="O953" s="29"/>
      <c r="P953" s="29"/>
      <c r="Q953" s="29"/>
    </row>
    <row r="954">
      <c r="O954" s="29"/>
      <c r="P954" s="29"/>
      <c r="Q954" s="29"/>
    </row>
    <row r="955">
      <c r="O955" s="29"/>
      <c r="P955" s="29"/>
      <c r="Q955" s="29"/>
    </row>
    <row r="956">
      <c r="O956" s="29"/>
      <c r="P956" s="29"/>
      <c r="Q956" s="29"/>
    </row>
    <row r="957">
      <c r="O957" s="29"/>
      <c r="P957" s="29"/>
      <c r="Q957" s="29"/>
    </row>
    <row r="958">
      <c r="O958" s="29"/>
      <c r="P958" s="29"/>
      <c r="Q958" s="29"/>
    </row>
    <row r="959">
      <c r="O959" s="29"/>
      <c r="P959" s="29"/>
      <c r="Q959" s="29"/>
    </row>
    <row r="960">
      <c r="O960" s="29"/>
      <c r="P960" s="29"/>
      <c r="Q960" s="29"/>
    </row>
    <row r="961">
      <c r="O961" s="29"/>
      <c r="P961" s="29"/>
      <c r="Q961" s="29"/>
    </row>
    <row r="962">
      <c r="O962" s="29"/>
      <c r="P962" s="29"/>
      <c r="Q962" s="29"/>
    </row>
    <row r="963">
      <c r="O963" s="29"/>
      <c r="P963" s="29"/>
      <c r="Q963" s="29"/>
    </row>
    <row r="964">
      <c r="O964" s="29"/>
      <c r="P964" s="29"/>
      <c r="Q964" s="29"/>
    </row>
    <row r="965">
      <c r="O965" s="29"/>
      <c r="P965" s="29"/>
      <c r="Q965" s="29"/>
    </row>
    <row r="966">
      <c r="O966" s="29"/>
      <c r="P966" s="29"/>
      <c r="Q966" s="29"/>
    </row>
    <row r="967">
      <c r="O967" s="29"/>
      <c r="P967" s="29"/>
      <c r="Q967" s="29"/>
    </row>
    <row r="968">
      <c r="O968" s="29"/>
      <c r="P968" s="29"/>
      <c r="Q968" s="29"/>
    </row>
    <row r="969">
      <c r="O969" s="29"/>
      <c r="P969" s="29"/>
      <c r="Q969" s="29"/>
    </row>
    <row r="970">
      <c r="O970" s="29"/>
      <c r="P970" s="29"/>
      <c r="Q970" s="29"/>
    </row>
    <row r="971">
      <c r="O971" s="29"/>
      <c r="P971" s="29"/>
      <c r="Q971" s="29"/>
    </row>
    <row r="972">
      <c r="O972" s="29"/>
      <c r="P972" s="29"/>
      <c r="Q972" s="29"/>
    </row>
    <row r="973">
      <c r="O973" s="29"/>
      <c r="P973" s="29"/>
      <c r="Q973" s="29"/>
    </row>
    <row r="974">
      <c r="O974" s="29"/>
      <c r="P974" s="29"/>
      <c r="Q974" s="29"/>
    </row>
    <row r="975">
      <c r="O975" s="29"/>
      <c r="P975" s="29"/>
      <c r="Q975" s="29"/>
    </row>
    <row r="976">
      <c r="O976" s="29"/>
      <c r="P976" s="29"/>
      <c r="Q976" s="29"/>
    </row>
    <row r="977">
      <c r="O977" s="29"/>
      <c r="P977" s="29"/>
      <c r="Q977" s="29"/>
    </row>
    <row r="978">
      <c r="O978" s="29"/>
      <c r="P978" s="29"/>
      <c r="Q978" s="29"/>
    </row>
    <row r="979">
      <c r="O979" s="29"/>
      <c r="P979" s="29"/>
      <c r="Q979" s="29"/>
    </row>
    <row r="980">
      <c r="O980" s="29"/>
      <c r="P980" s="29"/>
      <c r="Q980" s="29"/>
    </row>
    <row r="981">
      <c r="O981" s="29"/>
      <c r="P981" s="29"/>
      <c r="Q981" s="29"/>
    </row>
    <row r="982">
      <c r="O982" s="29"/>
      <c r="P982" s="29"/>
      <c r="Q982" s="29"/>
    </row>
    <row r="983">
      <c r="O983" s="29"/>
      <c r="P983" s="29"/>
      <c r="Q983" s="29"/>
    </row>
    <row r="984">
      <c r="O984" s="29"/>
      <c r="P984" s="29"/>
      <c r="Q984" s="29"/>
    </row>
    <row r="985">
      <c r="O985" s="29"/>
      <c r="P985" s="29"/>
      <c r="Q985" s="29"/>
    </row>
    <row r="986">
      <c r="O986" s="29"/>
      <c r="P986" s="29"/>
      <c r="Q986" s="29"/>
    </row>
    <row r="987">
      <c r="O987" s="29"/>
      <c r="P987" s="29"/>
      <c r="Q987" s="29"/>
    </row>
    <row r="988">
      <c r="O988" s="29"/>
      <c r="P988" s="29"/>
      <c r="Q988" s="29"/>
    </row>
    <row r="989">
      <c r="O989" s="29"/>
      <c r="P989" s="29"/>
      <c r="Q989" s="29"/>
    </row>
    <row r="990">
      <c r="O990" s="29"/>
      <c r="P990" s="29"/>
      <c r="Q990" s="29"/>
    </row>
    <row r="991">
      <c r="O991" s="29"/>
      <c r="P991" s="29"/>
      <c r="Q991" s="29"/>
    </row>
    <row r="992">
      <c r="O992" s="29"/>
      <c r="P992" s="29"/>
      <c r="Q992" s="29"/>
    </row>
    <row r="993">
      <c r="O993" s="29"/>
      <c r="P993" s="29"/>
      <c r="Q993" s="29"/>
    </row>
    <row r="994">
      <c r="O994" s="29"/>
      <c r="P994" s="29"/>
      <c r="Q994" s="29"/>
    </row>
    <row r="995">
      <c r="O995" s="29"/>
      <c r="P995" s="29"/>
      <c r="Q995" s="29"/>
    </row>
    <row r="996">
      <c r="O996" s="29"/>
      <c r="P996" s="29"/>
      <c r="Q996" s="29"/>
    </row>
    <row r="997">
      <c r="O997" s="29"/>
      <c r="P997" s="29"/>
      <c r="Q997" s="29"/>
    </row>
    <row r="998">
      <c r="O998" s="29"/>
      <c r="P998" s="29"/>
      <c r="Q998" s="29"/>
    </row>
    <row r="999">
      <c r="O999" s="29"/>
      <c r="P999" s="29"/>
      <c r="Q999" s="29"/>
    </row>
    <row r="1000">
      <c r="O1000" s="29"/>
      <c r="P1000" s="29"/>
      <c r="Q1000" s="29"/>
    </row>
  </sheetData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7.0"/>
    <col customWidth="1" min="4" max="4" width="7.63"/>
    <col customWidth="1" min="5" max="6" width="6.38"/>
    <col customWidth="1" min="7" max="7" width="14.0"/>
    <col customWidth="1" min="8" max="8" width="6.38"/>
    <col customWidth="1" min="9" max="9" width="8.0"/>
    <col customWidth="1" min="10" max="18" width="6.38"/>
  </cols>
  <sheetData>
    <row r="1">
      <c r="J1" s="29"/>
      <c r="K1" s="29"/>
    </row>
    <row r="2">
      <c r="B2" s="29"/>
      <c r="C2" s="29"/>
      <c r="D2" s="29"/>
      <c r="E2" s="29"/>
    </row>
    <row r="3">
      <c r="C3" s="3" t="s">
        <v>619</v>
      </c>
      <c r="E3" s="8" t="s">
        <v>1399</v>
      </c>
      <c r="F3" s="8" t="s">
        <v>36</v>
      </c>
      <c r="J3" s="8" t="s">
        <v>1409</v>
      </c>
      <c r="K3" s="8" t="s">
        <v>1409</v>
      </c>
      <c r="L3" s="8" t="s">
        <v>640</v>
      </c>
      <c r="M3" s="8" t="s">
        <v>1399</v>
      </c>
      <c r="N3" s="8" t="s">
        <v>1803</v>
      </c>
    </row>
    <row r="4">
      <c r="B4" s="54"/>
      <c r="C4" s="3" t="s">
        <v>1979</v>
      </c>
      <c r="D4" s="3" t="s">
        <v>1549</v>
      </c>
      <c r="E4" s="3" t="s">
        <v>1981</v>
      </c>
      <c r="F4" s="3" t="s">
        <v>73</v>
      </c>
      <c r="G4" s="52" t="s">
        <v>1982</v>
      </c>
      <c r="I4" s="3" t="s">
        <v>1983</v>
      </c>
      <c r="J4" s="3" t="s">
        <v>1984</v>
      </c>
      <c r="K4" s="3" t="s">
        <v>72</v>
      </c>
      <c r="L4" s="3" t="s">
        <v>1986</v>
      </c>
      <c r="M4" s="3" t="s">
        <v>1988</v>
      </c>
      <c r="N4" s="211" t="s">
        <v>1989</v>
      </c>
    </row>
    <row r="5">
      <c r="A5" s="52" t="s">
        <v>1992</v>
      </c>
      <c r="B5" s="52" t="s">
        <v>1994</v>
      </c>
      <c r="D5" s="8">
        <v>1.0</v>
      </c>
      <c r="E5" s="8">
        <f t="shared" ref="E5:E7" si="1">ROUNDUP(M5,0)</f>
        <v>1</v>
      </c>
      <c r="F5" s="8">
        <v>0.1</v>
      </c>
      <c r="G5" s="2" t="s">
        <v>2001</v>
      </c>
      <c r="H5" s="8"/>
      <c r="I5" s="8" t="s">
        <v>2002</v>
      </c>
      <c r="K5" s="8">
        <f>30*N5</f>
        <v>0.15</v>
      </c>
      <c r="L5" s="8">
        <v>2.0</v>
      </c>
      <c r="M5" s="61">
        <f>N5*Materials!$C$32</f>
        <v>0.0075</v>
      </c>
      <c r="N5" s="61">
        <f t="shared" ref="N5:N9" si="2">F5*1000/L5/10000</f>
        <v>0.005</v>
      </c>
    </row>
    <row r="6">
      <c r="B6" s="261" t="s">
        <v>2014</v>
      </c>
      <c r="C6" s="260">
        <v>1.0</v>
      </c>
      <c r="D6" s="260">
        <v>2.0</v>
      </c>
      <c r="E6" s="260">
        <f t="shared" si="1"/>
        <v>1</v>
      </c>
      <c r="F6" s="260">
        <v>1.0</v>
      </c>
      <c r="G6" s="169" t="s">
        <v>2019</v>
      </c>
      <c r="H6" s="260"/>
      <c r="I6" s="260" t="s">
        <v>2020</v>
      </c>
      <c r="J6" s="262">
        <f>M6*Materials!$E$29</f>
        <v>7.5</v>
      </c>
      <c r="K6" s="260">
        <f>Materials!$F$29*N6</f>
        <v>3</v>
      </c>
      <c r="L6" s="260">
        <v>2.0</v>
      </c>
      <c r="M6" s="263">
        <f>N6*Materials!$C$32</f>
        <v>0.075</v>
      </c>
      <c r="N6" s="263">
        <f t="shared" si="2"/>
        <v>0.05</v>
      </c>
    </row>
    <row r="7">
      <c r="B7" s="52" t="s">
        <v>2027</v>
      </c>
      <c r="C7" s="8">
        <v>1.0</v>
      </c>
      <c r="D7" s="8">
        <v>3.0</v>
      </c>
      <c r="E7" s="8">
        <f t="shared" si="1"/>
        <v>2</v>
      </c>
      <c r="F7" s="8">
        <v>10.0</v>
      </c>
      <c r="G7" s="2" t="s">
        <v>2028</v>
      </c>
      <c r="H7" s="8"/>
      <c r="I7" s="8" t="s">
        <v>2029</v>
      </c>
      <c r="J7" s="56">
        <f>M7*Materials!$E$26</f>
        <v>8</v>
      </c>
      <c r="K7" s="56">
        <f>Materials!$F$26*2</f>
        <v>10</v>
      </c>
      <c r="L7" s="8">
        <f>2400/10000</f>
        <v>0.24</v>
      </c>
      <c r="M7" s="8">
        <v>2.0</v>
      </c>
      <c r="N7" s="61">
        <f t="shared" si="2"/>
        <v>4.166666667</v>
      </c>
    </row>
    <row r="8">
      <c r="B8" s="261" t="s">
        <v>1912</v>
      </c>
      <c r="C8" s="260" t="s">
        <v>1949</v>
      </c>
      <c r="D8" s="260">
        <v>4.0</v>
      </c>
      <c r="E8" s="260">
        <v>2.0</v>
      </c>
      <c r="F8" s="260">
        <v>10.0</v>
      </c>
      <c r="G8" s="169" t="s">
        <v>2031</v>
      </c>
      <c r="H8" s="260"/>
      <c r="I8" s="260" t="s">
        <v>2032</v>
      </c>
      <c r="J8" s="262">
        <f>M8*Materials!$E$32</f>
        <v>150</v>
      </c>
      <c r="K8" s="260">
        <f>Materials!$F$32*N8*2</f>
        <v>100</v>
      </c>
      <c r="L8" s="260">
        <v>2.0</v>
      </c>
      <c r="M8" s="263">
        <f>N8*Materials!$C$32</f>
        <v>0.75</v>
      </c>
      <c r="N8" s="263">
        <f t="shared" si="2"/>
        <v>0.5</v>
      </c>
    </row>
    <row r="9">
      <c r="B9" s="52" t="s">
        <v>2033</v>
      </c>
      <c r="C9" s="8" t="s">
        <v>2034</v>
      </c>
      <c r="D9" s="8">
        <v>4.0</v>
      </c>
      <c r="E9" s="8">
        <f>ROUNDUP(M9,0)</f>
        <v>5</v>
      </c>
      <c r="F9" s="8">
        <v>10.0</v>
      </c>
      <c r="G9" s="2" t="s">
        <v>2031</v>
      </c>
      <c r="H9" s="8"/>
      <c r="I9" s="8" t="s">
        <v>2035</v>
      </c>
      <c r="J9" s="56">
        <f>M9*Materials!$E$32</f>
        <v>1000</v>
      </c>
      <c r="K9" s="8">
        <f>Materials!$F$32*Materials!$C$32</f>
        <v>150</v>
      </c>
      <c r="L9" s="61">
        <v>0.3</v>
      </c>
      <c r="M9" s="8">
        <f>N9*Materials!$C$32</f>
        <v>5</v>
      </c>
      <c r="N9" s="61">
        <f t="shared" si="2"/>
        <v>3.333333333</v>
      </c>
    </row>
    <row r="10">
      <c r="B10" s="52" t="s">
        <v>2036</v>
      </c>
      <c r="C10" s="8" t="s">
        <v>1941</v>
      </c>
      <c r="D10" s="8">
        <v>2.0</v>
      </c>
      <c r="E10" s="8">
        <v>1.0</v>
      </c>
      <c r="F10" s="8"/>
      <c r="G10" s="2" t="s">
        <v>2031</v>
      </c>
      <c r="H10" s="8"/>
      <c r="I10" s="8" t="s">
        <v>2032</v>
      </c>
      <c r="J10" s="56">
        <f>M10*Materials!$E$32</f>
        <v>15</v>
      </c>
      <c r="K10" s="56">
        <f>Materials!F32*N10</f>
        <v>5</v>
      </c>
      <c r="L10" s="8">
        <v>2.0</v>
      </c>
      <c r="M10" s="61">
        <f>N10*Materials!$C$32</f>
        <v>0.075</v>
      </c>
      <c r="N10" s="61">
        <f>1*1000/L10/10000</f>
        <v>0.05</v>
      </c>
    </row>
    <row r="11">
      <c r="B11" s="261" t="s">
        <v>1915</v>
      </c>
      <c r="C11" s="260" t="s">
        <v>2034</v>
      </c>
      <c r="D11" s="260">
        <v>4.0</v>
      </c>
      <c r="E11" s="260">
        <f t="shared" ref="E11:E13" si="3">ROUNDUP(M11,0)</f>
        <v>5</v>
      </c>
      <c r="F11" s="260">
        <v>50.0</v>
      </c>
      <c r="G11" s="169" t="s">
        <v>2037</v>
      </c>
      <c r="H11" s="260"/>
      <c r="I11" s="260" t="s">
        <v>2032</v>
      </c>
      <c r="J11" s="262">
        <f>M11*Materials!$E$32</f>
        <v>1000</v>
      </c>
      <c r="K11" s="260">
        <f>Materials!$F$32*Materials!$C$32*2</f>
        <v>300</v>
      </c>
      <c r="L11" s="260">
        <v>1.5</v>
      </c>
      <c r="M11" s="263">
        <f>N11*Materials!$C$32</f>
        <v>5</v>
      </c>
      <c r="N11" s="263">
        <f>F11*1000/L11/10000</f>
        <v>3.333333333</v>
      </c>
    </row>
    <row r="12">
      <c r="B12" s="52" t="s">
        <v>1918</v>
      </c>
      <c r="C12" s="8" t="s">
        <v>2034</v>
      </c>
      <c r="D12" s="8">
        <v>4.0</v>
      </c>
      <c r="E12" s="8">
        <f t="shared" si="3"/>
        <v>10</v>
      </c>
      <c r="F12" s="8">
        <v>500.0</v>
      </c>
      <c r="G12" s="2" t="s">
        <v>2031</v>
      </c>
      <c r="H12" s="8"/>
      <c r="I12" s="8" t="s">
        <v>1470</v>
      </c>
      <c r="J12" s="56">
        <f>M12*Materials!$E$29</f>
        <v>1000</v>
      </c>
      <c r="K12" s="8">
        <f>Materials!$F$29*Materials!$C$29</f>
        <v>90</v>
      </c>
      <c r="L12" s="8">
        <v>5.0</v>
      </c>
      <c r="M12" s="56">
        <f>N12*Materials!$C$29</f>
        <v>10</v>
      </c>
      <c r="N12" s="61">
        <f t="shared" ref="N12:N13" si="4">F12*1000/L12/10000*2/3</f>
        <v>6.666666667</v>
      </c>
    </row>
    <row r="13">
      <c r="B13" s="261" t="s">
        <v>1922</v>
      </c>
      <c r="C13" s="260">
        <v>4.0</v>
      </c>
      <c r="D13" s="260">
        <v>5.0</v>
      </c>
      <c r="E13" s="260">
        <f t="shared" si="3"/>
        <v>30</v>
      </c>
      <c r="F13" s="260">
        <v>2000.0</v>
      </c>
      <c r="G13" s="169" t="s">
        <v>2031</v>
      </c>
      <c r="H13" s="260"/>
      <c r="I13" s="260" t="s">
        <v>2032</v>
      </c>
      <c r="J13" s="262">
        <f>M13*Materials!$E$32</f>
        <v>6000</v>
      </c>
      <c r="K13" s="260">
        <f>Materials!$F$32*Materials!$C$32*20</f>
        <v>3000</v>
      </c>
      <c r="L13" s="260">
        <v>5.0</v>
      </c>
      <c r="M13" s="262">
        <f>N13*Materials!$C$32-10</f>
        <v>30</v>
      </c>
      <c r="N13" s="263">
        <f t="shared" si="4"/>
        <v>26.66666667</v>
      </c>
    </row>
    <row r="14">
      <c r="B14" s="52"/>
      <c r="C14" s="3"/>
      <c r="D14" s="3"/>
      <c r="E14" s="3"/>
      <c r="F14" s="3"/>
      <c r="G14" s="52"/>
      <c r="H14" s="3"/>
      <c r="I14" s="3"/>
      <c r="J14" s="3"/>
      <c r="K14" s="3"/>
      <c r="L14" s="3"/>
      <c r="M14" s="3"/>
      <c r="N14" s="211"/>
    </row>
    <row r="15">
      <c r="C15" s="3" t="s">
        <v>1979</v>
      </c>
      <c r="D15" s="3"/>
      <c r="E15" s="3" t="s">
        <v>1981</v>
      </c>
      <c r="F15" s="3" t="s">
        <v>73</v>
      </c>
      <c r="G15" s="52" t="s">
        <v>1982</v>
      </c>
      <c r="I15" s="3" t="s">
        <v>1983</v>
      </c>
      <c r="J15" s="3" t="s">
        <v>1984</v>
      </c>
      <c r="K15" s="3" t="s">
        <v>72</v>
      </c>
      <c r="L15" s="3" t="s">
        <v>1986</v>
      </c>
      <c r="M15" s="3" t="s">
        <v>1988</v>
      </c>
      <c r="N15" s="211" t="s">
        <v>1989</v>
      </c>
    </row>
    <row r="16">
      <c r="A16" s="52" t="s">
        <v>2058</v>
      </c>
      <c r="B16" s="261" t="s">
        <v>2059</v>
      </c>
      <c r="C16" s="260"/>
      <c r="D16" s="260">
        <v>0.0</v>
      </c>
      <c r="E16" s="260">
        <v>1.0</v>
      </c>
      <c r="F16" s="260"/>
      <c r="G16" s="169" t="s">
        <v>2031</v>
      </c>
      <c r="H16" s="260"/>
      <c r="I16" s="260" t="s">
        <v>79</v>
      </c>
      <c r="J16" s="280"/>
      <c r="K16" s="260">
        <v>0.03</v>
      </c>
      <c r="L16" s="260">
        <v>2.0</v>
      </c>
      <c r="M16" s="280"/>
      <c r="N16" s="59"/>
    </row>
    <row r="17">
      <c r="B17" s="52" t="s">
        <v>2062</v>
      </c>
      <c r="D17" s="8">
        <v>1.0</v>
      </c>
      <c r="E17" s="8">
        <f>ROUNDUP(M18,0)</f>
        <v>1</v>
      </c>
      <c r="F17" s="8">
        <v>0.1</v>
      </c>
      <c r="G17" s="2" t="s">
        <v>2031</v>
      </c>
      <c r="H17" s="8"/>
      <c r="I17" s="8" t="s">
        <v>2002</v>
      </c>
      <c r="K17" s="8">
        <f>30*N17</f>
        <v>0.15</v>
      </c>
      <c r="L17" s="8">
        <v>2.0</v>
      </c>
      <c r="M17" s="61">
        <f>N17*2</f>
        <v>0.01</v>
      </c>
      <c r="N17" s="61">
        <f t="shared" ref="N17:N19" si="5">F17*1000/L17/10000</f>
        <v>0.005</v>
      </c>
    </row>
    <row r="18">
      <c r="B18" s="261" t="s">
        <v>2063</v>
      </c>
      <c r="C18" s="260">
        <v>2.0</v>
      </c>
      <c r="D18" s="260">
        <v>3.0</v>
      </c>
      <c r="E18" s="260">
        <v>2.0</v>
      </c>
      <c r="F18" s="260">
        <v>4.0</v>
      </c>
      <c r="G18" s="169" t="s">
        <v>2031</v>
      </c>
      <c r="H18" s="260"/>
      <c r="I18" s="260" t="s">
        <v>2032</v>
      </c>
      <c r="J18" s="262">
        <f>M18*Materials!$E$32</f>
        <v>60</v>
      </c>
      <c r="K18" s="260">
        <f>Materials!$F$32*N18*2</f>
        <v>40</v>
      </c>
      <c r="L18" s="260">
        <v>2.0</v>
      </c>
      <c r="M18" s="263">
        <f>N18*Materials!$C$32</f>
        <v>0.3</v>
      </c>
      <c r="N18" s="263">
        <f t="shared" si="5"/>
        <v>0.2</v>
      </c>
    </row>
    <row r="19">
      <c r="B19" s="52" t="s">
        <v>2065</v>
      </c>
      <c r="C19" s="8">
        <v>3.0</v>
      </c>
      <c r="D19" s="8">
        <v>4.0</v>
      </c>
      <c r="E19" s="8">
        <f>ROUNDUP(M19,0)</f>
        <v>2</v>
      </c>
      <c r="F19" s="8">
        <v>20.0</v>
      </c>
      <c r="G19" s="2" t="s">
        <v>2037</v>
      </c>
      <c r="H19" s="8"/>
      <c r="I19" s="8" t="s">
        <v>2066</v>
      </c>
      <c r="J19" s="56">
        <f>M19*Materials!$E$32</f>
        <v>400</v>
      </c>
      <c r="K19" s="8">
        <f>Materials!$F$32*Materials!$C$32*2</f>
        <v>300</v>
      </c>
      <c r="L19" s="8">
        <v>1.5</v>
      </c>
      <c r="M19" s="61">
        <f>N19*Materials!$C$32</f>
        <v>2</v>
      </c>
      <c r="N19" s="61">
        <f t="shared" si="5"/>
        <v>1.333333333</v>
      </c>
    </row>
    <row r="20">
      <c r="C20" s="3"/>
      <c r="D20" s="3"/>
      <c r="E20" s="3"/>
      <c r="F20" s="3"/>
      <c r="G20" s="52"/>
      <c r="H20" s="3"/>
      <c r="I20" s="3"/>
      <c r="J20" s="3"/>
      <c r="K20" s="3"/>
      <c r="L20" s="3"/>
      <c r="M20" s="3"/>
      <c r="N20" s="211"/>
    </row>
    <row r="21">
      <c r="C21" s="3" t="s">
        <v>1979</v>
      </c>
      <c r="D21" s="3"/>
      <c r="E21" s="3" t="s">
        <v>1981</v>
      </c>
      <c r="F21" s="3" t="s">
        <v>73</v>
      </c>
      <c r="G21" s="52" t="s">
        <v>1982</v>
      </c>
      <c r="I21" s="3" t="s">
        <v>1983</v>
      </c>
      <c r="J21" s="3" t="s">
        <v>1984</v>
      </c>
      <c r="K21" s="3" t="s">
        <v>72</v>
      </c>
      <c r="L21" s="3" t="s">
        <v>1986</v>
      </c>
      <c r="M21" s="3" t="s">
        <v>1988</v>
      </c>
      <c r="N21" s="211" t="s">
        <v>1989</v>
      </c>
    </row>
    <row r="22">
      <c r="A22" s="52" t="s">
        <v>2076</v>
      </c>
      <c r="B22" s="261" t="s">
        <v>1516</v>
      </c>
      <c r="C22" s="260"/>
      <c r="D22" s="260">
        <v>2.0</v>
      </c>
      <c r="E22" s="260">
        <v>1.0</v>
      </c>
      <c r="F22" s="286">
        <f>80*5/100</f>
        <v>4</v>
      </c>
      <c r="G22" s="59"/>
      <c r="H22" s="260"/>
      <c r="I22" s="260" t="s">
        <v>1516</v>
      </c>
      <c r="J22" s="280"/>
      <c r="K22" s="260">
        <v>1.89</v>
      </c>
      <c r="L22" s="280">
        <f t="shared" ref="L22:L23" si="6">100*1000*0.05/10000</f>
        <v>0.5</v>
      </c>
      <c r="M22" s="280"/>
      <c r="N22" s="260">
        <v>1.0</v>
      </c>
    </row>
    <row r="23">
      <c r="B23" s="287" t="s">
        <v>2080</v>
      </c>
      <c r="C23" s="288">
        <v>3.0</v>
      </c>
      <c r="D23" s="288">
        <v>3.0</v>
      </c>
      <c r="E23" s="288">
        <f>ROUNDUP(M23,0)</f>
        <v>3</v>
      </c>
      <c r="F23" s="288">
        <v>10.0</v>
      </c>
      <c r="H23" s="288"/>
      <c r="I23" s="288" t="s">
        <v>2032</v>
      </c>
      <c r="J23" s="289">
        <f>M23*Materials!$E$32</f>
        <v>600</v>
      </c>
      <c r="K23" s="8">
        <f>Materials!$F$32*Materials!$C$32*2</f>
        <v>300</v>
      </c>
      <c r="L23" s="290">
        <f t="shared" si="6"/>
        <v>0.5</v>
      </c>
      <c r="M23" s="292">
        <f>N23*Materials!$C$32</f>
        <v>3</v>
      </c>
      <c r="N23" s="292">
        <f>F23*1000/L23/10000</f>
        <v>2</v>
      </c>
    </row>
    <row r="24">
      <c r="M24" s="29"/>
    </row>
    <row r="25">
      <c r="B25" s="52"/>
      <c r="C25" s="3" t="s">
        <v>1979</v>
      </c>
      <c r="D25" s="3"/>
      <c r="E25" s="3" t="s">
        <v>1981</v>
      </c>
      <c r="F25" s="3" t="s">
        <v>73</v>
      </c>
      <c r="G25" s="52" t="s">
        <v>1982</v>
      </c>
      <c r="I25" s="3" t="s">
        <v>1983</v>
      </c>
      <c r="J25" s="3" t="s">
        <v>1984</v>
      </c>
      <c r="K25" s="3" t="s">
        <v>72</v>
      </c>
      <c r="L25" s="3" t="s">
        <v>1986</v>
      </c>
      <c r="M25" s="3" t="s">
        <v>1988</v>
      </c>
      <c r="N25" s="211" t="s">
        <v>1989</v>
      </c>
    </row>
    <row r="26">
      <c r="A26" s="52" t="s">
        <v>2094</v>
      </c>
      <c r="B26" s="52" t="s">
        <v>2095</v>
      </c>
      <c r="C26" s="8">
        <v>3.0</v>
      </c>
      <c r="D26" s="8">
        <v>4.0</v>
      </c>
      <c r="E26" s="8">
        <f t="shared" ref="E26:E27" si="7">ROUNDUP(M26,0)</f>
        <v>3</v>
      </c>
      <c r="F26" s="8">
        <v>5.0</v>
      </c>
      <c r="G26" s="2" t="s">
        <v>2097</v>
      </c>
      <c r="I26" s="8" t="s">
        <v>2032</v>
      </c>
      <c r="J26" s="56">
        <f>M26*Materials!$E$32</f>
        <v>600</v>
      </c>
      <c r="K26" s="8">
        <f>Materials!$F$32*Materials!$C$32*2</f>
        <v>300</v>
      </c>
      <c r="L26" s="8">
        <f>1*0.5*0.5</f>
        <v>0.25</v>
      </c>
      <c r="M26" s="61">
        <f>N26*Materials!$C$32</f>
        <v>3</v>
      </c>
      <c r="N26" s="61">
        <f t="shared" ref="N26:N27" si="8">F26*1000/L26/10000</f>
        <v>2</v>
      </c>
    </row>
    <row r="27">
      <c r="B27" s="261" t="s">
        <v>2099</v>
      </c>
      <c r="C27" s="260">
        <v>4.0</v>
      </c>
      <c r="D27" s="260">
        <v>4.0</v>
      </c>
      <c r="E27" s="260">
        <f t="shared" si="7"/>
        <v>30</v>
      </c>
      <c r="F27" s="260">
        <v>100.0</v>
      </c>
      <c r="G27" s="169" t="s">
        <v>2100</v>
      </c>
      <c r="H27" s="59"/>
      <c r="I27" s="260" t="s">
        <v>2032</v>
      </c>
      <c r="J27" s="262">
        <f>M27*Materials!$E$32</f>
        <v>6000</v>
      </c>
      <c r="K27" s="260">
        <f>Materials!$F$32*Materials!$C$32*2</f>
        <v>300</v>
      </c>
      <c r="L27" s="260">
        <v>0.5</v>
      </c>
      <c r="M27" s="263">
        <f>N27*Materials!$C$32</f>
        <v>30</v>
      </c>
      <c r="N27" s="263">
        <f t="shared" si="8"/>
        <v>20</v>
      </c>
    </row>
    <row r="32">
      <c r="B32" s="2"/>
      <c r="I32" s="29"/>
      <c r="J32" s="29"/>
      <c r="K32" s="29"/>
    </row>
    <row r="33">
      <c r="B33" s="2"/>
      <c r="I33" s="29"/>
      <c r="J33" s="29"/>
      <c r="K33" s="29"/>
    </row>
    <row r="34">
      <c r="B34" s="54"/>
      <c r="I34" s="29"/>
      <c r="J34" s="29"/>
      <c r="K34" s="29"/>
    </row>
    <row r="35">
      <c r="B35" s="54"/>
      <c r="I35" s="29"/>
      <c r="J35" s="29"/>
      <c r="K35" s="29"/>
    </row>
    <row r="36">
      <c r="I36" s="29"/>
      <c r="J36" s="29"/>
      <c r="K36" s="29"/>
    </row>
    <row r="37">
      <c r="I37" s="29"/>
      <c r="J37" s="29"/>
      <c r="K37" s="29"/>
    </row>
    <row r="38">
      <c r="I38" s="29"/>
      <c r="J38" s="29"/>
      <c r="K38" s="29"/>
    </row>
    <row r="39">
      <c r="J39" s="29"/>
      <c r="K39" s="29"/>
    </row>
    <row r="40">
      <c r="J40" s="29"/>
      <c r="K40" s="29"/>
    </row>
    <row r="41">
      <c r="J41" s="29"/>
      <c r="K41" s="29"/>
    </row>
    <row r="42">
      <c r="J42" s="29"/>
      <c r="K42" s="29"/>
    </row>
    <row r="43">
      <c r="J43" s="29"/>
      <c r="K43" s="29"/>
    </row>
    <row r="44">
      <c r="J44" s="29"/>
      <c r="K44" s="29"/>
    </row>
    <row r="45">
      <c r="J45" s="29"/>
      <c r="K45" s="29"/>
    </row>
    <row r="46">
      <c r="J46" s="29"/>
      <c r="K46" s="29"/>
    </row>
    <row r="47">
      <c r="J47" s="29"/>
      <c r="K47" s="29"/>
    </row>
    <row r="48">
      <c r="J48" s="29"/>
      <c r="K48" s="29"/>
    </row>
    <row r="49">
      <c r="J49" s="29"/>
      <c r="K49" s="29"/>
    </row>
    <row r="50">
      <c r="J50" s="29"/>
      <c r="K50" s="29"/>
    </row>
    <row r="51">
      <c r="J51" s="29"/>
      <c r="K51" s="29"/>
    </row>
    <row r="52">
      <c r="J52" s="29"/>
      <c r="K52" s="29"/>
    </row>
    <row r="53">
      <c r="J53" s="29"/>
      <c r="K53" s="29"/>
    </row>
    <row r="54">
      <c r="J54" s="29"/>
      <c r="K54" s="29"/>
    </row>
    <row r="55">
      <c r="J55" s="29"/>
      <c r="K55" s="29"/>
    </row>
    <row r="56">
      <c r="J56" s="29"/>
      <c r="K56" s="29"/>
    </row>
    <row r="57">
      <c r="J57" s="29"/>
      <c r="K57" s="29"/>
    </row>
    <row r="58">
      <c r="J58" s="29"/>
      <c r="K58" s="29"/>
    </row>
    <row r="59">
      <c r="J59" s="29"/>
      <c r="K59" s="29"/>
    </row>
    <row r="60">
      <c r="J60" s="29"/>
      <c r="K60" s="29"/>
    </row>
    <row r="61">
      <c r="J61" s="29"/>
      <c r="K61" s="29"/>
    </row>
    <row r="62">
      <c r="J62" s="29"/>
      <c r="K62" s="29"/>
    </row>
    <row r="63">
      <c r="J63" s="29"/>
      <c r="K63" s="29"/>
    </row>
    <row r="64">
      <c r="J64" s="29"/>
      <c r="K64" s="29"/>
    </row>
    <row r="65">
      <c r="J65" s="29"/>
      <c r="K65" s="29"/>
    </row>
    <row r="66">
      <c r="J66" s="29"/>
      <c r="K66" s="29"/>
    </row>
    <row r="67">
      <c r="J67" s="29"/>
      <c r="K67" s="29"/>
    </row>
    <row r="68">
      <c r="J68" s="29"/>
      <c r="K68" s="29"/>
    </row>
    <row r="69">
      <c r="J69" s="29"/>
      <c r="K69" s="29"/>
    </row>
    <row r="70">
      <c r="J70" s="29"/>
      <c r="K70" s="29"/>
    </row>
    <row r="71">
      <c r="J71" s="29"/>
      <c r="K71" s="29"/>
    </row>
    <row r="72">
      <c r="J72" s="29"/>
      <c r="K72" s="29"/>
    </row>
    <row r="73">
      <c r="J73" s="29"/>
      <c r="K73" s="29"/>
    </row>
    <row r="74">
      <c r="J74" s="29"/>
      <c r="K74" s="29"/>
    </row>
    <row r="75">
      <c r="J75" s="29"/>
      <c r="K75" s="29"/>
    </row>
    <row r="76">
      <c r="J76" s="29"/>
      <c r="K76" s="29"/>
    </row>
    <row r="77">
      <c r="J77" s="29"/>
      <c r="K77" s="29"/>
    </row>
    <row r="78">
      <c r="J78" s="29"/>
      <c r="K78" s="29"/>
    </row>
    <row r="79">
      <c r="J79" s="29"/>
      <c r="K79" s="29"/>
    </row>
    <row r="80">
      <c r="J80" s="29"/>
      <c r="K80" s="29"/>
    </row>
    <row r="81">
      <c r="J81" s="29"/>
      <c r="K81" s="29"/>
    </row>
    <row r="82">
      <c r="J82" s="29"/>
      <c r="K82" s="29"/>
    </row>
    <row r="83">
      <c r="J83" s="29"/>
      <c r="K83" s="29"/>
    </row>
    <row r="84">
      <c r="J84" s="29"/>
      <c r="K84" s="29"/>
    </row>
    <row r="85">
      <c r="J85" s="29"/>
      <c r="K85" s="29"/>
    </row>
    <row r="86">
      <c r="J86" s="29"/>
      <c r="K86" s="29"/>
    </row>
    <row r="87">
      <c r="J87" s="29"/>
      <c r="K87" s="29"/>
    </row>
    <row r="88">
      <c r="J88" s="29"/>
      <c r="K88" s="29"/>
    </row>
    <row r="89">
      <c r="J89" s="29"/>
      <c r="K89" s="29"/>
    </row>
    <row r="90">
      <c r="J90" s="29"/>
      <c r="K90" s="29"/>
    </row>
    <row r="91">
      <c r="J91" s="29"/>
      <c r="K91" s="29"/>
    </row>
    <row r="92">
      <c r="J92" s="29"/>
      <c r="K92" s="29"/>
    </row>
    <row r="93">
      <c r="J93" s="29"/>
      <c r="K93" s="29"/>
    </row>
    <row r="94">
      <c r="J94" s="29"/>
      <c r="K94" s="29"/>
    </row>
    <row r="95">
      <c r="J95" s="29"/>
      <c r="K95" s="29"/>
    </row>
    <row r="96">
      <c r="J96" s="29"/>
      <c r="K96" s="29"/>
    </row>
    <row r="97">
      <c r="J97" s="29"/>
      <c r="K97" s="29"/>
    </row>
    <row r="98">
      <c r="J98" s="29"/>
      <c r="K98" s="29"/>
    </row>
    <row r="99">
      <c r="J99" s="29"/>
      <c r="K99" s="29"/>
    </row>
    <row r="100">
      <c r="J100" s="29"/>
      <c r="K100" s="29"/>
    </row>
    <row r="101">
      <c r="J101" s="29"/>
      <c r="K101" s="29"/>
    </row>
    <row r="102">
      <c r="J102" s="29"/>
      <c r="K102" s="29"/>
    </row>
    <row r="103">
      <c r="J103" s="29"/>
      <c r="K103" s="29"/>
    </row>
    <row r="104">
      <c r="J104" s="29"/>
      <c r="K104" s="29"/>
    </row>
    <row r="105">
      <c r="J105" s="29"/>
      <c r="K105" s="29"/>
    </row>
    <row r="106">
      <c r="J106" s="29"/>
      <c r="K106" s="29"/>
    </row>
    <row r="107">
      <c r="J107" s="29"/>
      <c r="K107" s="29"/>
    </row>
    <row r="108">
      <c r="J108" s="29"/>
      <c r="K108" s="29"/>
    </row>
    <row r="109">
      <c r="J109" s="29"/>
      <c r="K109" s="29"/>
    </row>
    <row r="110">
      <c r="J110" s="29"/>
      <c r="K110" s="29"/>
    </row>
    <row r="111">
      <c r="J111" s="29"/>
      <c r="K111" s="29"/>
    </row>
    <row r="112">
      <c r="J112" s="29"/>
      <c r="K112" s="29"/>
    </row>
    <row r="113">
      <c r="J113" s="29"/>
      <c r="K113" s="29"/>
    </row>
    <row r="114">
      <c r="J114" s="29"/>
      <c r="K114" s="29"/>
    </row>
    <row r="115">
      <c r="J115" s="29"/>
      <c r="K115" s="29"/>
    </row>
    <row r="116">
      <c r="J116" s="29"/>
      <c r="K116" s="29"/>
    </row>
    <row r="117">
      <c r="J117" s="29"/>
      <c r="K117" s="29"/>
    </row>
    <row r="118">
      <c r="J118" s="29"/>
      <c r="K118" s="29"/>
    </row>
    <row r="119">
      <c r="J119" s="29"/>
      <c r="K119" s="29"/>
    </row>
    <row r="120">
      <c r="J120" s="29"/>
      <c r="K120" s="29"/>
    </row>
    <row r="121">
      <c r="J121" s="29"/>
      <c r="K121" s="29"/>
    </row>
    <row r="122">
      <c r="J122" s="29"/>
      <c r="K122" s="29"/>
    </row>
    <row r="123">
      <c r="J123" s="29"/>
      <c r="K123" s="29"/>
    </row>
    <row r="124">
      <c r="J124" s="29"/>
      <c r="K124" s="29"/>
    </row>
    <row r="125">
      <c r="J125" s="29"/>
      <c r="K125" s="29"/>
    </row>
    <row r="126">
      <c r="J126" s="29"/>
      <c r="K126" s="29"/>
    </row>
    <row r="127">
      <c r="J127" s="29"/>
      <c r="K127" s="29"/>
    </row>
    <row r="128">
      <c r="J128" s="29"/>
      <c r="K128" s="29"/>
    </row>
    <row r="129">
      <c r="J129" s="29"/>
      <c r="K129" s="29"/>
    </row>
    <row r="130">
      <c r="J130" s="29"/>
      <c r="K130" s="29"/>
    </row>
    <row r="131">
      <c r="J131" s="29"/>
      <c r="K131" s="29"/>
    </row>
    <row r="132">
      <c r="J132" s="29"/>
      <c r="K132" s="29"/>
    </row>
    <row r="133">
      <c r="J133" s="29"/>
      <c r="K133" s="29"/>
    </row>
    <row r="134">
      <c r="J134" s="29"/>
      <c r="K134" s="29"/>
    </row>
    <row r="135">
      <c r="J135" s="29"/>
      <c r="K135" s="29"/>
    </row>
    <row r="136">
      <c r="J136" s="29"/>
      <c r="K136" s="29"/>
    </row>
    <row r="137">
      <c r="J137" s="29"/>
      <c r="K137" s="29"/>
    </row>
    <row r="138">
      <c r="J138" s="29"/>
      <c r="K138" s="29"/>
    </row>
    <row r="139">
      <c r="J139" s="29"/>
      <c r="K139" s="29"/>
    </row>
    <row r="140">
      <c r="J140" s="29"/>
      <c r="K140" s="29"/>
    </row>
    <row r="141">
      <c r="J141" s="29"/>
      <c r="K141" s="29"/>
    </row>
    <row r="142">
      <c r="J142" s="29"/>
      <c r="K142" s="29"/>
    </row>
    <row r="143">
      <c r="J143" s="29"/>
      <c r="K143" s="29"/>
    </row>
    <row r="144">
      <c r="J144" s="29"/>
      <c r="K144" s="29"/>
    </row>
    <row r="145">
      <c r="J145" s="29"/>
      <c r="K145" s="29"/>
    </row>
    <row r="146">
      <c r="J146" s="29"/>
      <c r="K146" s="29"/>
    </row>
    <row r="147">
      <c r="J147" s="29"/>
      <c r="K147" s="29"/>
    </row>
    <row r="148">
      <c r="J148" s="29"/>
      <c r="K148" s="29"/>
    </row>
    <row r="149">
      <c r="J149" s="29"/>
      <c r="K149" s="29"/>
    </row>
    <row r="150">
      <c r="J150" s="29"/>
      <c r="K150" s="29"/>
    </row>
    <row r="151">
      <c r="J151" s="29"/>
      <c r="K151" s="29"/>
    </row>
    <row r="152">
      <c r="J152" s="29"/>
      <c r="K152" s="29"/>
    </row>
    <row r="153">
      <c r="J153" s="29"/>
      <c r="K153" s="29"/>
    </row>
    <row r="154">
      <c r="J154" s="29"/>
      <c r="K154" s="29"/>
    </row>
    <row r="155">
      <c r="J155" s="29"/>
      <c r="K155" s="29"/>
    </row>
    <row r="156">
      <c r="J156" s="29"/>
      <c r="K156" s="29"/>
    </row>
    <row r="157">
      <c r="J157" s="29"/>
      <c r="K157" s="29"/>
    </row>
    <row r="158">
      <c r="J158" s="29"/>
      <c r="K158" s="29"/>
    </row>
    <row r="159">
      <c r="J159" s="29"/>
      <c r="K159" s="29"/>
    </row>
    <row r="160">
      <c r="J160" s="29"/>
      <c r="K160" s="29"/>
    </row>
    <row r="161">
      <c r="J161" s="29"/>
      <c r="K161" s="29"/>
    </row>
    <row r="162">
      <c r="J162" s="29"/>
      <c r="K162" s="29"/>
    </row>
    <row r="163">
      <c r="J163" s="29"/>
      <c r="K163" s="29"/>
    </row>
    <row r="164">
      <c r="J164" s="29"/>
      <c r="K164" s="29"/>
    </row>
    <row r="165">
      <c r="J165" s="29"/>
      <c r="K165" s="29"/>
    </row>
    <row r="166">
      <c r="J166" s="29"/>
      <c r="K166" s="29"/>
    </row>
    <row r="167">
      <c r="J167" s="29"/>
      <c r="K167" s="29"/>
    </row>
    <row r="168">
      <c r="J168" s="29"/>
      <c r="K168" s="29"/>
    </row>
    <row r="169">
      <c r="J169" s="29"/>
      <c r="K169" s="29"/>
    </row>
    <row r="170">
      <c r="J170" s="29"/>
      <c r="K170" s="29"/>
    </row>
    <row r="171">
      <c r="J171" s="29"/>
      <c r="K171" s="29"/>
    </row>
    <row r="172">
      <c r="J172" s="29"/>
      <c r="K172" s="29"/>
    </row>
    <row r="173">
      <c r="J173" s="29"/>
      <c r="K173" s="29"/>
    </row>
    <row r="174">
      <c r="J174" s="29"/>
      <c r="K174" s="29"/>
    </row>
    <row r="175">
      <c r="J175" s="29"/>
      <c r="K175" s="29"/>
    </row>
    <row r="176">
      <c r="J176" s="29"/>
      <c r="K176" s="29"/>
    </row>
    <row r="177">
      <c r="J177" s="29"/>
      <c r="K177" s="29"/>
    </row>
    <row r="178">
      <c r="J178" s="29"/>
      <c r="K178" s="29"/>
    </row>
    <row r="179">
      <c r="J179" s="29"/>
      <c r="K179" s="29"/>
    </row>
    <row r="180">
      <c r="J180" s="29"/>
      <c r="K180" s="29"/>
    </row>
    <row r="181">
      <c r="J181" s="29"/>
      <c r="K181" s="29"/>
    </row>
    <row r="182">
      <c r="J182" s="29"/>
      <c r="K182" s="29"/>
    </row>
    <row r="183">
      <c r="J183" s="29"/>
      <c r="K183" s="29"/>
    </row>
    <row r="184">
      <c r="J184" s="29"/>
      <c r="K184" s="29"/>
    </row>
    <row r="185">
      <c r="J185" s="29"/>
      <c r="K185" s="29"/>
    </row>
    <row r="186">
      <c r="J186" s="29"/>
      <c r="K186" s="29"/>
    </row>
    <row r="187">
      <c r="J187" s="29"/>
      <c r="K187" s="29"/>
    </row>
    <row r="188">
      <c r="J188" s="29"/>
      <c r="K188" s="29"/>
    </row>
    <row r="189">
      <c r="J189" s="29"/>
      <c r="K189" s="29"/>
    </row>
    <row r="190">
      <c r="J190" s="29"/>
      <c r="K190" s="29"/>
    </row>
    <row r="191">
      <c r="J191" s="29"/>
      <c r="K191" s="29"/>
    </row>
    <row r="192">
      <c r="J192" s="29"/>
      <c r="K192" s="29"/>
    </row>
    <row r="193">
      <c r="J193" s="29"/>
      <c r="K193" s="29"/>
    </row>
    <row r="194">
      <c r="J194" s="29"/>
      <c r="K194" s="29"/>
    </row>
    <row r="195">
      <c r="J195" s="29"/>
      <c r="K195" s="29"/>
    </row>
    <row r="196">
      <c r="J196" s="29"/>
      <c r="K196" s="29"/>
    </row>
    <row r="197">
      <c r="J197" s="29"/>
      <c r="K197" s="29"/>
    </row>
    <row r="198">
      <c r="J198" s="29"/>
      <c r="K198" s="29"/>
    </row>
    <row r="199">
      <c r="J199" s="29"/>
      <c r="K199" s="29"/>
    </row>
    <row r="200">
      <c r="J200" s="29"/>
      <c r="K200" s="29"/>
    </row>
    <row r="201">
      <c r="J201" s="29"/>
      <c r="K201" s="29"/>
    </row>
    <row r="202">
      <c r="J202" s="29"/>
      <c r="K202" s="29"/>
    </row>
    <row r="203">
      <c r="J203" s="29"/>
      <c r="K203" s="29"/>
    </row>
    <row r="204">
      <c r="J204" s="29"/>
      <c r="K204" s="29"/>
    </row>
    <row r="205">
      <c r="J205" s="29"/>
      <c r="K205" s="29"/>
    </row>
    <row r="206">
      <c r="J206" s="29"/>
      <c r="K206" s="29"/>
    </row>
    <row r="207">
      <c r="J207" s="29"/>
      <c r="K207" s="29"/>
    </row>
    <row r="208">
      <c r="J208" s="29"/>
      <c r="K208" s="29"/>
    </row>
    <row r="209">
      <c r="J209" s="29"/>
      <c r="K209" s="29"/>
    </row>
    <row r="210">
      <c r="J210" s="29"/>
      <c r="K210" s="29"/>
    </row>
    <row r="211">
      <c r="J211" s="29"/>
      <c r="K211" s="29"/>
    </row>
    <row r="212">
      <c r="J212" s="29"/>
      <c r="K212" s="29"/>
    </row>
    <row r="213">
      <c r="J213" s="29"/>
      <c r="K213" s="29"/>
    </row>
    <row r="214">
      <c r="J214" s="29"/>
      <c r="K214" s="29"/>
    </row>
    <row r="215">
      <c r="J215" s="29"/>
      <c r="K215" s="29"/>
    </row>
    <row r="216">
      <c r="J216" s="29"/>
      <c r="K216" s="29"/>
    </row>
    <row r="217">
      <c r="J217" s="29"/>
      <c r="K217" s="29"/>
    </row>
    <row r="218">
      <c r="J218" s="29"/>
      <c r="K218" s="29"/>
    </row>
    <row r="219">
      <c r="J219" s="29"/>
      <c r="K219" s="29"/>
    </row>
    <row r="220">
      <c r="J220" s="29"/>
      <c r="K220" s="29"/>
    </row>
    <row r="221">
      <c r="J221" s="29"/>
      <c r="K221" s="29"/>
    </row>
    <row r="222">
      <c r="J222" s="29"/>
      <c r="K222" s="29"/>
    </row>
    <row r="223">
      <c r="J223" s="29"/>
      <c r="K223" s="29"/>
    </row>
    <row r="224">
      <c r="J224" s="29"/>
      <c r="K224" s="29"/>
    </row>
    <row r="225">
      <c r="J225" s="29"/>
      <c r="K225" s="29"/>
    </row>
    <row r="226">
      <c r="J226" s="29"/>
      <c r="K226" s="29"/>
    </row>
    <row r="227">
      <c r="J227" s="29"/>
      <c r="K227" s="29"/>
    </row>
    <row r="228">
      <c r="J228" s="29"/>
      <c r="K228" s="29"/>
    </row>
    <row r="229">
      <c r="J229" s="29"/>
      <c r="K229" s="29"/>
    </row>
    <row r="230">
      <c r="J230" s="29"/>
      <c r="K230" s="29"/>
    </row>
    <row r="231">
      <c r="J231" s="29"/>
      <c r="K231" s="29"/>
    </row>
    <row r="232">
      <c r="J232" s="29"/>
      <c r="K232" s="29"/>
    </row>
    <row r="233">
      <c r="J233" s="29"/>
      <c r="K233" s="29"/>
    </row>
    <row r="234">
      <c r="J234" s="29"/>
      <c r="K234" s="29"/>
    </row>
    <row r="235">
      <c r="J235" s="29"/>
      <c r="K235" s="29"/>
    </row>
    <row r="236">
      <c r="J236" s="29"/>
      <c r="K236" s="29"/>
    </row>
    <row r="237">
      <c r="J237" s="29"/>
      <c r="K237" s="29"/>
    </row>
    <row r="238">
      <c r="J238" s="29"/>
      <c r="K238" s="29"/>
    </row>
    <row r="239">
      <c r="J239" s="29"/>
      <c r="K239" s="29"/>
    </row>
    <row r="240">
      <c r="J240" s="29"/>
      <c r="K240" s="29"/>
    </row>
    <row r="241">
      <c r="J241" s="29"/>
      <c r="K241" s="29"/>
    </row>
    <row r="242">
      <c r="J242" s="29"/>
      <c r="K242" s="29"/>
    </row>
    <row r="243">
      <c r="J243" s="29"/>
      <c r="K243" s="29"/>
    </row>
    <row r="244">
      <c r="J244" s="29"/>
      <c r="K244" s="29"/>
    </row>
    <row r="245">
      <c r="J245" s="29"/>
      <c r="K245" s="29"/>
    </row>
    <row r="246">
      <c r="J246" s="29"/>
      <c r="K246" s="29"/>
    </row>
    <row r="247">
      <c r="J247" s="29"/>
      <c r="K247" s="29"/>
    </row>
    <row r="248">
      <c r="J248" s="29"/>
      <c r="K248" s="29"/>
    </row>
    <row r="249">
      <c r="J249" s="29"/>
      <c r="K249" s="29"/>
    </row>
    <row r="250">
      <c r="J250" s="29"/>
      <c r="K250" s="29"/>
    </row>
    <row r="251">
      <c r="J251" s="29"/>
      <c r="K251" s="29"/>
    </row>
    <row r="252">
      <c r="J252" s="29"/>
      <c r="K252" s="29"/>
    </row>
    <row r="253">
      <c r="J253" s="29"/>
      <c r="K253" s="29"/>
    </row>
    <row r="254">
      <c r="J254" s="29"/>
      <c r="K254" s="29"/>
    </row>
    <row r="255">
      <c r="J255" s="29"/>
      <c r="K255" s="29"/>
    </row>
    <row r="256">
      <c r="J256" s="29"/>
      <c r="K256" s="29"/>
    </row>
    <row r="257">
      <c r="J257" s="29"/>
      <c r="K257" s="29"/>
    </row>
    <row r="258">
      <c r="J258" s="29"/>
      <c r="K258" s="29"/>
    </row>
    <row r="259">
      <c r="J259" s="29"/>
      <c r="K259" s="29"/>
    </row>
    <row r="260">
      <c r="J260" s="29"/>
      <c r="K260" s="29"/>
    </row>
    <row r="261">
      <c r="J261" s="29"/>
      <c r="K261" s="29"/>
    </row>
    <row r="262">
      <c r="J262" s="29"/>
      <c r="K262" s="29"/>
    </row>
    <row r="263">
      <c r="J263" s="29"/>
      <c r="K263" s="29"/>
    </row>
    <row r="264">
      <c r="J264" s="29"/>
      <c r="K264" s="29"/>
    </row>
    <row r="265">
      <c r="J265" s="29"/>
      <c r="K265" s="29"/>
    </row>
    <row r="266">
      <c r="J266" s="29"/>
      <c r="K266" s="29"/>
    </row>
    <row r="267">
      <c r="J267" s="29"/>
      <c r="K267" s="29"/>
    </row>
    <row r="268">
      <c r="J268" s="29"/>
      <c r="K268" s="29"/>
    </row>
    <row r="269">
      <c r="J269" s="29"/>
      <c r="K269" s="29"/>
    </row>
    <row r="270">
      <c r="J270" s="29"/>
      <c r="K270" s="29"/>
    </row>
    <row r="271">
      <c r="J271" s="29"/>
      <c r="K271" s="29"/>
    </row>
    <row r="272">
      <c r="J272" s="29"/>
      <c r="K272" s="29"/>
    </row>
    <row r="273">
      <c r="J273" s="29"/>
      <c r="K273" s="29"/>
    </row>
    <row r="274">
      <c r="J274" s="29"/>
      <c r="K274" s="29"/>
    </row>
    <row r="275">
      <c r="J275" s="29"/>
      <c r="K275" s="29"/>
    </row>
    <row r="276">
      <c r="J276" s="29"/>
      <c r="K276" s="29"/>
    </row>
    <row r="277">
      <c r="J277" s="29"/>
      <c r="K277" s="29"/>
    </row>
    <row r="278">
      <c r="J278" s="29"/>
      <c r="K278" s="29"/>
    </row>
    <row r="279">
      <c r="J279" s="29"/>
      <c r="K279" s="29"/>
    </row>
    <row r="280">
      <c r="J280" s="29"/>
      <c r="K280" s="29"/>
    </row>
    <row r="281">
      <c r="J281" s="29"/>
      <c r="K281" s="29"/>
    </row>
    <row r="282">
      <c r="J282" s="29"/>
      <c r="K282" s="29"/>
    </row>
    <row r="283">
      <c r="J283" s="29"/>
      <c r="K283" s="29"/>
    </row>
    <row r="284">
      <c r="J284" s="29"/>
      <c r="K284" s="29"/>
    </row>
    <row r="285">
      <c r="J285" s="29"/>
      <c r="K285" s="29"/>
    </row>
    <row r="286">
      <c r="J286" s="29"/>
      <c r="K286" s="29"/>
    </row>
    <row r="287">
      <c r="J287" s="29"/>
      <c r="K287" s="29"/>
    </row>
    <row r="288">
      <c r="J288" s="29"/>
      <c r="K288" s="29"/>
    </row>
    <row r="289">
      <c r="J289" s="29"/>
      <c r="K289" s="29"/>
    </row>
    <row r="290">
      <c r="J290" s="29"/>
      <c r="K290" s="29"/>
    </row>
    <row r="291">
      <c r="J291" s="29"/>
      <c r="K291" s="29"/>
    </row>
    <row r="292">
      <c r="J292" s="29"/>
      <c r="K292" s="29"/>
    </row>
    <row r="293">
      <c r="J293" s="29"/>
      <c r="K293" s="29"/>
    </row>
    <row r="294">
      <c r="J294" s="29"/>
      <c r="K294" s="29"/>
    </row>
    <row r="295">
      <c r="J295" s="29"/>
      <c r="K295" s="29"/>
    </row>
    <row r="296">
      <c r="J296" s="29"/>
      <c r="K296" s="29"/>
    </row>
    <row r="297">
      <c r="J297" s="29"/>
      <c r="K297" s="29"/>
    </row>
    <row r="298">
      <c r="J298" s="29"/>
      <c r="K298" s="29"/>
    </row>
    <row r="299">
      <c r="J299" s="29"/>
      <c r="K299" s="29"/>
    </row>
    <row r="300">
      <c r="J300" s="29"/>
      <c r="K300" s="29"/>
    </row>
    <row r="301">
      <c r="J301" s="29"/>
      <c r="K301" s="29"/>
    </row>
    <row r="302">
      <c r="J302" s="29"/>
      <c r="K302" s="29"/>
    </row>
    <row r="303">
      <c r="J303" s="29"/>
      <c r="K303" s="29"/>
    </row>
    <row r="304">
      <c r="J304" s="29"/>
      <c r="K304" s="29"/>
    </row>
    <row r="305">
      <c r="J305" s="29"/>
      <c r="K305" s="29"/>
    </row>
    <row r="306">
      <c r="J306" s="29"/>
      <c r="K306" s="29"/>
    </row>
    <row r="307">
      <c r="J307" s="29"/>
      <c r="K307" s="29"/>
    </row>
    <row r="308">
      <c r="J308" s="29"/>
      <c r="K308" s="29"/>
    </row>
    <row r="309">
      <c r="J309" s="29"/>
      <c r="K309" s="29"/>
    </row>
    <row r="310">
      <c r="J310" s="29"/>
      <c r="K310" s="29"/>
    </row>
    <row r="311">
      <c r="J311" s="29"/>
      <c r="K311" s="29"/>
    </row>
    <row r="312">
      <c r="J312" s="29"/>
      <c r="K312" s="29"/>
    </row>
    <row r="313">
      <c r="J313" s="29"/>
      <c r="K313" s="29"/>
    </row>
    <row r="314">
      <c r="J314" s="29"/>
      <c r="K314" s="29"/>
    </row>
    <row r="315">
      <c r="J315" s="29"/>
      <c r="K315" s="29"/>
    </row>
    <row r="316">
      <c r="J316" s="29"/>
      <c r="K316" s="29"/>
    </row>
    <row r="317">
      <c r="J317" s="29"/>
      <c r="K317" s="29"/>
    </row>
    <row r="318">
      <c r="J318" s="29"/>
      <c r="K318" s="29"/>
    </row>
    <row r="319">
      <c r="J319" s="29"/>
      <c r="K319" s="29"/>
    </row>
    <row r="320">
      <c r="J320" s="29"/>
      <c r="K320" s="29"/>
    </row>
    <row r="321">
      <c r="J321" s="29"/>
      <c r="K321" s="29"/>
    </row>
    <row r="322">
      <c r="J322" s="29"/>
      <c r="K322" s="29"/>
    </row>
    <row r="323">
      <c r="J323" s="29"/>
      <c r="K323" s="29"/>
    </row>
    <row r="324">
      <c r="J324" s="29"/>
      <c r="K324" s="29"/>
    </row>
    <row r="325">
      <c r="J325" s="29"/>
      <c r="K325" s="29"/>
    </row>
    <row r="326">
      <c r="J326" s="29"/>
      <c r="K326" s="29"/>
    </row>
    <row r="327">
      <c r="J327" s="29"/>
      <c r="K327" s="29"/>
    </row>
    <row r="328">
      <c r="J328" s="29"/>
      <c r="K328" s="29"/>
    </row>
    <row r="329">
      <c r="J329" s="29"/>
      <c r="K329" s="29"/>
    </row>
    <row r="330">
      <c r="J330" s="29"/>
      <c r="K330" s="29"/>
    </row>
    <row r="331">
      <c r="J331" s="29"/>
      <c r="K331" s="29"/>
    </row>
    <row r="332">
      <c r="J332" s="29"/>
      <c r="K332" s="29"/>
    </row>
    <row r="333">
      <c r="J333" s="29"/>
      <c r="K333" s="29"/>
    </row>
    <row r="334">
      <c r="J334" s="29"/>
      <c r="K334" s="29"/>
    </row>
    <row r="335">
      <c r="J335" s="29"/>
      <c r="K335" s="29"/>
    </row>
    <row r="336">
      <c r="J336" s="29"/>
      <c r="K336" s="29"/>
    </row>
    <row r="337">
      <c r="J337" s="29"/>
      <c r="K337" s="29"/>
    </row>
    <row r="338">
      <c r="J338" s="29"/>
      <c r="K338" s="29"/>
    </row>
    <row r="339">
      <c r="J339" s="29"/>
      <c r="K339" s="29"/>
    </row>
    <row r="340">
      <c r="J340" s="29"/>
      <c r="K340" s="29"/>
    </row>
    <row r="341">
      <c r="J341" s="29"/>
      <c r="K341" s="29"/>
    </row>
    <row r="342">
      <c r="J342" s="29"/>
      <c r="K342" s="29"/>
    </row>
    <row r="343">
      <c r="J343" s="29"/>
      <c r="K343" s="29"/>
    </row>
    <row r="344">
      <c r="J344" s="29"/>
      <c r="K344" s="29"/>
    </row>
    <row r="345">
      <c r="J345" s="29"/>
      <c r="K345" s="29"/>
    </row>
    <row r="346">
      <c r="J346" s="29"/>
      <c r="K346" s="29"/>
    </row>
    <row r="347">
      <c r="J347" s="29"/>
      <c r="K347" s="29"/>
    </row>
    <row r="348">
      <c r="J348" s="29"/>
      <c r="K348" s="29"/>
    </row>
    <row r="349">
      <c r="J349" s="29"/>
      <c r="K349" s="29"/>
    </row>
    <row r="350">
      <c r="J350" s="29"/>
      <c r="K350" s="29"/>
    </row>
    <row r="351">
      <c r="J351" s="29"/>
      <c r="K351" s="29"/>
    </row>
    <row r="352">
      <c r="J352" s="29"/>
      <c r="K352" s="29"/>
    </row>
    <row r="353">
      <c r="J353" s="29"/>
      <c r="K353" s="29"/>
    </row>
    <row r="354">
      <c r="J354" s="29"/>
      <c r="K354" s="29"/>
    </row>
    <row r="355">
      <c r="J355" s="29"/>
      <c r="K355" s="29"/>
    </row>
    <row r="356">
      <c r="J356" s="29"/>
      <c r="K356" s="29"/>
    </row>
    <row r="357">
      <c r="J357" s="29"/>
      <c r="K357" s="29"/>
    </row>
    <row r="358">
      <c r="J358" s="29"/>
      <c r="K358" s="29"/>
    </row>
    <row r="359">
      <c r="J359" s="29"/>
      <c r="K359" s="29"/>
    </row>
    <row r="360">
      <c r="J360" s="29"/>
      <c r="K360" s="29"/>
    </row>
    <row r="361">
      <c r="J361" s="29"/>
      <c r="K361" s="29"/>
    </row>
    <row r="362">
      <c r="J362" s="29"/>
      <c r="K362" s="29"/>
    </row>
    <row r="363">
      <c r="J363" s="29"/>
      <c r="K363" s="29"/>
    </row>
    <row r="364">
      <c r="J364" s="29"/>
      <c r="K364" s="29"/>
    </row>
    <row r="365">
      <c r="J365" s="29"/>
      <c r="K365" s="29"/>
    </row>
    <row r="366">
      <c r="J366" s="29"/>
      <c r="K366" s="29"/>
    </row>
    <row r="367">
      <c r="J367" s="29"/>
      <c r="K367" s="29"/>
    </row>
    <row r="368">
      <c r="J368" s="29"/>
      <c r="K368" s="29"/>
    </row>
    <row r="369">
      <c r="J369" s="29"/>
      <c r="K369" s="29"/>
    </row>
    <row r="370">
      <c r="J370" s="29"/>
      <c r="K370" s="29"/>
    </row>
    <row r="371">
      <c r="J371" s="29"/>
      <c r="K371" s="29"/>
    </row>
    <row r="372">
      <c r="J372" s="29"/>
      <c r="K372" s="29"/>
    </row>
    <row r="373">
      <c r="J373" s="29"/>
      <c r="K373" s="29"/>
    </row>
    <row r="374">
      <c r="J374" s="29"/>
      <c r="K374" s="29"/>
    </row>
    <row r="375">
      <c r="J375" s="29"/>
      <c r="K375" s="29"/>
    </row>
    <row r="376">
      <c r="J376" s="29"/>
      <c r="K376" s="29"/>
    </row>
    <row r="377">
      <c r="J377" s="29"/>
      <c r="K377" s="29"/>
    </row>
    <row r="378">
      <c r="J378" s="29"/>
      <c r="K378" s="29"/>
    </row>
    <row r="379">
      <c r="J379" s="29"/>
      <c r="K379" s="29"/>
    </row>
    <row r="380">
      <c r="J380" s="29"/>
      <c r="K380" s="29"/>
    </row>
    <row r="381">
      <c r="J381" s="29"/>
      <c r="K381" s="29"/>
    </row>
    <row r="382">
      <c r="J382" s="29"/>
      <c r="K382" s="29"/>
    </row>
    <row r="383">
      <c r="J383" s="29"/>
      <c r="K383" s="29"/>
    </row>
    <row r="384">
      <c r="J384" s="29"/>
      <c r="K384" s="29"/>
    </row>
    <row r="385">
      <c r="J385" s="29"/>
      <c r="K385" s="29"/>
    </row>
    <row r="386">
      <c r="J386" s="29"/>
      <c r="K386" s="29"/>
    </row>
    <row r="387">
      <c r="J387" s="29"/>
      <c r="K387" s="29"/>
    </row>
    <row r="388">
      <c r="J388" s="29"/>
      <c r="K388" s="29"/>
    </row>
    <row r="389">
      <c r="J389" s="29"/>
      <c r="K389" s="29"/>
    </row>
    <row r="390">
      <c r="J390" s="29"/>
      <c r="K390" s="29"/>
    </row>
    <row r="391">
      <c r="J391" s="29"/>
      <c r="K391" s="29"/>
    </row>
    <row r="392">
      <c r="J392" s="29"/>
      <c r="K392" s="29"/>
    </row>
    <row r="393">
      <c r="J393" s="29"/>
      <c r="K393" s="29"/>
    </row>
    <row r="394">
      <c r="J394" s="29"/>
      <c r="K394" s="29"/>
    </row>
    <row r="395">
      <c r="J395" s="29"/>
      <c r="K395" s="29"/>
    </row>
    <row r="396">
      <c r="J396" s="29"/>
      <c r="K396" s="29"/>
    </row>
    <row r="397">
      <c r="J397" s="29"/>
      <c r="K397" s="29"/>
    </row>
    <row r="398">
      <c r="J398" s="29"/>
      <c r="K398" s="29"/>
    </row>
    <row r="399">
      <c r="J399" s="29"/>
      <c r="K399" s="29"/>
    </row>
    <row r="400">
      <c r="J400" s="29"/>
      <c r="K400" s="29"/>
    </row>
    <row r="401">
      <c r="J401" s="29"/>
      <c r="K401" s="29"/>
    </row>
    <row r="402">
      <c r="J402" s="29"/>
      <c r="K402" s="29"/>
    </row>
    <row r="403">
      <c r="J403" s="29"/>
      <c r="K403" s="29"/>
    </row>
    <row r="404">
      <c r="J404" s="29"/>
      <c r="K404" s="29"/>
    </row>
    <row r="405">
      <c r="J405" s="29"/>
      <c r="K405" s="29"/>
    </row>
    <row r="406">
      <c r="J406" s="29"/>
      <c r="K406" s="29"/>
    </row>
    <row r="407">
      <c r="J407" s="29"/>
      <c r="K407" s="29"/>
    </row>
    <row r="408">
      <c r="J408" s="29"/>
      <c r="K408" s="29"/>
    </row>
    <row r="409">
      <c r="J409" s="29"/>
      <c r="K409" s="29"/>
    </row>
    <row r="410">
      <c r="J410" s="29"/>
      <c r="K410" s="29"/>
    </row>
    <row r="411">
      <c r="J411" s="29"/>
      <c r="K411" s="29"/>
    </row>
    <row r="412">
      <c r="J412" s="29"/>
      <c r="K412" s="29"/>
    </row>
    <row r="413">
      <c r="J413" s="29"/>
      <c r="K413" s="29"/>
    </row>
    <row r="414">
      <c r="J414" s="29"/>
      <c r="K414" s="29"/>
    </row>
    <row r="415">
      <c r="J415" s="29"/>
      <c r="K415" s="29"/>
    </row>
    <row r="416">
      <c r="J416" s="29"/>
      <c r="K416" s="29"/>
    </row>
    <row r="417">
      <c r="J417" s="29"/>
      <c r="K417" s="29"/>
    </row>
    <row r="418">
      <c r="J418" s="29"/>
      <c r="K418" s="29"/>
    </row>
    <row r="419">
      <c r="J419" s="29"/>
      <c r="K419" s="29"/>
    </row>
    <row r="420">
      <c r="J420" s="29"/>
      <c r="K420" s="29"/>
    </row>
    <row r="421">
      <c r="J421" s="29"/>
      <c r="K421" s="29"/>
    </row>
    <row r="422">
      <c r="J422" s="29"/>
      <c r="K422" s="29"/>
    </row>
    <row r="423">
      <c r="J423" s="29"/>
      <c r="K423" s="29"/>
    </row>
    <row r="424">
      <c r="J424" s="29"/>
      <c r="K424" s="29"/>
    </row>
    <row r="425">
      <c r="J425" s="29"/>
      <c r="K425" s="29"/>
    </row>
    <row r="426">
      <c r="J426" s="29"/>
      <c r="K426" s="29"/>
    </row>
    <row r="427">
      <c r="J427" s="29"/>
      <c r="K427" s="29"/>
    </row>
    <row r="428">
      <c r="J428" s="29"/>
      <c r="K428" s="29"/>
    </row>
    <row r="429">
      <c r="J429" s="29"/>
      <c r="K429" s="29"/>
    </row>
    <row r="430">
      <c r="J430" s="29"/>
      <c r="K430" s="29"/>
    </row>
    <row r="431">
      <c r="J431" s="29"/>
      <c r="K431" s="29"/>
    </row>
    <row r="432">
      <c r="J432" s="29"/>
      <c r="K432" s="29"/>
    </row>
    <row r="433">
      <c r="J433" s="29"/>
      <c r="K433" s="29"/>
    </row>
    <row r="434">
      <c r="J434" s="29"/>
      <c r="K434" s="29"/>
    </row>
    <row r="435">
      <c r="J435" s="29"/>
      <c r="K435" s="29"/>
    </row>
    <row r="436">
      <c r="J436" s="29"/>
      <c r="K436" s="29"/>
    </row>
    <row r="437">
      <c r="J437" s="29"/>
      <c r="K437" s="29"/>
    </row>
    <row r="438">
      <c r="J438" s="29"/>
      <c r="K438" s="29"/>
    </row>
    <row r="439">
      <c r="J439" s="29"/>
      <c r="K439" s="29"/>
    </row>
    <row r="440">
      <c r="J440" s="29"/>
      <c r="K440" s="29"/>
    </row>
    <row r="441">
      <c r="J441" s="29"/>
      <c r="K441" s="29"/>
    </row>
    <row r="442">
      <c r="J442" s="29"/>
      <c r="K442" s="29"/>
    </row>
    <row r="443">
      <c r="J443" s="29"/>
      <c r="K443" s="29"/>
    </row>
    <row r="444">
      <c r="J444" s="29"/>
      <c r="K444" s="29"/>
    </row>
    <row r="445">
      <c r="J445" s="29"/>
      <c r="K445" s="29"/>
    </row>
    <row r="446">
      <c r="J446" s="29"/>
      <c r="K446" s="29"/>
    </row>
    <row r="447">
      <c r="J447" s="29"/>
      <c r="K447" s="29"/>
    </row>
    <row r="448">
      <c r="J448" s="29"/>
      <c r="K448" s="29"/>
    </row>
    <row r="449">
      <c r="J449" s="29"/>
      <c r="K449" s="29"/>
    </row>
    <row r="450">
      <c r="J450" s="29"/>
      <c r="K450" s="29"/>
    </row>
    <row r="451">
      <c r="J451" s="29"/>
      <c r="K451" s="29"/>
    </row>
    <row r="452">
      <c r="J452" s="29"/>
      <c r="K452" s="29"/>
    </row>
    <row r="453">
      <c r="J453" s="29"/>
      <c r="K453" s="29"/>
    </row>
    <row r="454">
      <c r="J454" s="29"/>
      <c r="K454" s="29"/>
    </row>
    <row r="455">
      <c r="J455" s="29"/>
      <c r="K455" s="29"/>
    </row>
    <row r="456">
      <c r="J456" s="29"/>
      <c r="K456" s="29"/>
    </row>
    <row r="457">
      <c r="J457" s="29"/>
      <c r="K457" s="29"/>
    </row>
    <row r="458">
      <c r="J458" s="29"/>
      <c r="K458" s="29"/>
    </row>
    <row r="459">
      <c r="J459" s="29"/>
      <c r="K459" s="29"/>
    </row>
    <row r="460">
      <c r="J460" s="29"/>
      <c r="K460" s="29"/>
    </row>
    <row r="461">
      <c r="J461" s="29"/>
      <c r="K461" s="29"/>
    </row>
    <row r="462">
      <c r="J462" s="29"/>
      <c r="K462" s="29"/>
    </row>
    <row r="463">
      <c r="J463" s="29"/>
      <c r="K463" s="29"/>
    </row>
    <row r="464">
      <c r="J464" s="29"/>
      <c r="K464" s="29"/>
    </row>
    <row r="465">
      <c r="J465" s="29"/>
      <c r="K465" s="29"/>
    </row>
    <row r="466">
      <c r="J466" s="29"/>
      <c r="K466" s="29"/>
    </row>
    <row r="467">
      <c r="J467" s="29"/>
      <c r="K467" s="29"/>
    </row>
    <row r="468">
      <c r="J468" s="29"/>
      <c r="K468" s="29"/>
    </row>
    <row r="469">
      <c r="J469" s="29"/>
      <c r="K469" s="29"/>
    </row>
    <row r="470">
      <c r="J470" s="29"/>
      <c r="K470" s="29"/>
    </row>
    <row r="471">
      <c r="J471" s="29"/>
      <c r="K471" s="29"/>
    </row>
    <row r="472">
      <c r="J472" s="29"/>
      <c r="K472" s="29"/>
    </row>
    <row r="473">
      <c r="J473" s="29"/>
      <c r="K473" s="29"/>
    </row>
    <row r="474">
      <c r="J474" s="29"/>
      <c r="K474" s="29"/>
    </row>
    <row r="475">
      <c r="J475" s="29"/>
      <c r="K475" s="29"/>
    </row>
    <row r="476">
      <c r="J476" s="29"/>
      <c r="K476" s="29"/>
    </row>
    <row r="477">
      <c r="J477" s="29"/>
      <c r="K477" s="29"/>
    </row>
    <row r="478">
      <c r="J478" s="29"/>
      <c r="K478" s="29"/>
    </row>
    <row r="479">
      <c r="J479" s="29"/>
      <c r="K479" s="29"/>
    </row>
    <row r="480">
      <c r="J480" s="29"/>
      <c r="K480" s="29"/>
    </row>
    <row r="481">
      <c r="J481" s="29"/>
      <c r="K481" s="29"/>
    </row>
    <row r="482">
      <c r="J482" s="29"/>
      <c r="K482" s="29"/>
    </row>
    <row r="483">
      <c r="J483" s="29"/>
      <c r="K483" s="29"/>
    </row>
    <row r="484">
      <c r="J484" s="29"/>
      <c r="K484" s="29"/>
    </row>
    <row r="485">
      <c r="J485" s="29"/>
      <c r="K485" s="29"/>
    </row>
    <row r="486">
      <c r="J486" s="29"/>
      <c r="K486" s="29"/>
    </row>
    <row r="487">
      <c r="J487" s="29"/>
      <c r="K487" s="29"/>
    </row>
    <row r="488">
      <c r="J488" s="29"/>
      <c r="K488" s="29"/>
    </row>
    <row r="489">
      <c r="J489" s="29"/>
      <c r="K489" s="29"/>
    </row>
    <row r="490">
      <c r="J490" s="29"/>
      <c r="K490" s="29"/>
    </row>
    <row r="491">
      <c r="J491" s="29"/>
      <c r="K491" s="29"/>
    </row>
    <row r="492">
      <c r="J492" s="29"/>
      <c r="K492" s="29"/>
    </row>
    <row r="493">
      <c r="J493" s="29"/>
      <c r="K493" s="29"/>
    </row>
    <row r="494">
      <c r="J494" s="29"/>
      <c r="K494" s="29"/>
    </row>
    <row r="495">
      <c r="J495" s="29"/>
      <c r="K495" s="29"/>
    </row>
    <row r="496">
      <c r="J496" s="29"/>
      <c r="K496" s="29"/>
    </row>
    <row r="497">
      <c r="J497" s="29"/>
      <c r="K497" s="29"/>
    </row>
    <row r="498">
      <c r="J498" s="29"/>
      <c r="K498" s="29"/>
    </row>
    <row r="499">
      <c r="J499" s="29"/>
      <c r="K499" s="29"/>
    </row>
    <row r="500">
      <c r="J500" s="29"/>
      <c r="K500" s="29"/>
    </row>
    <row r="501">
      <c r="J501" s="29"/>
      <c r="K501" s="29"/>
    </row>
    <row r="502">
      <c r="J502" s="29"/>
      <c r="K502" s="29"/>
    </row>
    <row r="503">
      <c r="J503" s="29"/>
      <c r="K503" s="29"/>
    </row>
    <row r="504">
      <c r="J504" s="29"/>
      <c r="K504" s="29"/>
    </row>
    <row r="505">
      <c r="J505" s="29"/>
      <c r="K505" s="29"/>
    </row>
    <row r="506">
      <c r="J506" s="29"/>
      <c r="K506" s="29"/>
    </row>
    <row r="507">
      <c r="J507" s="29"/>
      <c r="K507" s="29"/>
    </row>
    <row r="508">
      <c r="J508" s="29"/>
      <c r="K508" s="29"/>
    </row>
    <row r="509">
      <c r="J509" s="29"/>
      <c r="K509" s="29"/>
    </row>
    <row r="510">
      <c r="J510" s="29"/>
      <c r="K510" s="29"/>
    </row>
    <row r="511">
      <c r="J511" s="29"/>
      <c r="K511" s="29"/>
    </row>
    <row r="512">
      <c r="J512" s="29"/>
      <c r="K512" s="29"/>
    </row>
    <row r="513">
      <c r="J513" s="29"/>
      <c r="K513" s="29"/>
    </row>
    <row r="514">
      <c r="J514" s="29"/>
      <c r="K514" s="29"/>
    </row>
    <row r="515">
      <c r="J515" s="29"/>
      <c r="K515" s="29"/>
    </row>
    <row r="516">
      <c r="J516" s="29"/>
      <c r="K516" s="29"/>
    </row>
    <row r="517">
      <c r="J517" s="29"/>
      <c r="K517" s="29"/>
    </row>
    <row r="518">
      <c r="J518" s="29"/>
      <c r="K518" s="29"/>
    </row>
    <row r="519">
      <c r="J519" s="29"/>
      <c r="K519" s="29"/>
    </row>
    <row r="520">
      <c r="J520" s="29"/>
      <c r="K520" s="29"/>
    </row>
    <row r="521">
      <c r="J521" s="29"/>
      <c r="K521" s="29"/>
    </row>
    <row r="522">
      <c r="J522" s="29"/>
      <c r="K522" s="29"/>
    </row>
    <row r="523">
      <c r="J523" s="29"/>
      <c r="K523" s="29"/>
    </row>
    <row r="524">
      <c r="J524" s="29"/>
      <c r="K524" s="29"/>
    </row>
    <row r="525">
      <c r="J525" s="29"/>
      <c r="K525" s="29"/>
    </row>
    <row r="526">
      <c r="J526" s="29"/>
      <c r="K526" s="29"/>
    </row>
    <row r="527">
      <c r="J527" s="29"/>
      <c r="K527" s="29"/>
    </row>
    <row r="528">
      <c r="J528" s="29"/>
      <c r="K528" s="29"/>
    </row>
    <row r="529">
      <c r="J529" s="29"/>
      <c r="K529" s="29"/>
    </row>
    <row r="530">
      <c r="J530" s="29"/>
      <c r="K530" s="29"/>
    </row>
    <row r="531">
      <c r="J531" s="29"/>
      <c r="K531" s="29"/>
    </row>
    <row r="532">
      <c r="J532" s="29"/>
      <c r="K532" s="29"/>
    </row>
    <row r="533">
      <c r="J533" s="29"/>
      <c r="K533" s="29"/>
    </row>
    <row r="534">
      <c r="J534" s="29"/>
      <c r="K534" s="29"/>
    </row>
    <row r="535">
      <c r="J535" s="29"/>
      <c r="K535" s="29"/>
    </row>
    <row r="536">
      <c r="J536" s="29"/>
      <c r="K536" s="29"/>
    </row>
    <row r="537">
      <c r="J537" s="29"/>
      <c r="K537" s="29"/>
    </row>
    <row r="538">
      <c r="J538" s="29"/>
      <c r="K538" s="29"/>
    </row>
    <row r="539">
      <c r="J539" s="29"/>
      <c r="K539" s="29"/>
    </row>
    <row r="540">
      <c r="J540" s="29"/>
      <c r="K540" s="29"/>
    </row>
    <row r="541">
      <c r="J541" s="29"/>
      <c r="K541" s="29"/>
    </row>
    <row r="542">
      <c r="J542" s="29"/>
      <c r="K542" s="29"/>
    </row>
    <row r="543">
      <c r="J543" s="29"/>
      <c r="K543" s="29"/>
    </row>
    <row r="544">
      <c r="J544" s="29"/>
      <c r="K544" s="29"/>
    </row>
    <row r="545">
      <c r="J545" s="29"/>
      <c r="K545" s="29"/>
    </row>
    <row r="546">
      <c r="J546" s="29"/>
      <c r="K546" s="29"/>
    </row>
    <row r="547">
      <c r="J547" s="29"/>
      <c r="K547" s="29"/>
    </row>
    <row r="548">
      <c r="J548" s="29"/>
      <c r="K548" s="29"/>
    </row>
    <row r="549">
      <c r="J549" s="29"/>
      <c r="K549" s="29"/>
    </row>
    <row r="550">
      <c r="J550" s="29"/>
      <c r="K550" s="29"/>
    </row>
    <row r="551">
      <c r="J551" s="29"/>
      <c r="K551" s="29"/>
    </row>
    <row r="552">
      <c r="J552" s="29"/>
      <c r="K552" s="29"/>
    </row>
    <row r="553">
      <c r="J553" s="29"/>
      <c r="K553" s="29"/>
    </row>
    <row r="554">
      <c r="J554" s="29"/>
      <c r="K554" s="29"/>
    </row>
    <row r="555">
      <c r="J555" s="29"/>
      <c r="K555" s="29"/>
    </row>
    <row r="556">
      <c r="J556" s="29"/>
      <c r="K556" s="29"/>
    </row>
    <row r="557">
      <c r="J557" s="29"/>
      <c r="K557" s="29"/>
    </row>
    <row r="558">
      <c r="J558" s="29"/>
      <c r="K558" s="29"/>
    </row>
    <row r="559">
      <c r="J559" s="29"/>
      <c r="K559" s="29"/>
    </row>
    <row r="560">
      <c r="J560" s="29"/>
      <c r="K560" s="29"/>
    </row>
    <row r="561">
      <c r="J561" s="29"/>
      <c r="K561" s="29"/>
    </row>
    <row r="562">
      <c r="J562" s="29"/>
      <c r="K562" s="29"/>
    </row>
    <row r="563">
      <c r="J563" s="29"/>
      <c r="K563" s="29"/>
    </row>
    <row r="564">
      <c r="J564" s="29"/>
      <c r="K564" s="29"/>
    </row>
    <row r="565">
      <c r="J565" s="29"/>
      <c r="K565" s="29"/>
    </row>
    <row r="566">
      <c r="J566" s="29"/>
      <c r="K566" s="29"/>
    </row>
    <row r="567">
      <c r="J567" s="29"/>
      <c r="K567" s="29"/>
    </row>
    <row r="568">
      <c r="J568" s="29"/>
      <c r="K568" s="29"/>
    </row>
    <row r="569">
      <c r="J569" s="29"/>
      <c r="K569" s="29"/>
    </row>
    <row r="570">
      <c r="J570" s="29"/>
      <c r="K570" s="29"/>
    </row>
    <row r="571">
      <c r="J571" s="29"/>
      <c r="K571" s="29"/>
    </row>
    <row r="572">
      <c r="J572" s="29"/>
      <c r="K572" s="29"/>
    </row>
    <row r="573">
      <c r="J573" s="29"/>
      <c r="K573" s="29"/>
    </row>
    <row r="574">
      <c r="J574" s="29"/>
      <c r="K574" s="29"/>
    </row>
    <row r="575">
      <c r="J575" s="29"/>
      <c r="K575" s="29"/>
    </row>
    <row r="576">
      <c r="J576" s="29"/>
      <c r="K576" s="29"/>
    </row>
    <row r="577">
      <c r="J577" s="29"/>
      <c r="K577" s="29"/>
    </row>
    <row r="578">
      <c r="J578" s="29"/>
      <c r="K578" s="29"/>
    </row>
    <row r="579">
      <c r="J579" s="29"/>
      <c r="K579" s="29"/>
    </row>
    <row r="580">
      <c r="J580" s="29"/>
      <c r="K580" s="29"/>
    </row>
    <row r="581">
      <c r="J581" s="29"/>
      <c r="K581" s="29"/>
    </row>
    <row r="582">
      <c r="J582" s="29"/>
      <c r="K582" s="29"/>
    </row>
    <row r="583">
      <c r="J583" s="29"/>
      <c r="K583" s="29"/>
    </row>
    <row r="584">
      <c r="J584" s="29"/>
      <c r="K584" s="29"/>
    </row>
    <row r="585">
      <c r="J585" s="29"/>
      <c r="K585" s="29"/>
    </row>
    <row r="586">
      <c r="J586" s="29"/>
      <c r="K586" s="29"/>
    </row>
    <row r="587">
      <c r="J587" s="29"/>
      <c r="K587" s="29"/>
    </row>
    <row r="588">
      <c r="J588" s="29"/>
      <c r="K588" s="29"/>
    </row>
    <row r="589">
      <c r="J589" s="29"/>
      <c r="K589" s="29"/>
    </row>
    <row r="590">
      <c r="J590" s="29"/>
      <c r="K590" s="29"/>
    </row>
    <row r="591">
      <c r="J591" s="29"/>
      <c r="K591" s="29"/>
    </row>
    <row r="592">
      <c r="J592" s="29"/>
      <c r="K592" s="29"/>
    </row>
    <row r="593">
      <c r="J593" s="29"/>
      <c r="K593" s="29"/>
    </row>
    <row r="594">
      <c r="J594" s="29"/>
      <c r="K594" s="29"/>
    </row>
    <row r="595">
      <c r="J595" s="29"/>
      <c r="K595" s="29"/>
    </row>
    <row r="596">
      <c r="J596" s="29"/>
      <c r="K596" s="29"/>
    </row>
    <row r="597">
      <c r="J597" s="29"/>
      <c r="K597" s="29"/>
    </row>
    <row r="598">
      <c r="J598" s="29"/>
      <c r="K598" s="29"/>
    </row>
    <row r="599">
      <c r="J599" s="29"/>
      <c r="K599" s="29"/>
    </row>
    <row r="600">
      <c r="J600" s="29"/>
      <c r="K600" s="29"/>
    </row>
    <row r="601">
      <c r="J601" s="29"/>
      <c r="K601" s="29"/>
    </row>
    <row r="602">
      <c r="J602" s="29"/>
      <c r="K602" s="29"/>
    </row>
    <row r="603">
      <c r="J603" s="29"/>
      <c r="K603" s="29"/>
    </row>
    <row r="604">
      <c r="J604" s="29"/>
      <c r="K604" s="29"/>
    </row>
    <row r="605">
      <c r="J605" s="29"/>
      <c r="K605" s="29"/>
    </row>
    <row r="606">
      <c r="J606" s="29"/>
      <c r="K606" s="29"/>
    </row>
    <row r="607">
      <c r="J607" s="29"/>
      <c r="K607" s="29"/>
    </row>
    <row r="608">
      <c r="J608" s="29"/>
      <c r="K608" s="29"/>
    </row>
    <row r="609">
      <c r="J609" s="29"/>
      <c r="K609" s="29"/>
    </row>
    <row r="610">
      <c r="J610" s="29"/>
      <c r="K610" s="29"/>
    </row>
    <row r="611">
      <c r="J611" s="29"/>
      <c r="K611" s="29"/>
    </row>
    <row r="612">
      <c r="J612" s="29"/>
      <c r="K612" s="29"/>
    </row>
    <row r="613">
      <c r="J613" s="29"/>
      <c r="K613" s="29"/>
    </row>
    <row r="614">
      <c r="J614" s="29"/>
      <c r="K614" s="29"/>
    </row>
    <row r="615">
      <c r="J615" s="29"/>
      <c r="K615" s="29"/>
    </row>
    <row r="616">
      <c r="J616" s="29"/>
      <c r="K616" s="29"/>
    </row>
    <row r="617">
      <c r="J617" s="29"/>
      <c r="K617" s="29"/>
    </row>
    <row r="618">
      <c r="J618" s="29"/>
      <c r="K618" s="29"/>
    </row>
    <row r="619">
      <c r="J619" s="29"/>
      <c r="K619" s="29"/>
    </row>
    <row r="620">
      <c r="J620" s="29"/>
      <c r="K620" s="29"/>
    </row>
    <row r="621">
      <c r="J621" s="29"/>
      <c r="K621" s="29"/>
    </row>
    <row r="622">
      <c r="J622" s="29"/>
      <c r="K622" s="29"/>
    </row>
    <row r="623">
      <c r="J623" s="29"/>
      <c r="K623" s="29"/>
    </row>
    <row r="624">
      <c r="J624" s="29"/>
      <c r="K624" s="29"/>
    </row>
    <row r="625">
      <c r="J625" s="29"/>
      <c r="K625" s="29"/>
    </row>
    <row r="626">
      <c r="J626" s="29"/>
      <c r="K626" s="29"/>
    </row>
    <row r="627">
      <c r="J627" s="29"/>
      <c r="K627" s="29"/>
    </row>
    <row r="628">
      <c r="J628" s="29"/>
      <c r="K628" s="29"/>
    </row>
    <row r="629">
      <c r="J629" s="29"/>
      <c r="K629" s="29"/>
    </row>
    <row r="630">
      <c r="J630" s="29"/>
      <c r="K630" s="29"/>
    </row>
    <row r="631">
      <c r="J631" s="29"/>
      <c r="K631" s="29"/>
    </row>
    <row r="632">
      <c r="J632" s="29"/>
      <c r="K632" s="29"/>
    </row>
    <row r="633">
      <c r="J633" s="29"/>
      <c r="K633" s="29"/>
    </row>
    <row r="634">
      <c r="J634" s="29"/>
      <c r="K634" s="29"/>
    </row>
    <row r="635">
      <c r="J635" s="29"/>
      <c r="K635" s="29"/>
    </row>
    <row r="636">
      <c r="J636" s="29"/>
      <c r="K636" s="29"/>
    </row>
    <row r="637">
      <c r="J637" s="29"/>
      <c r="K637" s="29"/>
    </row>
    <row r="638">
      <c r="J638" s="29"/>
      <c r="K638" s="29"/>
    </row>
    <row r="639">
      <c r="J639" s="29"/>
      <c r="K639" s="29"/>
    </row>
    <row r="640">
      <c r="J640" s="29"/>
      <c r="K640" s="29"/>
    </row>
    <row r="641">
      <c r="J641" s="29"/>
      <c r="K641" s="29"/>
    </row>
    <row r="642">
      <c r="J642" s="29"/>
      <c r="K642" s="29"/>
    </row>
    <row r="643">
      <c r="J643" s="29"/>
      <c r="K643" s="29"/>
    </row>
    <row r="644">
      <c r="J644" s="29"/>
      <c r="K644" s="29"/>
    </row>
    <row r="645">
      <c r="J645" s="29"/>
      <c r="K645" s="29"/>
    </row>
    <row r="646">
      <c r="J646" s="29"/>
      <c r="K646" s="29"/>
    </row>
    <row r="647">
      <c r="J647" s="29"/>
      <c r="K647" s="29"/>
    </row>
    <row r="648">
      <c r="J648" s="29"/>
      <c r="K648" s="29"/>
    </row>
    <row r="649">
      <c r="J649" s="29"/>
      <c r="K649" s="29"/>
    </row>
    <row r="650">
      <c r="J650" s="29"/>
      <c r="K650" s="29"/>
    </row>
    <row r="651">
      <c r="J651" s="29"/>
      <c r="K651" s="29"/>
    </row>
    <row r="652">
      <c r="J652" s="29"/>
      <c r="K652" s="29"/>
    </row>
    <row r="653">
      <c r="J653" s="29"/>
      <c r="K653" s="29"/>
    </row>
    <row r="654">
      <c r="J654" s="29"/>
      <c r="K654" s="29"/>
    </row>
    <row r="655">
      <c r="J655" s="29"/>
      <c r="K655" s="29"/>
    </row>
    <row r="656">
      <c r="J656" s="29"/>
      <c r="K656" s="29"/>
    </row>
    <row r="657">
      <c r="J657" s="29"/>
      <c r="K657" s="29"/>
    </row>
    <row r="658">
      <c r="J658" s="29"/>
      <c r="K658" s="29"/>
    </row>
    <row r="659">
      <c r="J659" s="29"/>
      <c r="K659" s="29"/>
    </row>
    <row r="660">
      <c r="J660" s="29"/>
      <c r="K660" s="29"/>
    </row>
    <row r="661">
      <c r="J661" s="29"/>
      <c r="K661" s="29"/>
    </row>
    <row r="662">
      <c r="J662" s="29"/>
      <c r="K662" s="29"/>
    </row>
    <row r="663">
      <c r="J663" s="29"/>
      <c r="K663" s="29"/>
    </row>
    <row r="664">
      <c r="J664" s="29"/>
      <c r="K664" s="29"/>
    </row>
    <row r="665">
      <c r="J665" s="29"/>
      <c r="K665" s="29"/>
    </row>
    <row r="666">
      <c r="J666" s="29"/>
      <c r="K666" s="29"/>
    </row>
    <row r="667">
      <c r="J667" s="29"/>
      <c r="K667" s="29"/>
    </row>
    <row r="668">
      <c r="J668" s="29"/>
      <c r="K668" s="29"/>
    </row>
    <row r="669">
      <c r="J669" s="29"/>
      <c r="K669" s="29"/>
    </row>
    <row r="670">
      <c r="J670" s="29"/>
      <c r="K670" s="29"/>
    </row>
    <row r="671">
      <c r="J671" s="29"/>
      <c r="K671" s="29"/>
    </row>
    <row r="672">
      <c r="J672" s="29"/>
      <c r="K672" s="29"/>
    </row>
    <row r="673">
      <c r="J673" s="29"/>
      <c r="K673" s="29"/>
    </row>
    <row r="674">
      <c r="J674" s="29"/>
      <c r="K674" s="29"/>
    </row>
    <row r="675">
      <c r="J675" s="29"/>
      <c r="K675" s="29"/>
    </row>
    <row r="676">
      <c r="J676" s="29"/>
      <c r="K676" s="29"/>
    </row>
    <row r="677">
      <c r="J677" s="29"/>
      <c r="K677" s="29"/>
    </row>
    <row r="678">
      <c r="J678" s="29"/>
      <c r="K678" s="29"/>
    </row>
    <row r="679">
      <c r="J679" s="29"/>
      <c r="K679" s="29"/>
    </row>
    <row r="680">
      <c r="J680" s="29"/>
      <c r="K680" s="29"/>
    </row>
    <row r="681">
      <c r="J681" s="29"/>
      <c r="K681" s="29"/>
    </row>
    <row r="682">
      <c r="J682" s="29"/>
      <c r="K682" s="29"/>
    </row>
    <row r="683">
      <c r="J683" s="29"/>
      <c r="K683" s="29"/>
    </row>
    <row r="684">
      <c r="J684" s="29"/>
      <c r="K684" s="29"/>
    </row>
    <row r="685">
      <c r="J685" s="29"/>
      <c r="K685" s="29"/>
    </row>
    <row r="686">
      <c r="J686" s="29"/>
      <c r="K686" s="29"/>
    </row>
    <row r="687">
      <c r="J687" s="29"/>
      <c r="K687" s="29"/>
    </row>
    <row r="688">
      <c r="J688" s="29"/>
      <c r="K688" s="29"/>
    </row>
    <row r="689">
      <c r="J689" s="29"/>
      <c r="K689" s="29"/>
    </row>
    <row r="690">
      <c r="J690" s="29"/>
      <c r="K690" s="29"/>
    </row>
    <row r="691">
      <c r="J691" s="29"/>
      <c r="K691" s="29"/>
    </row>
    <row r="692">
      <c r="J692" s="29"/>
      <c r="K692" s="29"/>
    </row>
    <row r="693">
      <c r="J693" s="29"/>
      <c r="K693" s="29"/>
    </row>
    <row r="694">
      <c r="J694" s="29"/>
      <c r="K694" s="29"/>
    </row>
    <row r="695">
      <c r="J695" s="29"/>
      <c r="K695" s="29"/>
    </row>
    <row r="696">
      <c r="J696" s="29"/>
      <c r="K696" s="29"/>
    </row>
    <row r="697">
      <c r="J697" s="29"/>
      <c r="K697" s="29"/>
    </row>
    <row r="698">
      <c r="J698" s="29"/>
      <c r="K698" s="29"/>
    </row>
    <row r="699">
      <c r="J699" s="29"/>
      <c r="K699" s="29"/>
    </row>
    <row r="700">
      <c r="J700" s="29"/>
      <c r="K700" s="29"/>
    </row>
    <row r="701">
      <c r="J701" s="29"/>
      <c r="K701" s="29"/>
    </row>
    <row r="702">
      <c r="J702" s="29"/>
      <c r="K702" s="29"/>
    </row>
    <row r="703">
      <c r="J703" s="29"/>
      <c r="K703" s="29"/>
    </row>
    <row r="704">
      <c r="J704" s="29"/>
      <c r="K704" s="29"/>
    </row>
    <row r="705">
      <c r="J705" s="29"/>
      <c r="K705" s="29"/>
    </row>
    <row r="706">
      <c r="J706" s="29"/>
      <c r="K706" s="29"/>
    </row>
    <row r="707">
      <c r="J707" s="29"/>
      <c r="K707" s="29"/>
    </row>
    <row r="708">
      <c r="J708" s="29"/>
      <c r="K708" s="29"/>
    </row>
    <row r="709">
      <c r="J709" s="29"/>
      <c r="K709" s="29"/>
    </row>
    <row r="710">
      <c r="J710" s="29"/>
      <c r="K710" s="29"/>
    </row>
    <row r="711">
      <c r="J711" s="29"/>
      <c r="K711" s="29"/>
    </row>
    <row r="712">
      <c r="J712" s="29"/>
      <c r="K712" s="29"/>
    </row>
    <row r="713">
      <c r="J713" s="29"/>
      <c r="K713" s="29"/>
    </row>
    <row r="714">
      <c r="J714" s="29"/>
      <c r="K714" s="29"/>
    </row>
    <row r="715">
      <c r="J715" s="29"/>
      <c r="K715" s="29"/>
    </row>
    <row r="716">
      <c r="J716" s="29"/>
      <c r="K716" s="29"/>
    </row>
    <row r="717">
      <c r="J717" s="29"/>
      <c r="K717" s="29"/>
    </row>
    <row r="718">
      <c r="J718" s="29"/>
      <c r="K718" s="29"/>
    </row>
    <row r="719">
      <c r="J719" s="29"/>
      <c r="K719" s="29"/>
    </row>
    <row r="720">
      <c r="J720" s="29"/>
      <c r="K720" s="29"/>
    </row>
    <row r="721">
      <c r="J721" s="29"/>
      <c r="K721" s="29"/>
    </row>
    <row r="722">
      <c r="J722" s="29"/>
      <c r="K722" s="29"/>
    </row>
    <row r="723">
      <c r="J723" s="29"/>
      <c r="K723" s="29"/>
    </row>
    <row r="724">
      <c r="J724" s="29"/>
      <c r="K724" s="29"/>
    </row>
    <row r="725">
      <c r="J725" s="29"/>
      <c r="K725" s="29"/>
    </row>
    <row r="726">
      <c r="J726" s="29"/>
      <c r="K726" s="29"/>
    </row>
    <row r="727">
      <c r="J727" s="29"/>
      <c r="K727" s="29"/>
    </row>
    <row r="728">
      <c r="J728" s="29"/>
      <c r="K728" s="29"/>
    </row>
    <row r="729">
      <c r="J729" s="29"/>
      <c r="K729" s="29"/>
    </row>
    <row r="730">
      <c r="J730" s="29"/>
      <c r="K730" s="29"/>
    </row>
    <row r="731">
      <c r="J731" s="29"/>
      <c r="K731" s="29"/>
    </row>
    <row r="732">
      <c r="J732" s="29"/>
      <c r="K732" s="29"/>
    </row>
    <row r="733">
      <c r="J733" s="29"/>
      <c r="K733" s="29"/>
    </row>
    <row r="734">
      <c r="J734" s="29"/>
      <c r="K734" s="29"/>
    </row>
    <row r="735">
      <c r="J735" s="29"/>
      <c r="K735" s="29"/>
    </row>
    <row r="736">
      <c r="J736" s="29"/>
      <c r="K736" s="29"/>
    </row>
    <row r="737">
      <c r="J737" s="29"/>
      <c r="K737" s="29"/>
    </row>
    <row r="738">
      <c r="J738" s="29"/>
      <c r="K738" s="29"/>
    </row>
    <row r="739">
      <c r="J739" s="29"/>
      <c r="K739" s="29"/>
    </row>
    <row r="740">
      <c r="J740" s="29"/>
      <c r="K740" s="29"/>
    </row>
    <row r="741">
      <c r="J741" s="29"/>
      <c r="K741" s="29"/>
    </row>
    <row r="742">
      <c r="J742" s="29"/>
      <c r="K742" s="29"/>
    </row>
    <row r="743">
      <c r="J743" s="29"/>
      <c r="K743" s="29"/>
    </row>
    <row r="744">
      <c r="J744" s="29"/>
      <c r="K744" s="29"/>
    </row>
    <row r="745">
      <c r="J745" s="29"/>
      <c r="K745" s="29"/>
    </row>
    <row r="746">
      <c r="J746" s="29"/>
      <c r="K746" s="29"/>
    </row>
    <row r="747">
      <c r="J747" s="29"/>
      <c r="K747" s="29"/>
    </row>
    <row r="748">
      <c r="J748" s="29"/>
      <c r="K748" s="29"/>
    </row>
    <row r="749">
      <c r="J749" s="29"/>
      <c r="K749" s="29"/>
    </row>
    <row r="750">
      <c r="J750" s="29"/>
      <c r="K750" s="29"/>
    </row>
    <row r="751">
      <c r="J751" s="29"/>
      <c r="K751" s="29"/>
    </row>
    <row r="752">
      <c r="J752" s="29"/>
      <c r="K752" s="29"/>
    </row>
    <row r="753">
      <c r="J753" s="29"/>
      <c r="K753" s="29"/>
    </row>
    <row r="754">
      <c r="J754" s="29"/>
      <c r="K754" s="29"/>
    </row>
    <row r="755">
      <c r="J755" s="29"/>
      <c r="K755" s="29"/>
    </row>
    <row r="756">
      <c r="J756" s="29"/>
      <c r="K756" s="29"/>
    </row>
    <row r="757">
      <c r="J757" s="29"/>
      <c r="K757" s="29"/>
    </row>
    <row r="758">
      <c r="J758" s="29"/>
      <c r="K758" s="29"/>
    </row>
    <row r="759">
      <c r="J759" s="29"/>
      <c r="K759" s="29"/>
    </row>
    <row r="760">
      <c r="J760" s="29"/>
      <c r="K760" s="29"/>
    </row>
    <row r="761">
      <c r="J761" s="29"/>
      <c r="K761" s="29"/>
    </row>
    <row r="762">
      <c r="J762" s="29"/>
      <c r="K762" s="29"/>
    </row>
    <row r="763">
      <c r="J763" s="29"/>
      <c r="K763" s="29"/>
    </row>
    <row r="764">
      <c r="J764" s="29"/>
      <c r="K764" s="29"/>
    </row>
    <row r="765">
      <c r="J765" s="29"/>
      <c r="K765" s="29"/>
    </row>
    <row r="766">
      <c r="J766" s="29"/>
      <c r="K766" s="29"/>
    </row>
    <row r="767">
      <c r="J767" s="29"/>
      <c r="K767" s="29"/>
    </row>
    <row r="768">
      <c r="J768" s="29"/>
      <c r="K768" s="29"/>
    </row>
    <row r="769">
      <c r="J769" s="29"/>
      <c r="K769" s="29"/>
    </row>
    <row r="770">
      <c r="J770" s="29"/>
      <c r="K770" s="29"/>
    </row>
    <row r="771">
      <c r="J771" s="29"/>
      <c r="K771" s="29"/>
    </row>
    <row r="772">
      <c r="J772" s="29"/>
      <c r="K772" s="29"/>
    </row>
    <row r="773">
      <c r="J773" s="29"/>
      <c r="K773" s="29"/>
    </row>
    <row r="774">
      <c r="J774" s="29"/>
      <c r="K774" s="29"/>
    </row>
    <row r="775">
      <c r="J775" s="29"/>
      <c r="K775" s="29"/>
    </row>
    <row r="776">
      <c r="J776" s="29"/>
      <c r="K776" s="29"/>
    </row>
    <row r="777">
      <c r="J777" s="29"/>
      <c r="K777" s="29"/>
    </row>
    <row r="778">
      <c r="J778" s="29"/>
      <c r="K778" s="29"/>
    </row>
    <row r="779">
      <c r="J779" s="29"/>
      <c r="K779" s="29"/>
    </row>
    <row r="780">
      <c r="J780" s="29"/>
      <c r="K780" s="29"/>
    </row>
    <row r="781">
      <c r="J781" s="29"/>
      <c r="K781" s="29"/>
    </row>
    <row r="782">
      <c r="J782" s="29"/>
      <c r="K782" s="29"/>
    </row>
    <row r="783">
      <c r="J783" s="29"/>
      <c r="K783" s="29"/>
    </row>
    <row r="784">
      <c r="J784" s="29"/>
      <c r="K784" s="29"/>
    </row>
    <row r="785">
      <c r="J785" s="29"/>
      <c r="K785" s="29"/>
    </row>
    <row r="786">
      <c r="J786" s="29"/>
      <c r="K786" s="29"/>
    </row>
    <row r="787">
      <c r="J787" s="29"/>
      <c r="K787" s="29"/>
    </row>
    <row r="788">
      <c r="J788" s="29"/>
      <c r="K788" s="29"/>
    </row>
    <row r="789">
      <c r="J789" s="29"/>
      <c r="K789" s="29"/>
    </row>
    <row r="790">
      <c r="J790" s="29"/>
      <c r="K790" s="29"/>
    </row>
    <row r="791">
      <c r="J791" s="29"/>
      <c r="K791" s="29"/>
    </row>
    <row r="792">
      <c r="J792" s="29"/>
      <c r="K792" s="29"/>
    </row>
    <row r="793">
      <c r="J793" s="29"/>
      <c r="K793" s="29"/>
    </row>
    <row r="794">
      <c r="J794" s="29"/>
      <c r="K794" s="29"/>
    </row>
    <row r="795">
      <c r="J795" s="29"/>
      <c r="K795" s="29"/>
    </row>
    <row r="796">
      <c r="J796" s="29"/>
      <c r="K796" s="29"/>
    </row>
    <row r="797">
      <c r="J797" s="29"/>
      <c r="K797" s="29"/>
    </row>
    <row r="798">
      <c r="J798" s="29"/>
      <c r="K798" s="29"/>
    </row>
    <row r="799">
      <c r="J799" s="29"/>
      <c r="K799" s="29"/>
    </row>
    <row r="800">
      <c r="J800" s="29"/>
      <c r="K800" s="29"/>
    </row>
    <row r="801">
      <c r="J801" s="29"/>
      <c r="K801" s="29"/>
    </row>
    <row r="802">
      <c r="J802" s="29"/>
      <c r="K802" s="29"/>
    </row>
    <row r="803">
      <c r="J803" s="29"/>
      <c r="K803" s="29"/>
    </row>
    <row r="804">
      <c r="J804" s="29"/>
      <c r="K804" s="29"/>
    </row>
    <row r="805">
      <c r="J805" s="29"/>
      <c r="K805" s="29"/>
    </row>
    <row r="806">
      <c r="J806" s="29"/>
      <c r="K806" s="29"/>
    </row>
    <row r="807">
      <c r="J807" s="29"/>
      <c r="K807" s="29"/>
    </row>
    <row r="808">
      <c r="J808" s="29"/>
      <c r="K808" s="29"/>
    </row>
    <row r="809">
      <c r="J809" s="29"/>
      <c r="K809" s="29"/>
    </row>
    <row r="810">
      <c r="J810" s="29"/>
      <c r="K810" s="29"/>
    </row>
    <row r="811">
      <c r="J811" s="29"/>
      <c r="K811" s="29"/>
    </row>
    <row r="812">
      <c r="J812" s="29"/>
      <c r="K812" s="29"/>
    </row>
    <row r="813">
      <c r="J813" s="29"/>
      <c r="K813" s="29"/>
    </row>
    <row r="814">
      <c r="J814" s="29"/>
      <c r="K814" s="29"/>
    </row>
    <row r="815">
      <c r="J815" s="29"/>
      <c r="K815" s="29"/>
    </row>
    <row r="816">
      <c r="J816" s="29"/>
      <c r="K816" s="29"/>
    </row>
    <row r="817">
      <c r="J817" s="29"/>
      <c r="K817" s="29"/>
    </row>
    <row r="818">
      <c r="J818" s="29"/>
      <c r="K818" s="29"/>
    </row>
    <row r="819">
      <c r="J819" s="29"/>
      <c r="K819" s="29"/>
    </row>
    <row r="820">
      <c r="J820" s="29"/>
      <c r="K820" s="29"/>
    </row>
    <row r="821">
      <c r="J821" s="29"/>
      <c r="K821" s="29"/>
    </row>
    <row r="822">
      <c r="J822" s="29"/>
      <c r="K822" s="29"/>
    </row>
    <row r="823">
      <c r="J823" s="29"/>
      <c r="K823" s="29"/>
    </row>
    <row r="824">
      <c r="J824" s="29"/>
      <c r="K824" s="29"/>
    </row>
    <row r="825">
      <c r="J825" s="29"/>
      <c r="K825" s="29"/>
    </row>
    <row r="826">
      <c r="J826" s="29"/>
      <c r="K826" s="29"/>
    </row>
    <row r="827">
      <c r="J827" s="29"/>
      <c r="K827" s="29"/>
    </row>
    <row r="828">
      <c r="J828" s="29"/>
      <c r="K828" s="29"/>
    </row>
    <row r="829">
      <c r="J829" s="29"/>
      <c r="K829" s="29"/>
    </row>
    <row r="830">
      <c r="J830" s="29"/>
      <c r="K830" s="29"/>
    </row>
    <row r="831">
      <c r="J831" s="29"/>
      <c r="K831" s="29"/>
    </row>
    <row r="832">
      <c r="J832" s="29"/>
      <c r="K832" s="29"/>
    </row>
    <row r="833">
      <c r="J833" s="29"/>
      <c r="K833" s="29"/>
    </row>
    <row r="834">
      <c r="J834" s="29"/>
      <c r="K834" s="29"/>
    </row>
    <row r="835">
      <c r="J835" s="29"/>
      <c r="K835" s="29"/>
    </row>
    <row r="836">
      <c r="J836" s="29"/>
      <c r="K836" s="29"/>
    </row>
    <row r="837">
      <c r="J837" s="29"/>
      <c r="K837" s="29"/>
    </row>
    <row r="838">
      <c r="J838" s="29"/>
      <c r="K838" s="29"/>
    </row>
    <row r="839">
      <c r="J839" s="29"/>
      <c r="K839" s="29"/>
    </row>
    <row r="840">
      <c r="J840" s="29"/>
      <c r="K840" s="29"/>
    </row>
    <row r="841">
      <c r="J841" s="29"/>
      <c r="K841" s="29"/>
    </row>
    <row r="842">
      <c r="J842" s="29"/>
      <c r="K842" s="29"/>
    </row>
    <row r="843">
      <c r="J843" s="29"/>
      <c r="K843" s="29"/>
    </row>
    <row r="844">
      <c r="J844" s="29"/>
      <c r="K844" s="29"/>
    </row>
    <row r="845">
      <c r="J845" s="29"/>
      <c r="K845" s="29"/>
    </row>
    <row r="846">
      <c r="J846" s="29"/>
      <c r="K846" s="29"/>
    </row>
    <row r="847">
      <c r="J847" s="29"/>
      <c r="K847" s="29"/>
    </row>
    <row r="848">
      <c r="J848" s="29"/>
      <c r="K848" s="29"/>
    </row>
    <row r="849">
      <c r="J849" s="29"/>
      <c r="K849" s="29"/>
    </row>
    <row r="850">
      <c r="J850" s="29"/>
      <c r="K850" s="29"/>
    </row>
    <row r="851">
      <c r="J851" s="29"/>
      <c r="K851" s="29"/>
    </row>
    <row r="852">
      <c r="J852" s="29"/>
      <c r="K852" s="29"/>
    </row>
    <row r="853">
      <c r="J853" s="29"/>
      <c r="K853" s="29"/>
    </row>
    <row r="854">
      <c r="J854" s="29"/>
      <c r="K854" s="29"/>
    </row>
    <row r="855">
      <c r="J855" s="29"/>
      <c r="K855" s="29"/>
    </row>
    <row r="856">
      <c r="J856" s="29"/>
      <c r="K856" s="29"/>
    </row>
    <row r="857">
      <c r="J857" s="29"/>
      <c r="K857" s="29"/>
    </row>
    <row r="858">
      <c r="J858" s="29"/>
      <c r="K858" s="29"/>
    </row>
    <row r="859">
      <c r="J859" s="29"/>
      <c r="K859" s="29"/>
    </row>
    <row r="860">
      <c r="J860" s="29"/>
      <c r="K860" s="29"/>
    </row>
    <row r="861">
      <c r="J861" s="29"/>
      <c r="K861" s="29"/>
    </row>
    <row r="862">
      <c r="J862" s="29"/>
      <c r="K862" s="29"/>
    </row>
    <row r="863">
      <c r="J863" s="29"/>
      <c r="K863" s="29"/>
    </row>
    <row r="864">
      <c r="J864" s="29"/>
      <c r="K864" s="29"/>
    </row>
    <row r="865">
      <c r="J865" s="29"/>
      <c r="K865" s="29"/>
    </row>
    <row r="866">
      <c r="J866" s="29"/>
      <c r="K866" s="29"/>
    </row>
    <row r="867">
      <c r="J867" s="29"/>
      <c r="K867" s="29"/>
    </row>
    <row r="868">
      <c r="J868" s="29"/>
      <c r="K868" s="29"/>
    </row>
    <row r="869">
      <c r="J869" s="29"/>
      <c r="K869" s="29"/>
    </row>
    <row r="870">
      <c r="J870" s="29"/>
      <c r="K870" s="29"/>
    </row>
    <row r="871">
      <c r="J871" s="29"/>
      <c r="K871" s="29"/>
    </row>
    <row r="872">
      <c r="J872" s="29"/>
      <c r="K872" s="29"/>
    </row>
    <row r="873">
      <c r="J873" s="29"/>
      <c r="K873" s="29"/>
    </row>
    <row r="874">
      <c r="J874" s="29"/>
      <c r="K874" s="29"/>
    </row>
    <row r="875">
      <c r="J875" s="29"/>
      <c r="K875" s="29"/>
    </row>
    <row r="876">
      <c r="J876" s="29"/>
      <c r="K876" s="29"/>
    </row>
    <row r="877">
      <c r="J877" s="29"/>
      <c r="K877" s="29"/>
    </row>
    <row r="878">
      <c r="J878" s="29"/>
      <c r="K878" s="29"/>
    </row>
    <row r="879">
      <c r="J879" s="29"/>
      <c r="K879" s="29"/>
    </row>
    <row r="880">
      <c r="J880" s="29"/>
      <c r="K880" s="29"/>
    </row>
    <row r="881">
      <c r="J881" s="29"/>
      <c r="K881" s="29"/>
    </row>
    <row r="882">
      <c r="J882" s="29"/>
      <c r="K882" s="29"/>
    </row>
    <row r="883">
      <c r="J883" s="29"/>
      <c r="K883" s="29"/>
    </row>
    <row r="884">
      <c r="J884" s="29"/>
      <c r="K884" s="29"/>
    </row>
    <row r="885">
      <c r="J885" s="29"/>
      <c r="K885" s="29"/>
    </row>
    <row r="886">
      <c r="J886" s="29"/>
      <c r="K886" s="29"/>
    </row>
    <row r="887">
      <c r="J887" s="29"/>
      <c r="K887" s="29"/>
    </row>
    <row r="888">
      <c r="J888" s="29"/>
      <c r="K888" s="29"/>
    </row>
    <row r="889">
      <c r="J889" s="29"/>
      <c r="K889" s="29"/>
    </row>
    <row r="890">
      <c r="J890" s="29"/>
      <c r="K890" s="29"/>
    </row>
    <row r="891">
      <c r="J891" s="29"/>
      <c r="K891" s="29"/>
    </row>
    <row r="892">
      <c r="J892" s="29"/>
      <c r="K892" s="29"/>
    </row>
    <row r="893">
      <c r="J893" s="29"/>
      <c r="K893" s="29"/>
    </row>
    <row r="894">
      <c r="J894" s="29"/>
      <c r="K894" s="29"/>
    </row>
    <row r="895">
      <c r="J895" s="29"/>
      <c r="K895" s="29"/>
    </row>
    <row r="896">
      <c r="J896" s="29"/>
      <c r="K896" s="29"/>
    </row>
    <row r="897">
      <c r="J897" s="29"/>
      <c r="K897" s="29"/>
    </row>
    <row r="898">
      <c r="J898" s="29"/>
      <c r="K898" s="29"/>
    </row>
    <row r="899">
      <c r="J899" s="29"/>
      <c r="K899" s="29"/>
    </row>
    <row r="900">
      <c r="J900" s="29"/>
      <c r="K900" s="29"/>
    </row>
    <row r="901">
      <c r="J901" s="29"/>
      <c r="K901" s="29"/>
    </row>
    <row r="902">
      <c r="J902" s="29"/>
      <c r="K902" s="29"/>
    </row>
    <row r="903">
      <c r="J903" s="29"/>
      <c r="K903" s="29"/>
    </row>
    <row r="904">
      <c r="J904" s="29"/>
      <c r="K904" s="29"/>
    </row>
    <row r="905">
      <c r="J905" s="29"/>
      <c r="K905" s="29"/>
    </row>
    <row r="906">
      <c r="J906" s="29"/>
      <c r="K906" s="29"/>
    </row>
    <row r="907">
      <c r="J907" s="29"/>
      <c r="K907" s="29"/>
    </row>
    <row r="908">
      <c r="J908" s="29"/>
      <c r="K908" s="29"/>
    </row>
    <row r="909">
      <c r="J909" s="29"/>
      <c r="K909" s="29"/>
    </row>
    <row r="910">
      <c r="J910" s="29"/>
      <c r="K910" s="29"/>
    </row>
    <row r="911">
      <c r="J911" s="29"/>
      <c r="K911" s="29"/>
    </row>
    <row r="912">
      <c r="J912" s="29"/>
      <c r="K912" s="29"/>
    </row>
    <row r="913">
      <c r="J913" s="29"/>
      <c r="K913" s="29"/>
    </row>
    <row r="914">
      <c r="J914" s="29"/>
      <c r="K914" s="29"/>
    </row>
    <row r="915">
      <c r="J915" s="29"/>
      <c r="K915" s="29"/>
    </row>
    <row r="916">
      <c r="J916" s="29"/>
      <c r="K916" s="29"/>
    </row>
    <row r="917">
      <c r="J917" s="29"/>
      <c r="K917" s="29"/>
    </row>
    <row r="918">
      <c r="J918" s="29"/>
      <c r="K918" s="29"/>
    </row>
    <row r="919">
      <c r="J919" s="29"/>
      <c r="K919" s="29"/>
    </row>
    <row r="920">
      <c r="J920" s="29"/>
      <c r="K920" s="29"/>
    </row>
    <row r="921">
      <c r="J921" s="29"/>
      <c r="K921" s="29"/>
    </row>
    <row r="922">
      <c r="J922" s="29"/>
      <c r="K922" s="29"/>
    </row>
    <row r="923">
      <c r="J923" s="29"/>
      <c r="K923" s="29"/>
    </row>
    <row r="924">
      <c r="J924" s="29"/>
      <c r="K924" s="29"/>
    </row>
    <row r="925">
      <c r="J925" s="29"/>
      <c r="K925" s="29"/>
    </row>
    <row r="926">
      <c r="J926" s="29"/>
      <c r="K926" s="29"/>
    </row>
    <row r="927">
      <c r="J927" s="29"/>
      <c r="K927" s="29"/>
    </row>
    <row r="928">
      <c r="J928" s="29"/>
      <c r="K928" s="29"/>
    </row>
    <row r="929">
      <c r="J929" s="29"/>
      <c r="K929" s="29"/>
    </row>
    <row r="930">
      <c r="J930" s="29"/>
      <c r="K930" s="29"/>
    </row>
    <row r="931">
      <c r="J931" s="29"/>
      <c r="K931" s="29"/>
    </row>
    <row r="932">
      <c r="J932" s="29"/>
      <c r="K932" s="29"/>
    </row>
    <row r="933">
      <c r="J933" s="29"/>
      <c r="K933" s="29"/>
    </row>
    <row r="934">
      <c r="J934" s="29"/>
      <c r="K934" s="29"/>
    </row>
    <row r="935">
      <c r="J935" s="29"/>
      <c r="K935" s="29"/>
    </row>
    <row r="936">
      <c r="J936" s="29"/>
      <c r="K936" s="29"/>
    </row>
    <row r="937">
      <c r="J937" s="29"/>
      <c r="K937" s="29"/>
    </row>
    <row r="938">
      <c r="J938" s="29"/>
      <c r="K938" s="29"/>
    </row>
    <row r="939">
      <c r="J939" s="29"/>
      <c r="K939" s="29"/>
    </row>
    <row r="940">
      <c r="J940" s="29"/>
      <c r="K940" s="29"/>
    </row>
    <row r="941">
      <c r="J941" s="29"/>
      <c r="K941" s="29"/>
    </row>
    <row r="942">
      <c r="J942" s="29"/>
      <c r="K942" s="29"/>
    </row>
    <row r="943">
      <c r="J943" s="29"/>
      <c r="K943" s="29"/>
    </row>
    <row r="944">
      <c r="J944" s="29"/>
      <c r="K944" s="29"/>
    </row>
    <row r="945">
      <c r="J945" s="29"/>
      <c r="K945" s="29"/>
    </row>
    <row r="946">
      <c r="J946" s="29"/>
      <c r="K946" s="29"/>
    </row>
    <row r="947">
      <c r="J947" s="29"/>
      <c r="K947" s="29"/>
    </row>
    <row r="948">
      <c r="J948" s="29"/>
      <c r="K948" s="29"/>
    </row>
    <row r="949">
      <c r="J949" s="29"/>
      <c r="K949" s="29"/>
    </row>
    <row r="950">
      <c r="J950" s="29"/>
      <c r="K950" s="29"/>
    </row>
    <row r="951">
      <c r="J951" s="29"/>
      <c r="K951" s="29"/>
    </row>
    <row r="952">
      <c r="J952" s="29"/>
      <c r="K952" s="29"/>
    </row>
    <row r="953">
      <c r="J953" s="29"/>
      <c r="K953" s="29"/>
    </row>
    <row r="954">
      <c r="J954" s="29"/>
      <c r="K954" s="29"/>
    </row>
    <row r="955">
      <c r="J955" s="29"/>
      <c r="K955" s="29"/>
    </row>
    <row r="956">
      <c r="J956" s="29"/>
      <c r="K956" s="29"/>
    </row>
    <row r="957">
      <c r="J957" s="29"/>
      <c r="K957" s="29"/>
    </row>
    <row r="958">
      <c r="J958" s="29"/>
      <c r="K958" s="29"/>
    </row>
    <row r="959">
      <c r="J959" s="29"/>
      <c r="K959" s="29"/>
    </row>
    <row r="960">
      <c r="J960" s="29"/>
      <c r="K960" s="29"/>
    </row>
    <row r="961">
      <c r="J961" s="29"/>
      <c r="K961" s="29"/>
    </row>
    <row r="962">
      <c r="J962" s="29"/>
      <c r="K962" s="29"/>
    </row>
    <row r="963">
      <c r="J963" s="29"/>
      <c r="K963" s="29"/>
    </row>
    <row r="964">
      <c r="J964" s="29"/>
      <c r="K964" s="29"/>
    </row>
    <row r="965">
      <c r="J965" s="29"/>
      <c r="K965" s="29"/>
    </row>
    <row r="966">
      <c r="J966" s="29"/>
      <c r="K966" s="29"/>
    </row>
    <row r="967">
      <c r="J967" s="29"/>
      <c r="K967" s="29"/>
    </row>
    <row r="968">
      <c r="J968" s="29"/>
      <c r="K968" s="29"/>
    </row>
    <row r="969">
      <c r="J969" s="29"/>
      <c r="K969" s="29"/>
    </row>
    <row r="970">
      <c r="J970" s="29"/>
      <c r="K970" s="29"/>
    </row>
    <row r="971">
      <c r="J971" s="29"/>
      <c r="K971" s="29"/>
    </row>
    <row r="972">
      <c r="J972" s="29"/>
      <c r="K972" s="29"/>
    </row>
    <row r="973">
      <c r="J973" s="29"/>
      <c r="K973" s="29"/>
    </row>
    <row r="974">
      <c r="J974" s="29"/>
      <c r="K974" s="29"/>
    </row>
    <row r="975">
      <c r="J975" s="29"/>
      <c r="K975" s="29"/>
    </row>
    <row r="976">
      <c r="J976" s="29"/>
      <c r="K976" s="29"/>
    </row>
    <row r="977">
      <c r="J977" s="29"/>
      <c r="K977" s="29"/>
    </row>
    <row r="978">
      <c r="J978" s="29"/>
      <c r="K978" s="29"/>
    </row>
    <row r="979">
      <c r="J979" s="29"/>
      <c r="K979" s="29"/>
    </row>
    <row r="980">
      <c r="J980" s="29"/>
      <c r="K980" s="29"/>
    </row>
    <row r="981">
      <c r="J981" s="29"/>
      <c r="K981" s="29"/>
    </row>
    <row r="982">
      <c r="J982" s="29"/>
      <c r="K982" s="29"/>
    </row>
    <row r="983">
      <c r="J983" s="29"/>
      <c r="K983" s="29"/>
    </row>
    <row r="984">
      <c r="J984" s="29"/>
      <c r="K984" s="29"/>
    </row>
    <row r="985">
      <c r="J985" s="29"/>
      <c r="K985" s="29"/>
    </row>
    <row r="986">
      <c r="J986" s="29"/>
      <c r="K986" s="29"/>
    </row>
    <row r="987">
      <c r="J987" s="29"/>
      <c r="K987" s="29"/>
    </row>
    <row r="988">
      <c r="J988" s="29"/>
      <c r="K988" s="29"/>
    </row>
    <row r="989">
      <c r="J989" s="29"/>
      <c r="K989" s="29"/>
    </row>
    <row r="990">
      <c r="J990" s="29"/>
      <c r="K990" s="29"/>
    </row>
    <row r="991">
      <c r="J991" s="29"/>
      <c r="K991" s="29"/>
    </row>
    <row r="992">
      <c r="J992" s="29"/>
      <c r="K992" s="29"/>
    </row>
    <row r="993">
      <c r="J993" s="29"/>
      <c r="K993" s="29"/>
    </row>
    <row r="994">
      <c r="J994" s="29"/>
      <c r="K994" s="29"/>
    </row>
    <row r="995">
      <c r="J995" s="29"/>
      <c r="K995" s="29"/>
    </row>
    <row r="996">
      <c r="J996" s="29"/>
      <c r="K996" s="29"/>
    </row>
    <row r="997">
      <c r="J997" s="29"/>
      <c r="K997" s="29"/>
    </row>
    <row r="998">
      <c r="J998" s="29"/>
      <c r="K998" s="29"/>
    </row>
    <row r="999">
      <c r="J999" s="29"/>
      <c r="K999" s="29"/>
    </row>
    <row r="1000">
      <c r="J1000" s="29"/>
      <c r="K1000" s="29"/>
    </row>
    <row r="1001">
      <c r="J1001" s="29"/>
      <c r="K1001" s="29"/>
    </row>
    <row r="1002">
      <c r="J1002" s="29"/>
      <c r="K1002" s="29"/>
    </row>
    <row r="1003">
      <c r="J1003" s="29"/>
      <c r="K1003" s="29"/>
    </row>
    <row r="1004">
      <c r="J1004" s="29"/>
      <c r="K1004" s="29"/>
    </row>
    <row r="1005">
      <c r="J1005" s="29"/>
      <c r="K1005" s="29"/>
    </row>
    <row r="1006">
      <c r="J1006" s="29"/>
      <c r="K1006" s="29"/>
    </row>
    <row r="1007">
      <c r="J1007" s="29"/>
      <c r="K1007" s="29"/>
    </row>
    <row r="1008">
      <c r="J1008" s="29"/>
      <c r="K1008" s="29"/>
    </row>
  </sheetData>
  <mergeCells count="1">
    <mergeCell ref="C3:D3"/>
  </mergeCell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13"/>
    <col customWidth="1" min="3" max="3" width="7.0"/>
    <col customWidth="1" min="4" max="11" width="9.5"/>
    <col customWidth="1" min="12" max="17" width="6.38"/>
    <col customWidth="1" min="19" max="19" width="4.63"/>
    <col customWidth="1" min="20" max="20" width="3.88"/>
    <col customWidth="1" min="21" max="21" width="5.38"/>
  </cols>
  <sheetData>
    <row r="2">
      <c r="S2" s="52"/>
      <c r="U2" s="3"/>
    </row>
    <row r="3">
      <c r="B3" s="264"/>
      <c r="D3" s="265"/>
      <c r="E3" s="265"/>
      <c r="F3" s="265"/>
      <c r="G3" s="266" t="s">
        <v>1461</v>
      </c>
      <c r="H3" s="106"/>
      <c r="I3" s="265"/>
      <c r="J3" s="265"/>
      <c r="K3" s="267"/>
      <c r="S3" s="8"/>
      <c r="T3" s="29"/>
      <c r="U3" s="8"/>
    </row>
    <row r="4">
      <c r="B4" s="268" t="s">
        <v>1832</v>
      </c>
      <c r="C4" s="8" t="s">
        <v>1835</v>
      </c>
      <c r="D4" s="269" t="s">
        <v>2038</v>
      </c>
      <c r="E4" s="269" t="s">
        <v>1188</v>
      </c>
      <c r="F4" s="269" t="s">
        <v>2010</v>
      </c>
      <c r="G4" s="269" t="s">
        <v>2039</v>
      </c>
      <c r="H4" s="269" t="s">
        <v>2040</v>
      </c>
      <c r="I4" s="269" t="s">
        <v>2041</v>
      </c>
      <c r="J4" s="269" t="s">
        <v>1550</v>
      </c>
      <c r="K4" s="270" t="s">
        <v>2042</v>
      </c>
      <c r="S4" s="8"/>
      <c r="T4" s="29"/>
      <c r="U4" s="8"/>
    </row>
    <row r="5">
      <c r="B5" s="271" t="s">
        <v>1816</v>
      </c>
      <c r="C5" s="8" t="s">
        <v>404</v>
      </c>
      <c r="D5" s="272" t="s">
        <v>2043</v>
      </c>
      <c r="E5" s="272" t="s">
        <v>2044</v>
      </c>
      <c r="F5" s="273" t="s">
        <v>2046</v>
      </c>
      <c r="G5" s="273" t="s">
        <v>2047</v>
      </c>
      <c r="H5" s="273" t="s">
        <v>2048</v>
      </c>
      <c r="I5" s="229"/>
      <c r="J5" s="229"/>
      <c r="K5" s="274"/>
      <c r="S5" s="8"/>
      <c r="T5" s="29"/>
      <c r="U5" s="8"/>
    </row>
    <row r="6">
      <c r="B6" s="271" t="s">
        <v>1859</v>
      </c>
      <c r="C6" s="8" t="s">
        <v>405</v>
      </c>
      <c r="D6" s="229"/>
      <c r="E6" s="229"/>
      <c r="F6" s="273" t="s">
        <v>2049</v>
      </c>
      <c r="G6" s="273" t="s">
        <v>2050</v>
      </c>
      <c r="H6" s="273" t="s">
        <v>2051</v>
      </c>
      <c r="I6" s="273" t="s">
        <v>2052</v>
      </c>
      <c r="J6" s="273" t="s">
        <v>2053</v>
      </c>
      <c r="K6" s="274"/>
      <c r="S6" s="8"/>
      <c r="T6" s="29"/>
      <c r="U6" s="8"/>
    </row>
    <row r="7">
      <c r="B7" s="271" t="s">
        <v>1534</v>
      </c>
      <c r="C7" s="8" t="s">
        <v>406</v>
      </c>
      <c r="D7" s="229"/>
      <c r="E7" s="229"/>
      <c r="F7" s="229"/>
      <c r="G7" s="273" t="s">
        <v>2049</v>
      </c>
      <c r="H7" s="273" t="s">
        <v>2055</v>
      </c>
      <c r="I7" s="273" t="s">
        <v>2051</v>
      </c>
      <c r="J7" s="273" t="s">
        <v>2056</v>
      </c>
      <c r="K7" s="275" t="s">
        <v>2053</v>
      </c>
      <c r="S7" s="8"/>
      <c r="T7" s="29"/>
      <c r="U7" s="8"/>
    </row>
    <row r="8">
      <c r="B8" s="276"/>
      <c r="D8" s="277"/>
      <c r="E8" s="277"/>
      <c r="F8" s="277"/>
      <c r="G8" s="278" t="s">
        <v>2057</v>
      </c>
      <c r="H8" s="277"/>
      <c r="I8" s="277"/>
      <c r="J8" s="277"/>
      <c r="K8" s="279"/>
      <c r="S8" s="8"/>
      <c r="T8" s="29"/>
      <c r="U8" s="8"/>
    </row>
    <row r="9">
      <c r="S9" s="8"/>
      <c r="T9" s="29"/>
      <c r="U9" s="8"/>
    </row>
    <row r="10">
      <c r="B10" s="271" t="s">
        <v>1534</v>
      </c>
      <c r="C10" s="229"/>
      <c r="D10" s="229"/>
      <c r="E10" s="229"/>
      <c r="F10" s="229"/>
      <c r="G10" s="273" t="s">
        <v>2061</v>
      </c>
      <c r="H10" s="273" t="s">
        <v>1954</v>
      </c>
      <c r="I10" s="273">
        <v>100.0</v>
      </c>
      <c r="J10" s="273">
        <v>10.0</v>
      </c>
      <c r="K10" s="273">
        <v>1.0</v>
      </c>
      <c r="L10" s="229"/>
      <c r="M10" s="229"/>
      <c r="N10" s="274"/>
      <c r="S10" s="8"/>
      <c r="T10" s="29"/>
      <c r="U10" s="8"/>
    </row>
    <row r="11">
      <c r="B11" s="281" t="s">
        <v>1515</v>
      </c>
      <c r="C11" s="282"/>
      <c r="D11" s="282"/>
      <c r="E11" s="282"/>
      <c r="F11" s="282"/>
      <c r="G11" s="235"/>
      <c r="H11" s="282"/>
      <c r="I11" s="282"/>
      <c r="J11" s="283" t="s">
        <v>2061</v>
      </c>
      <c r="K11" s="283" t="s">
        <v>1954</v>
      </c>
      <c r="L11" s="283">
        <v>100.0</v>
      </c>
      <c r="M11" s="283">
        <v>10.0</v>
      </c>
      <c r="N11" s="284">
        <v>1.0</v>
      </c>
      <c r="S11" s="8"/>
      <c r="T11" s="29"/>
      <c r="U11" s="8"/>
    </row>
    <row r="12">
      <c r="S12" s="8"/>
      <c r="T12" s="29"/>
      <c r="U12" s="29"/>
    </row>
    <row r="13">
      <c r="S13" s="8"/>
      <c r="T13" s="29"/>
      <c r="U13" s="29"/>
    </row>
    <row r="29">
      <c r="H29" s="29"/>
      <c r="I29" s="29"/>
      <c r="J29" s="29"/>
      <c r="K29" s="29"/>
    </row>
    <row r="30">
      <c r="M30" s="29"/>
      <c r="N30" s="29"/>
      <c r="O30" s="29"/>
      <c r="P30" s="29"/>
    </row>
    <row r="31">
      <c r="M31" s="29"/>
      <c r="N31" s="29"/>
      <c r="O31" s="29"/>
      <c r="P31" s="29"/>
    </row>
    <row r="32">
      <c r="L32" s="29"/>
      <c r="M32" s="29"/>
      <c r="N32" s="29"/>
      <c r="O32" s="29"/>
      <c r="P32" s="29"/>
    </row>
    <row r="33">
      <c r="L33" s="29"/>
      <c r="M33" s="29"/>
      <c r="N33" s="29"/>
      <c r="O33" s="29"/>
      <c r="P33" s="29"/>
    </row>
    <row r="34">
      <c r="H34" s="285" t="s">
        <v>1461</v>
      </c>
      <c r="O34" s="29"/>
    </row>
    <row r="35">
      <c r="B35" s="3" t="s">
        <v>1983</v>
      </c>
      <c r="C35" s="3" t="s">
        <v>619</v>
      </c>
      <c r="D35" s="104" t="s">
        <v>2068</v>
      </c>
      <c r="E35" s="104" t="s">
        <v>2069</v>
      </c>
      <c r="F35" s="104" t="s">
        <v>1188</v>
      </c>
      <c r="G35" s="104" t="s">
        <v>2070</v>
      </c>
      <c r="H35" s="104" t="s">
        <v>2039</v>
      </c>
      <c r="I35" s="104" t="s">
        <v>2040</v>
      </c>
      <c r="J35" s="104" t="s">
        <v>2041</v>
      </c>
      <c r="K35" s="104" t="s">
        <v>1550</v>
      </c>
      <c r="L35" s="104" t="s">
        <v>2042</v>
      </c>
      <c r="M35" s="104" t="s">
        <v>2071</v>
      </c>
      <c r="N35" s="104" t="s">
        <v>1530</v>
      </c>
      <c r="O35" s="104" t="s">
        <v>2072</v>
      </c>
    </row>
    <row r="36">
      <c r="B36" s="8" t="s">
        <v>2073</v>
      </c>
      <c r="C36" s="3"/>
      <c r="D36" s="29"/>
      <c r="E36" s="29"/>
      <c r="F36" s="29"/>
      <c r="G36" s="8">
        <v>20.0</v>
      </c>
      <c r="H36" s="8">
        <v>2.0</v>
      </c>
      <c r="I36" s="8">
        <v>0.2</v>
      </c>
      <c r="J36" s="29"/>
      <c r="K36" s="29"/>
      <c r="L36" s="29"/>
      <c r="M36" s="29"/>
      <c r="N36" s="29"/>
      <c r="O36" s="29"/>
    </row>
    <row r="37">
      <c r="B37" s="8" t="s">
        <v>1514</v>
      </c>
      <c r="C37" s="3"/>
      <c r="D37" s="29"/>
      <c r="E37" s="29"/>
      <c r="F37" s="29"/>
      <c r="G37" s="8">
        <v>40.0</v>
      </c>
      <c r="H37" s="8">
        <v>4.0</v>
      </c>
      <c r="I37" s="8">
        <v>0.4</v>
      </c>
      <c r="J37" s="8"/>
      <c r="K37" s="29"/>
      <c r="L37" s="29"/>
      <c r="M37" s="29"/>
      <c r="N37" s="29"/>
      <c r="O37" s="29"/>
    </row>
    <row r="38">
      <c r="B38" s="8" t="s">
        <v>394</v>
      </c>
      <c r="C38" s="3"/>
      <c r="D38" s="29"/>
      <c r="E38" s="29"/>
      <c r="F38" s="29"/>
      <c r="G38" s="8">
        <v>100.0</v>
      </c>
      <c r="H38" s="8">
        <v>10.0</v>
      </c>
      <c r="I38" s="8">
        <v>1.0</v>
      </c>
      <c r="J38" s="29"/>
      <c r="K38" s="29"/>
      <c r="L38" s="29"/>
      <c r="M38" s="29"/>
      <c r="N38" s="29"/>
      <c r="O38" s="29"/>
    </row>
    <row r="39">
      <c r="B39" s="8" t="s">
        <v>1994</v>
      </c>
      <c r="C39" s="3"/>
      <c r="D39" s="29"/>
      <c r="E39" s="29"/>
      <c r="F39" s="29"/>
      <c r="G39" s="8">
        <v>200.0</v>
      </c>
      <c r="H39" s="8">
        <v>20.0</v>
      </c>
      <c r="I39" s="8">
        <v>2.0</v>
      </c>
      <c r="J39" s="29"/>
      <c r="K39" s="29"/>
      <c r="L39" s="29"/>
      <c r="M39" s="29"/>
      <c r="N39" s="29"/>
      <c r="O39" s="29"/>
      <c r="P39" s="29"/>
    </row>
    <row r="40">
      <c r="B40" s="8" t="s">
        <v>2078</v>
      </c>
      <c r="C40" s="3"/>
      <c r="D40" s="29"/>
      <c r="E40" s="29"/>
      <c r="F40" s="29"/>
      <c r="G40" s="29"/>
      <c r="H40" s="8">
        <v>300.0</v>
      </c>
      <c r="I40" s="8">
        <v>30.0</v>
      </c>
      <c r="J40" s="8">
        <v>3.0</v>
      </c>
      <c r="K40" s="29"/>
      <c r="L40" s="29"/>
      <c r="M40" s="29"/>
      <c r="N40" s="29"/>
      <c r="O40" s="29"/>
    </row>
    <row r="41">
      <c r="B41" s="8" t="s">
        <v>2081</v>
      </c>
      <c r="C41" s="3"/>
      <c r="D41" s="29"/>
      <c r="E41" s="29"/>
      <c r="F41" s="29"/>
      <c r="G41" s="29"/>
      <c r="H41" s="29"/>
      <c r="I41" s="8">
        <v>300.0</v>
      </c>
      <c r="J41" s="8">
        <v>30.0</v>
      </c>
      <c r="K41" s="29"/>
      <c r="L41" s="29"/>
      <c r="M41" s="29"/>
      <c r="N41" s="29"/>
      <c r="O41" s="29"/>
    </row>
    <row r="42">
      <c r="C42" s="3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>
      <c r="B43" s="291" t="s">
        <v>2086</v>
      </c>
      <c r="C43" s="59"/>
      <c r="D43" s="260">
        <v>0.05</v>
      </c>
      <c r="E43" s="260">
        <v>0.5</v>
      </c>
      <c r="F43" s="260">
        <v>5.0</v>
      </c>
      <c r="G43" s="260">
        <v>20.0</v>
      </c>
      <c r="H43" s="260">
        <v>50.0</v>
      </c>
      <c r="I43" s="260">
        <v>200.0</v>
      </c>
      <c r="J43" s="260">
        <v>500.0</v>
      </c>
      <c r="K43" s="260">
        <v>2000.0</v>
      </c>
      <c r="L43" s="59"/>
      <c r="M43" s="59"/>
      <c r="N43" s="59"/>
      <c r="O43" s="59"/>
    </row>
    <row r="44">
      <c r="B44" s="211" t="s">
        <v>2089</v>
      </c>
      <c r="D44" s="8" t="s">
        <v>2090</v>
      </c>
      <c r="E44" s="8" t="s">
        <v>1680</v>
      </c>
      <c r="F44" s="8" t="s">
        <v>1663</v>
      </c>
      <c r="G44" s="8" t="s">
        <v>1637</v>
      </c>
      <c r="H44" s="8" t="s">
        <v>2092</v>
      </c>
      <c r="I44" s="8" t="s">
        <v>1654</v>
      </c>
      <c r="J44" s="8" t="s">
        <v>1594</v>
      </c>
      <c r="K44" s="8">
        <v>1.0</v>
      </c>
      <c r="L44" s="8" t="s">
        <v>2093</v>
      </c>
      <c r="M44" s="8" t="s">
        <v>1776</v>
      </c>
      <c r="N44" s="8" t="s">
        <v>1750</v>
      </c>
      <c r="O44" s="8" t="s">
        <v>1679</v>
      </c>
    </row>
    <row r="45">
      <c r="B45" s="293"/>
      <c r="C45" s="8"/>
      <c r="D45" s="18"/>
      <c r="E45" s="18"/>
      <c r="F45" s="18"/>
      <c r="G45" s="8"/>
      <c r="H45" s="18"/>
      <c r="I45" s="18"/>
      <c r="J45" s="33"/>
      <c r="K45" s="294"/>
      <c r="L45" s="8"/>
      <c r="M45" s="8"/>
      <c r="N45" s="8"/>
      <c r="O45" s="29"/>
      <c r="P45" s="29"/>
    </row>
    <row r="46">
      <c r="H46" s="285" t="s">
        <v>1461</v>
      </c>
      <c r="O46" s="29"/>
    </row>
    <row r="47">
      <c r="B47" s="3" t="s">
        <v>1983</v>
      </c>
      <c r="C47" s="3" t="s">
        <v>619</v>
      </c>
      <c r="D47" s="104" t="s">
        <v>2068</v>
      </c>
      <c r="E47" s="104" t="s">
        <v>2069</v>
      </c>
      <c r="F47" s="104" t="s">
        <v>1188</v>
      </c>
      <c r="G47" s="104" t="s">
        <v>2070</v>
      </c>
      <c r="H47" s="104" t="s">
        <v>2039</v>
      </c>
      <c r="I47" s="104" t="s">
        <v>2040</v>
      </c>
      <c r="J47" s="104" t="s">
        <v>2041</v>
      </c>
      <c r="K47" s="104" t="s">
        <v>1550</v>
      </c>
      <c r="L47" s="104" t="s">
        <v>2042</v>
      </c>
      <c r="M47" s="104" t="s">
        <v>2098</v>
      </c>
      <c r="N47" s="104" t="s">
        <v>1530</v>
      </c>
      <c r="O47" s="104" t="s">
        <v>2072</v>
      </c>
      <c r="P47" s="29"/>
    </row>
    <row r="48">
      <c r="B48" s="8" t="s">
        <v>2073</v>
      </c>
      <c r="C48" s="3">
        <v>10.0</v>
      </c>
      <c r="D48" s="29"/>
      <c r="E48" s="29"/>
      <c r="F48" s="29"/>
      <c r="G48" s="8">
        <v>10.0</v>
      </c>
      <c r="H48" s="8">
        <v>1.0</v>
      </c>
      <c r="I48" s="8">
        <v>0.1</v>
      </c>
      <c r="J48" s="29"/>
      <c r="K48" s="29"/>
      <c r="L48" s="29"/>
      <c r="M48" s="29"/>
      <c r="N48" s="29"/>
      <c r="O48" s="29"/>
      <c r="P48" s="2">
        <v>100.0</v>
      </c>
      <c r="Q48" s="2">
        <v>10.0</v>
      </c>
      <c r="R48">
        <f t="shared" ref="R48:R52" si="1">$H$51/Q48</f>
        <v>1</v>
      </c>
    </row>
    <row r="49">
      <c r="B49" s="8" t="s">
        <v>1514</v>
      </c>
      <c r="C49" s="3">
        <v>5.0</v>
      </c>
      <c r="D49" s="29"/>
      <c r="E49" s="29"/>
      <c r="F49" s="29"/>
      <c r="G49" s="8">
        <v>20.0</v>
      </c>
      <c r="H49" s="8">
        <v>2.0</v>
      </c>
      <c r="I49" s="8">
        <v>0.2</v>
      </c>
      <c r="J49" s="8"/>
      <c r="K49" s="29"/>
      <c r="L49" s="29"/>
      <c r="M49" s="29"/>
      <c r="N49" s="29"/>
      <c r="O49" s="29"/>
      <c r="P49" s="2">
        <v>50.0</v>
      </c>
      <c r="Q49" s="2">
        <v>5.0</v>
      </c>
      <c r="R49">
        <f t="shared" si="1"/>
        <v>2</v>
      </c>
    </row>
    <row r="50">
      <c r="B50" s="8" t="s">
        <v>394</v>
      </c>
      <c r="C50" s="3">
        <v>2.0</v>
      </c>
      <c r="D50" s="29"/>
      <c r="E50" s="29"/>
      <c r="F50" s="29"/>
      <c r="G50" s="8">
        <v>50.0</v>
      </c>
      <c r="H50" s="8">
        <v>5.0</v>
      </c>
      <c r="I50" s="8">
        <v>0.5</v>
      </c>
      <c r="J50" s="29"/>
      <c r="K50" s="29"/>
      <c r="L50" s="29"/>
      <c r="M50" s="29"/>
      <c r="N50" s="29"/>
      <c r="O50" s="29"/>
      <c r="P50" s="2">
        <v>1.0</v>
      </c>
      <c r="Q50" s="2">
        <v>2.0</v>
      </c>
      <c r="R50">
        <f t="shared" si="1"/>
        <v>5</v>
      </c>
    </row>
    <row r="51">
      <c r="B51" s="8" t="s">
        <v>1994</v>
      </c>
      <c r="C51" s="3">
        <v>1.0</v>
      </c>
      <c r="D51" s="29"/>
      <c r="E51" s="29"/>
      <c r="F51" s="29"/>
      <c r="G51" s="8">
        <v>100.0</v>
      </c>
      <c r="H51" s="8">
        <v>10.0</v>
      </c>
      <c r="I51" s="8">
        <v>1.0</v>
      </c>
      <c r="J51" s="29"/>
      <c r="K51" s="29"/>
      <c r="L51" s="29"/>
      <c r="M51" s="29"/>
      <c r="N51" s="29"/>
      <c r="O51" s="29"/>
      <c r="P51" s="2">
        <v>0.1</v>
      </c>
      <c r="Q51" s="2">
        <v>1.0</v>
      </c>
      <c r="R51">
        <f t="shared" si="1"/>
        <v>10</v>
      </c>
    </row>
    <row r="52">
      <c r="B52" s="8" t="s">
        <v>2078</v>
      </c>
      <c r="C52" s="3">
        <v>0.1</v>
      </c>
      <c r="D52" s="29"/>
      <c r="E52" s="29"/>
      <c r="F52" s="29"/>
      <c r="G52" s="29"/>
      <c r="H52" s="8">
        <v>100.0</v>
      </c>
      <c r="I52" s="8">
        <v>10.0</v>
      </c>
      <c r="J52" s="8">
        <v>1.0</v>
      </c>
      <c r="K52" s="29"/>
      <c r="L52" s="29"/>
      <c r="M52" s="29"/>
      <c r="N52" s="29"/>
      <c r="O52" s="29"/>
      <c r="P52" s="2">
        <v>0.01</v>
      </c>
      <c r="Q52" s="2">
        <v>0.1</v>
      </c>
      <c r="R52">
        <f t="shared" si="1"/>
        <v>100</v>
      </c>
    </row>
    <row r="53">
      <c r="B53" s="291" t="s">
        <v>2086</v>
      </c>
      <c r="C53" s="59"/>
      <c r="D53" s="260">
        <v>0.1</v>
      </c>
      <c r="E53" s="260">
        <v>0.5</v>
      </c>
      <c r="F53" s="260">
        <v>5.0</v>
      </c>
      <c r="G53" s="260">
        <v>10.0</v>
      </c>
      <c r="H53" s="260">
        <v>50.0</v>
      </c>
      <c r="I53" s="260">
        <v>100.0</v>
      </c>
      <c r="J53" s="260">
        <v>500.0</v>
      </c>
      <c r="K53" s="260">
        <v>1000.0</v>
      </c>
      <c r="L53" s="260" t="s">
        <v>1330</v>
      </c>
      <c r="M53" s="260" t="s">
        <v>2061</v>
      </c>
      <c r="N53" s="260" t="s">
        <v>2007</v>
      </c>
      <c r="O53" s="260" t="s">
        <v>2101</v>
      </c>
    </row>
    <row r="54">
      <c r="B54" s="211" t="s">
        <v>2089</v>
      </c>
      <c r="D54" s="8" t="s">
        <v>2090</v>
      </c>
      <c r="E54" s="8" t="s">
        <v>1680</v>
      </c>
      <c r="F54" s="8" t="s">
        <v>1663</v>
      </c>
      <c r="G54" s="8" t="s">
        <v>1637</v>
      </c>
      <c r="H54" s="8" t="s">
        <v>2092</v>
      </c>
      <c r="I54" s="8" t="s">
        <v>1654</v>
      </c>
      <c r="J54" s="8" t="s">
        <v>1594</v>
      </c>
      <c r="K54" s="8">
        <v>1.0</v>
      </c>
      <c r="L54" s="8" t="s">
        <v>2093</v>
      </c>
      <c r="M54" s="8" t="s">
        <v>1776</v>
      </c>
      <c r="N54" s="8" t="s">
        <v>1750</v>
      </c>
      <c r="O54" s="8" t="s">
        <v>1679</v>
      </c>
    </row>
    <row r="58">
      <c r="F58" s="295" t="s">
        <v>1461</v>
      </c>
      <c r="O58" s="29"/>
    </row>
    <row r="59">
      <c r="C59" s="104" t="s">
        <v>2069</v>
      </c>
      <c r="D59" s="104" t="s">
        <v>1188</v>
      </c>
      <c r="E59" s="104" t="s">
        <v>2070</v>
      </c>
      <c r="F59" s="104" t="s">
        <v>2039</v>
      </c>
      <c r="G59" s="104" t="s">
        <v>2040</v>
      </c>
      <c r="H59" s="104" t="s">
        <v>2041</v>
      </c>
      <c r="I59" s="104" t="s">
        <v>1550</v>
      </c>
      <c r="J59" s="104" t="s">
        <v>2042</v>
      </c>
    </row>
    <row r="60">
      <c r="B60" s="5" t="s">
        <v>1816</v>
      </c>
      <c r="C60" s="18" t="s">
        <v>2102</v>
      </c>
      <c r="D60" s="18" t="s">
        <v>2103</v>
      </c>
      <c r="E60" s="8" t="s">
        <v>2104</v>
      </c>
      <c r="F60" s="8" t="s">
        <v>2105</v>
      </c>
      <c r="G60" s="8" t="s">
        <v>2106</v>
      </c>
      <c r="H60" s="8"/>
    </row>
    <row r="61">
      <c r="B61" s="296" t="s">
        <v>2107</v>
      </c>
      <c r="C61" s="260">
        <v>1.0</v>
      </c>
      <c r="D61" s="260">
        <v>5.0</v>
      </c>
      <c r="E61" s="260">
        <v>10.0</v>
      </c>
      <c r="F61" s="260">
        <v>50.0</v>
      </c>
      <c r="G61" s="260">
        <v>100.0</v>
      </c>
      <c r="H61" s="260">
        <v>500.0</v>
      </c>
      <c r="I61" s="260" t="s">
        <v>1954</v>
      </c>
      <c r="J61" s="260" t="s">
        <v>1330</v>
      </c>
    </row>
    <row r="63">
      <c r="B63" s="295" t="s">
        <v>1461</v>
      </c>
      <c r="C63" s="104" t="s">
        <v>2069</v>
      </c>
      <c r="D63" s="104" t="s">
        <v>1188</v>
      </c>
      <c r="E63" s="104" t="s">
        <v>2070</v>
      </c>
      <c r="F63" s="104" t="s">
        <v>2039</v>
      </c>
      <c r="G63" s="104" t="s">
        <v>2040</v>
      </c>
      <c r="H63" s="104" t="s">
        <v>2041</v>
      </c>
      <c r="I63" s="104" t="s">
        <v>1550</v>
      </c>
      <c r="J63" s="104" t="s">
        <v>2042</v>
      </c>
    </row>
    <row r="64">
      <c r="B64" s="5" t="s">
        <v>1859</v>
      </c>
      <c r="C64" s="8" t="s">
        <v>2108</v>
      </c>
      <c r="F64" s="8" t="s">
        <v>1954</v>
      </c>
      <c r="G64" s="8">
        <v>100.0</v>
      </c>
      <c r="H64" s="8">
        <v>10.0</v>
      </c>
      <c r="I64" s="8">
        <v>1.0</v>
      </c>
      <c r="J64" s="8">
        <v>0.1</v>
      </c>
    </row>
    <row r="65">
      <c r="B65" s="296" t="s">
        <v>2107</v>
      </c>
      <c r="C65" s="260">
        <v>0.1</v>
      </c>
      <c r="D65" s="260">
        <v>1.0</v>
      </c>
      <c r="E65" s="260">
        <v>5.0</v>
      </c>
      <c r="F65" s="260">
        <v>10.0</v>
      </c>
      <c r="G65" s="260">
        <v>50.0</v>
      </c>
      <c r="H65" s="260">
        <v>100.0</v>
      </c>
      <c r="I65" s="260">
        <v>500.0</v>
      </c>
      <c r="J65" s="260" t="s">
        <v>1954</v>
      </c>
    </row>
    <row r="72">
      <c r="H72" s="104" t="s">
        <v>2109</v>
      </c>
      <c r="N72" s="29"/>
      <c r="O72" s="29"/>
      <c r="P72" s="29"/>
    </row>
    <row r="73">
      <c r="B73" s="52" t="s">
        <v>2110</v>
      </c>
      <c r="C73" s="104">
        <v>0.1</v>
      </c>
      <c r="D73" s="104">
        <v>1.0</v>
      </c>
      <c r="E73" s="104">
        <v>5.0</v>
      </c>
      <c r="F73" s="104">
        <v>10.0</v>
      </c>
      <c r="G73" s="104">
        <v>15.0</v>
      </c>
      <c r="H73" s="104">
        <v>20.0</v>
      </c>
      <c r="I73" s="104">
        <v>30.0</v>
      </c>
      <c r="J73" s="104">
        <v>40.0</v>
      </c>
      <c r="K73" s="104">
        <v>50.0</v>
      </c>
      <c r="L73" s="104">
        <v>100.0</v>
      </c>
      <c r="M73" s="104">
        <v>500.0</v>
      </c>
      <c r="N73" s="104">
        <v>1000.0</v>
      </c>
      <c r="O73" s="104">
        <v>5000.0</v>
      </c>
      <c r="P73" s="104">
        <v>10000.0</v>
      </c>
    </row>
    <row r="74">
      <c r="B74" s="2" t="s">
        <v>2111</v>
      </c>
      <c r="C74" s="297">
        <v>12.0</v>
      </c>
      <c r="D74" s="297">
        <v>10.0</v>
      </c>
      <c r="E74" s="297">
        <v>9.0</v>
      </c>
      <c r="F74" s="297">
        <v>8.0</v>
      </c>
      <c r="K74" s="298" t="s">
        <v>2112</v>
      </c>
      <c r="L74" s="298" t="s">
        <v>2113</v>
      </c>
      <c r="M74" s="297">
        <v>5.0</v>
      </c>
      <c r="N74" s="297">
        <v>4.0</v>
      </c>
      <c r="O74" s="297">
        <v>3.0</v>
      </c>
      <c r="P74" s="297">
        <v>2.0</v>
      </c>
    </row>
    <row r="75">
      <c r="B75" s="2" t="s">
        <v>2114</v>
      </c>
      <c r="C75" s="297">
        <v>12.0</v>
      </c>
      <c r="D75" s="297">
        <v>10.0</v>
      </c>
      <c r="E75" s="297">
        <v>9.0</v>
      </c>
      <c r="F75" s="298" t="s">
        <v>2112</v>
      </c>
      <c r="G75" s="298" t="s">
        <v>2113</v>
      </c>
      <c r="H75" s="297">
        <v>5.0</v>
      </c>
      <c r="I75" s="297">
        <v>4.0</v>
      </c>
      <c r="J75" s="297">
        <v>3.0</v>
      </c>
      <c r="K75" s="297">
        <v>2.0</v>
      </c>
    </row>
    <row r="76">
      <c r="B76" s="2" t="s">
        <v>1443</v>
      </c>
      <c r="C76" s="297"/>
      <c r="D76" s="297"/>
      <c r="E76" s="29"/>
      <c r="F76" s="29"/>
      <c r="G76" s="29"/>
      <c r="H76" s="29"/>
      <c r="I76" s="29"/>
    </row>
    <row r="77">
      <c r="B77" s="5" t="s">
        <v>2115</v>
      </c>
      <c r="C77" s="8">
        <v>11.0</v>
      </c>
      <c r="D77" s="18">
        <v>9.0</v>
      </c>
      <c r="E77" s="8">
        <v>8.0</v>
      </c>
      <c r="F77" s="18">
        <v>7.0</v>
      </c>
      <c r="G77" s="18"/>
      <c r="H77" s="18"/>
      <c r="I77" s="18"/>
      <c r="K77" s="18">
        <v>6.0</v>
      </c>
      <c r="L77" s="18">
        <v>5.0</v>
      </c>
      <c r="M77" s="8">
        <v>4.0</v>
      </c>
      <c r="N77" s="8">
        <v>3.0</v>
      </c>
      <c r="O77" s="8">
        <v>2.0</v>
      </c>
      <c r="P77" s="8">
        <v>1.0</v>
      </c>
    </row>
    <row r="78">
      <c r="B78" s="293" t="s">
        <v>2116</v>
      </c>
      <c r="C78" s="8">
        <v>11.0</v>
      </c>
      <c r="D78" s="18">
        <v>9.0</v>
      </c>
      <c r="E78" s="18">
        <v>8.0</v>
      </c>
      <c r="F78" s="18">
        <v>6.0</v>
      </c>
      <c r="G78" s="8">
        <v>5.0</v>
      </c>
      <c r="H78" s="18">
        <v>4.0</v>
      </c>
      <c r="I78" s="18">
        <v>3.0</v>
      </c>
      <c r="J78" s="18">
        <v>2.0</v>
      </c>
      <c r="K78" s="18">
        <v>1.0</v>
      </c>
      <c r="L78" s="18">
        <v>-5.0</v>
      </c>
      <c r="M78" s="18"/>
      <c r="N78" s="18"/>
      <c r="O78" s="76"/>
      <c r="P78" s="76"/>
    </row>
    <row r="79">
      <c r="B79" s="293" t="s">
        <v>2117</v>
      </c>
      <c r="C79" s="8">
        <v>10.0</v>
      </c>
      <c r="D79" s="8">
        <v>-1.0</v>
      </c>
      <c r="E79" s="29"/>
    </row>
    <row r="80">
      <c r="H80" s="104" t="s">
        <v>2109</v>
      </c>
      <c r="N80" s="29"/>
      <c r="O80" s="29"/>
      <c r="P80" s="29"/>
    </row>
    <row r="81">
      <c r="B81" s="52" t="s">
        <v>2118</v>
      </c>
      <c r="C81" s="104">
        <v>0.1</v>
      </c>
      <c r="D81" s="104">
        <v>1.0</v>
      </c>
      <c r="E81" s="104">
        <v>5.0</v>
      </c>
      <c r="F81" s="104">
        <v>10.0</v>
      </c>
      <c r="G81" s="104">
        <v>15.0</v>
      </c>
      <c r="H81" s="104">
        <v>20.0</v>
      </c>
      <c r="I81" s="104">
        <v>30.0</v>
      </c>
      <c r="J81" s="104">
        <v>40.0</v>
      </c>
      <c r="K81" s="104">
        <v>50.0</v>
      </c>
      <c r="L81" s="104">
        <v>100.0</v>
      </c>
      <c r="M81" s="104">
        <v>500.0</v>
      </c>
      <c r="N81" s="104">
        <v>1000.0</v>
      </c>
      <c r="O81" s="104">
        <v>5000.0</v>
      </c>
      <c r="P81" s="104">
        <v>10000.0</v>
      </c>
    </row>
    <row r="82">
      <c r="B82" s="2" t="s">
        <v>2111</v>
      </c>
      <c r="C82" s="297">
        <f t="shared" ref="C82:F82" si="2">C85+1</f>
        <v>12</v>
      </c>
      <c r="D82" s="299">
        <f t="shared" si="2"/>
        <v>10</v>
      </c>
      <c r="E82" s="297">
        <f t="shared" si="2"/>
        <v>9</v>
      </c>
      <c r="F82" s="299">
        <f t="shared" si="2"/>
        <v>8</v>
      </c>
      <c r="J82" s="29"/>
      <c r="K82" s="298" t="s">
        <v>2112</v>
      </c>
      <c r="L82" s="298" t="s">
        <v>2113</v>
      </c>
      <c r="M82" s="297">
        <f t="shared" ref="M82:P82" si="3">M85+1</f>
        <v>5</v>
      </c>
      <c r="N82" s="297">
        <f t="shared" si="3"/>
        <v>4</v>
      </c>
      <c r="O82" s="297">
        <f t="shared" si="3"/>
        <v>3</v>
      </c>
      <c r="P82" s="297">
        <f t="shared" si="3"/>
        <v>2</v>
      </c>
    </row>
    <row r="83">
      <c r="B83" s="2" t="s">
        <v>2114</v>
      </c>
      <c r="C83" s="297">
        <f t="shared" ref="C83:F83" si="4">C86+1</f>
        <v>12</v>
      </c>
      <c r="D83" s="299">
        <f t="shared" si="4"/>
        <v>10</v>
      </c>
      <c r="E83" s="297">
        <f t="shared" si="4"/>
        <v>9</v>
      </c>
      <c r="F83" s="299">
        <f t="shared" si="4"/>
        <v>8</v>
      </c>
      <c r="K83" s="298" t="s">
        <v>2112</v>
      </c>
      <c r="L83" s="298" t="s">
        <v>2113</v>
      </c>
      <c r="M83" s="297">
        <f t="shared" ref="M83:P83" si="5">M86+1</f>
        <v>5</v>
      </c>
      <c r="N83" s="297">
        <f t="shared" si="5"/>
        <v>4</v>
      </c>
      <c r="O83" s="297">
        <f t="shared" si="5"/>
        <v>2</v>
      </c>
      <c r="P83" s="297">
        <f t="shared" si="5"/>
        <v>1</v>
      </c>
    </row>
    <row r="84">
      <c r="B84" s="2" t="s">
        <v>1443</v>
      </c>
      <c r="C84" s="297">
        <f t="shared" ref="C84:E84" si="6">C87+1</f>
        <v>11</v>
      </c>
      <c r="D84" s="297">
        <f t="shared" si="6"/>
        <v>8</v>
      </c>
      <c r="E84" s="297">
        <f t="shared" si="6"/>
        <v>-1</v>
      </c>
      <c r="F84" s="29"/>
      <c r="G84" s="29"/>
      <c r="I84" s="29"/>
    </row>
    <row r="85">
      <c r="B85" s="5" t="s">
        <v>2115</v>
      </c>
      <c r="C85" s="8">
        <v>11.0</v>
      </c>
      <c r="D85" s="18">
        <v>9.0</v>
      </c>
      <c r="E85" s="8">
        <v>8.0</v>
      </c>
      <c r="F85" s="18">
        <v>7.0</v>
      </c>
      <c r="G85" s="18"/>
      <c r="I85" s="18"/>
      <c r="J85" s="18"/>
      <c r="K85" s="18">
        <v>6.0</v>
      </c>
      <c r="L85" s="18">
        <v>5.0</v>
      </c>
      <c r="M85" s="8">
        <v>4.0</v>
      </c>
      <c r="N85" s="8">
        <v>3.0</v>
      </c>
      <c r="O85" s="8">
        <v>2.0</v>
      </c>
      <c r="P85" s="8">
        <v>1.0</v>
      </c>
    </row>
    <row r="86">
      <c r="B86" s="293" t="s">
        <v>2116</v>
      </c>
      <c r="C86" s="8">
        <v>11.0</v>
      </c>
      <c r="D86" s="18">
        <v>9.0</v>
      </c>
      <c r="E86" s="8">
        <v>8.0</v>
      </c>
      <c r="F86" s="18">
        <v>7.0</v>
      </c>
      <c r="G86" s="18"/>
      <c r="I86" s="18"/>
      <c r="J86" s="18"/>
      <c r="K86" s="18">
        <v>6.0</v>
      </c>
      <c r="L86" s="18">
        <v>5.0</v>
      </c>
      <c r="M86" s="8">
        <v>4.0</v>
      </c>
      <c r="N86" s="8">
        <v>3.0</v>
      </c>
      <c r="O86" s="8">
        <v>1.0</v>
      </c>
      <c r="P86" s="8">
        <v>0.0</v>
      </c>
    </row>
    <row r="87">
      <c r="B87" s="293" t="s">
        <v>2117</v>
      </c>
      <c r="C87" s="8">
        <v>10.0</v>
      </c>
      <c r="D87" s="8">
        <v>7.0</v>
      </c>
      <c r="E87" s="8">
        <v>-2.0</v>
      </c>
    </row>
    <row r="90">
      <c r="B90" s="52" t="s">
        <v>1859</v>
      </c>
      <c r="C90" s="8">
        <v>11.0</v>
      </c>
      <c r="D90" s="8">
        <v>9.0</v>
      </c>
      <c r="E90" s="8">
        <v>7.0</v>
      </c>
      <c r="F90" s="8">
        <v>6.0</v>
      </c>
      <c r="G90" s="297">
        <v>5.0</v>
      </c>
      <c r="H90" s="297">
        <v>4.0</v>
      </c>
      <c r="I90" s="297">
        <v>3.0</v>
      </c>
      <c r="J90" s="297">
        <v>2.0</v>
      </c>
      <c r="K90" s="297">
        <v>1.0</v>
      </c>
      <c r="L90" s="8">
        <v>-5.0</v>
      </c>
    </row>
    <row r="91">
      <c r="B91" s="52"/>
      <c r="C91" s="8"/>
      <c r="D91" s="8"/>
      <c r="E91" s="8"/>
      <c r="F91" s="8"/>
      <c r="G91" s="8" t="s">
        <v>2119</v>
      </c>
      <c r="H91" s="8" t="s">
        <v>1913</v>
      </c>
      <c r="I91" s="8" t="s">
        <v>1514</v>
      </c>
      <c r="J91" s="8" t="s">
        <v>394</v>
      </c>
      <c r="K91" s="8" t="s">
        <v>1994</v>
      </c>
      <c r="L91" s="8"/>
    </row>
    <row r="92">
      <c r="B92" s="52" t="s">
        <v>1534</v>
      </c>
      <c r="C92" s="8">
        <v>12.0</v>
      </c>
      <c r="D92" s="8">
        <v>10.0</v>
      </c>
      <c r="E92" s="8">
        <v>9.0</v>
      </c>
      <c r="F92" s="8">
        <v>7.0</v>
      </c>
      <c r="G92" s="8">
        <v>6.0</v>
      </c>
      <c r="H92" s="297">
        <v>5.0</v>
      </c>
      <c r="I92" s="297">
        <v>4.0</v>
      </c>
      <c r="J92" s="297">
        <v>3.0</v>
      </c>
      <c r="K92" s="297">
        <v>2.0</v>
      </c>
      <c r="L92" s="8">
        <v>-4.0</v>
      </c>
    </row>
    <row r="93">
      <c r="C93" s="8"/>
      <c r="D93" s="8"/>
      <c r="E93" s="8"/>
      <c r="F93" s="8"/>
      <c r="G93" s="8"/>
      <c r="H93" s="8" t="s">
        <v>2119</v>
      </c>
      <c r="I93" s="8" t="s">
        <v>1913</v>
      </c>
      <c r="J93" s="8" t="s">
        <v>1514</v>
      </c>
      <c r="K93" s="8" t="s">
        <v>394</v>
      </c>
      <c r="L93" s="8"/>
    </row>
    <row r="95">
      <c r="C95" s="104">
        <v>0.1</v>
      </c>
      <c r="D95" s="104">
        <v>1.0</v>
      </c>
      <c r="E95" s="104">
        <v>5.0</v>
      </c>
      <c r="F95" s="104">
        <v>10.0</v>
      </c>
      <c r="G95" s="104">
        <v>15.0</v>
      </c>
      <c r="H95" s="104">
        <v>20.0</v>
      </c>
      <c r="I95" s="104">
        <v>30.0</v>
      </c>
      <c r="J95" s="104">
        <v>40.0</v>
      </c>
      <c r="K95" s="104">
        <v>50.0</v>
      </c>
      <c r="L95" s="104">
        <v>100.0</v>
      </c>
      <c r="M95" s="104">
        <v>500.0</v>
      </c>
      <c r="N95" s="104">
        <v>1000.0</v>
      </c>
      <c r="O95" s="104">
        <v>5000.0</v>
      </c>
      <c r="P95" s="104">
        <v>10000.0</v>
      </c>
    </row>
    <row r="96">
      <c r="B96" s="52" t="s">
        <v>2120</v>
      </c>
      <c r="C96" s="297">
        <v>7.0</v>
      </c>
      <c r="D96" s="297">
        <v>5.0</v>
      </c>
      <c r="E96" s="297">
        <v>4.0</v>
      </c>
      <c r="F96" s="297">
        <v>3.0</v>
      </c>
      <c r="G96" s="29"/>
      <c r="H96" s="297">
        <v>2.0</v>
      </c>
      <c r="J96" s="29"/>
      <c r="K96" s="297">
        <v>1.0</v>
      </c>
      <c r="L96" s="297">
        <v>0.0</v>
      </c>
      <c r="M96" s="297">
        <v>-1.0</v>
      </c>
    </row>
    <row r="97">
      <c r="B97" s="5" t="s">
        <v>2121</v>
      </c>
      <c r="C97" s="8">
        <v>6.0</v>
      </c>
      <c r="D97" s="18">
        <v>4.0</v>
      </c>
      <c r="E97" s="18"/>
      <c r="F97" s="18">
        <v>2.0</v>
      </c>
      <c r="G97" s="18"/>
      <c r="H97" s="18">
        <v>1.0</v>
      </c>
      <c r="J97" s="18"/>
      <c r="K97" s="18">
        <v>0.0</v>
      </c>
      <c r="L97" s="2">
        <v>-1.0</v>
      </c>
      <c r="M97" s="8">
        <v>-2.0</v>
      </c>
      <c r="N97" s="8">
        <v>-3.0</v>
      </c>
      <c r="O97" s="8">
        <v>-4.0</v>
      </c>
      <c r="P97" s="8">
        <v>-5.0</v>
      </c>
    </row>
    <row r="100">
      <c r="B100" s="52" t="s">
        <v>2122</v>
      </c>
      <c r="C100" s="104">
        <v>0.1</v>
      </c>
      <c r="D100" s="104">
        <v>1.0</v>
      </c>
      <c r="E100" s="104">
        <v>5.0</v>
      </c>
      <c r="F100" s="104">
        <v>10.0</v>
      </c>
      <c r="G100" s="104">
        <v>15.0</v>
      </c>
      <c r="H100" s="104">
        <v>20.0</v>
      </c>
      <c r="I100" s="104">
        <v>30.0</v>
      </c>
      <c r="J100" s="104">
        <v>40.0</v>
      </c>
      <c r="K100" s="104">
        <v>50.0</v>
      </c>
      <c r="L100" s="104">
        <v>100.0</v>
      </c>
      <c r="M100" s="104">
        <v>500.0</v>
      </c>
      <c r="N100" s="104">
        <v>1000.0</v>
      </c>
      <c r="O100" s="104">
        <v>5000.0</v>
      </c>
      <c r="P100" s="104">
        <v>10000.0</v>
      </c>
    </row>
    <row r="101">
      <c r="B101" s="2" t="s">
        <v>2111</v>
      </c>
      <c r="C101" s="298" t="s">
        <v>2123</v>
      </c>
      <c r="D101" s="298" t="s">
        <v>2112</v>
      </c>
      <c r="E101" s="298" t="s">
        <v>2113</v>
      </c>
      <c r="F101" s="297">
        <v>5.0</v>
      </c>
      <c r="G101" s="29"/>
      <c r="H101" s="29"/>
      <c r="I101" s="29"/>
      <c r="J101" s="29"/>
      <c r="K101" s="297">
        <v>4.0</v>
      </c>
      <c r="L101" s="297">
        <v>3.0</v>
      </c>
      <c r="M101" s="297">
        <v>2.0</v>
      </c>
      <c r="N101" s="297">
        <v>1.0</v>
      </c>
      <c r="O101" s="297">
        <v>0.0</v>
      </c>
      <c r="P101" s="297">
        <v>-1.0</v>
      </c>
    </row>
    <row r="102">
      <c r="B102" s="2" t="s">
        <v>2114</v>
      </c>
      <c r="C102" s="298" t="s">
        <v>2123</v>
      </c>
      <c r="D102" s="298" t="s">
        <v>2112</v>
      </c>
      <c r="E102" s="298" t="s">
        <v>2113</v>
      </c>
      <c r="F102" s="297">
        <v>5.0</v>
      </c>
      <c r="I102" s="29"/>
      <c r="J102" s="29"/>
      <c r="K102" s="297">
        <v>4.0</v>
      </c>
      <c r="L102" s="297">
        <v>3.0</v>
      </c>
      <c r="M102" s="297">
        <v>2.0</v>
      </c>
      <c r="N102" s="297">
        <v>1.0</v>
      </c>
      <c r="O102" s="297">
        <v>-1.0</v>
      </c>
      <c r="P102" s="298" t="s">
        <v>2124</v>
      </c>
    </row>
    <row r="103">
      <c r="B103" s="2" t="s">
        <v>1443</v>
      </c>
      <c r="C103" s="298" t="s">
        <v>2125</v>
      </c>
      <c r="D103" s="298" t="s">
        <v>2126</v>
      </c>
    </row>
    <row r="104">
      <c r="B104" s="5" t="s">
        <v>2115</v>
      </c>
      <c r="C104" s="8" t="s">
        <v>1685</v>
      </c>
      <c r="D104" s="18" t="s">
        <v>1680</v>
      </c>
      <c r="E104" s="18" t="s">
        <v>1663</v>
      </c>
      <c r="F104" s="18" t="s">
        <v>2127</v>
      </c>
      <c r="G104" s="18"/>
      <c r="H104" s="18" t="s">
        <v>1637</v>
      </c>
      <c r="I104" s="18" t="s">
        <v>2128</v>
      </c>
      <c r="J104" s="18" t="s">
        <v>2129</v>
      </c>
      <c r="K104" s="18" t="s">
        <v>2092</v>
      </c>
      <c r="L104" s="18" t="s">
        <v>1654</v>
      </c>
      <c r="M104" s="8" t="s">
        <v>1594</v>
      </c>
      <c r="N104" s="8" t="s">
        <v>1664</v>
      </c>
      <c r="O104" s="8" t="s">
        <v>2093</v>
      </c>
      <c r="P104" s="8" t="s">
        <v>1776</v>
      </c>
    </row>
    <row r="105">
      <c r="B105" s="293" t="s">
        <v>2116</v>
      </c>
      <c r="C105" s="8" t="s">
        <v>1685</v>
      </c>
      <c r="D105" s="18" t="s">
        <v>1680</v>
      </c>
      <c r="E105" s="18" t="s">
        <v>1663</v>
      </c>
      <c r="F105" s="18" t="s">
        <v>2127</v>
      </c>
      <c r="G105" s="18"/>
      <c r="H105" s="18" t="s">
        <v>1637</v>
      </c>
      <c r="I105" s="18" t="s">
        <v>2128</v>
      </c>
      <c r="J105" s="18" t="s">
        <v>2129</v>
      </c>
      <c r="K105" s="18" t="s">
        <v>2092</v>
      </c>
      <c r="L105" s="18" t="s">
        <v>1654</v>
      </c>
      <c r="M105" s="8" t="s">
        <v>1594</v>
      </c>
      <c r="N105" s="8" t="s">
        <v>1664</v>
      </c>
      <c r="O105" s="8" t="s">
        <v>1776</v>
      </c>
      <c r="P105" s="8" t="s">
        <v>1750</v>
      </c>
    </row>
    <row r="107">
      <c r="H107" s="104" t="s">
        <v>2109</v>
      </c>
      <c r="N107" s="29"/>
      <c r="O107" s="29"/>
      <c r="P107" s="29"/>
    </row>
    <row r="108">
      <c r="B108" s="52" t="s">
        <v>2142</v>
      </c>
      <c r="C108" s="104">
        <v>0.1</v>
      </c>
      <c r="D108" s="104">
        <v>1.0</v>
      </c>
      <c r="E108" s="104">
        <v>5.0</v>
      </c>
      <c r="F108" s="104">
        <v>10.0</v>
      </c>
      <c r="G108" s="104">
        <v>15.0</v>
      </c>
      <c r="H108" s="104">
        <v>20.0</v>
      </c>
      <c r="I108" s="104">
        <v>30.0</v>
      </c>
      <c r="J108" s="104">
        <v>40.0</v>
      </c>
      <c r="K108" s="104">
        <v>50.0</v>
      </c>
      <c r="L108" s="104">
        <v>100.0</v>
      </c>
      <c r="M108" s="104">
        <v>500.0</v>
      </c>
      <c r="N108" s="104">
        <v>1000.0</v>
      </c>
      <c r="O108" s="104">
        <v>5000.0</v>
      </c>
      <c r="P108" s="104">
        <v>10000.0</v>
      </c>
    </row>
    <row r="109">
      <c r="B109" s="2" t="s">
        <v>2111</v>
      </c>
      <c r="C109" s="298" t="s">
        <v>2144</v>
      </c>
      <c r="D109" s="298" t="s">
        <v>2123</v>
      </c>
      <c r="E109" s="298" t="s">
        <v>2125</v>
      </c>
      <c r="F109" s="298" t="s">
        <v>2112</v>
      </c>
      <c r="H109" s="29"/>
      <c r="J109" s="29"/>
      <c r="K109" s="298" t="s">
        <v>2113</v>
      </c>
      <c r="L109" s="297">
        <v>5.0</v>
      </c>
      <c r="M109" s="297">
        <v>4.0</v>
      </c>
      <c r="N109" s="297">
        <v>3.0</v>
      </c>
      <c r="O109" s="297">
        <v>2.0</v>
      </c>
      <c r="P109" s="297">
        <v>1.0</v>
      </c>
    </row>
    <row r="110">
      <c r="B110" s="2" t="s">
        <v>2114</v>
      </c>
      <c r="C110" s="298" t="s">
        <v>2144</v>
      </c>
      <c r="D110" s="298" t="s">
        <v>2123</v>
      </c>
      <c r="E110" s="298" t="s">
        <v>2112</v>
      </c>
      <c r="F110" s="298" t="s">
        <v>2113</v>
      </c>
      <c r="G110" s="297">
        <v>5.0</v>
      </c>
      <c r="H110" s="297">
        <v>4.0</v>
      </c>
      <c r="I110" s="297">
        <v>3.0</v>
      </c>
      <c r="J110" s="297">
        <v>2.0</v>
      </c>
      <c r="K110" s="297">
        <v>1.0</v>
      </c>
      <c r="L110" s="297">
        <v>-5.0</v>
      </c>
    </row>
    <row r="111">
      <c r="B111" s="2" t="s">
        <v>1443</v>
      </c>
      <c r="C111" s="298" t="s">
        <v>2123</v>
      </c>
      <c r="D111" s="297">
        <v>-1.0</v>
      </c>
      <c r="E111" s="29"/>
      <c r="F111" s="29"/>
      <c r="G111" s="29"/>
      <c r="H111" s="29"/>
      <c r="I111" s="29"/>
    </row>
    <row r="112">
      <c r="B112" s="5" t="s">
        <v>2115</v>
      </c>
      <c r="C112" s="8" t="s">
        <v>1700</v>
      </c>
      <c r="D112" s="18" t="s">
        <v>1685</v>
      </c>
      <c r="E112" s="18" t="s">
        <v>2090</v>
      </c>
      <c r="F112" s="18"/>
      <c r="G112" s="18" t="s">
        <v>1680</v>
      </c>
      <c r="H112" s="18"/>
      <c r="I112" s="18"/>
      <c r="J112" s="18"/>
      <c r="K112" s="18" t="s">
        <v>1663</v>
      </c>
      <c r="L112" s="18" t="s">
        <v>1637</v>
      </c>
      <c r="M112" s="8" t="s">
        <v>2092</v>
      </c>
      <c r="N112" s="8" t="s">
        <v>1654</v>
      </c>
      <c r="O112" s="8" t="s">
        <v>1594</v>
      </c>
      <c r="P112" s="8" t="s">
        <v>1664</v>
      </c>
    </row>
    <row r="113">
      <c r="B113" s="293" t="s">
        <v>2116</v>
      </c>
      <c r="C113" s="8" t="s">
        <v>1700</v>
      </c>
      <c r="D113" s="18" t="s">
        <v>1685</v>
      </c>
      <c r="E113" s="18" t="s">
        <v>1680</v>
      </c>
      <c r="F113" s="18" t="s">
        <v>1663</v>
      </c>
      <c r="G113" s="8" t="s">
        <v>1637</v>
      </c>
      <c r="H113" s="18" t="s">
        <v>2092</v>
      </c>
      <c r="I113" s="18" t="s">
        <v>1654</v>
      </c>
      <c r="J113" s="33" t="s">
        <v>1594</v>
      </c>
      <c r="K113" s="294" t="s">
        <v>1664</v>
      </c>
      <c r="L113" s="8" t="s">
        <v>1655</v>
      </c>
      <c r="M113" s="8" t="s">
        <v>2149</v>
      </c>
      <c r="N113" s="8" t="s">
        <v>2150</v>
      </c>
      <c r="O113" s="29"/>
      <c r="P113" s="29"/>
    </row>
    <row r="115">
      <c r="H115" s="104" t="s">
        <v>2109</v>
      </c>
      <c r="N115" s="29"/>
      <c r="O115" s="29"/>
      <c r="P115" s="29"/>
    </row>
    <row r="116">
      <c r="B116" s="52" t="s">
        <v>2152</v>
      </c>
      <c r="C116" s="104">
        <v>0.1</v>
      </c>
      <c r="D116" s="104">
        <v>1.0</v>
      </c>
      <c r="E116" s="104">
        <v>5.0</v>
      </c>
      <c r="F116" s="104">
        <v>10.0</v>
      </c>
      <c r="G116" s="104">
        <v>15.0</v>
      </c>
      <c r="H116" s="104">
        <v>20.0</v>
      </c>
      <c r="I116" s="104">
        <v>30.0</v>
      </c>
      <c r="J116" s="104">
        <v>40.0</v>
      </c>
      <c r="K116" s="104">
        <v>50.0</v>
      </c>
      <c r="L116" s="104">
        <v>100.0</v>
      </c>
      <c r="M116" s="104">
        <v>500.0</v>
      </c>
      <c r="N116" s="104">
        <v>1000.0</v>
      </c>
      <c r="O116" s="104">
        <v>5000.0</v>
      </c>
      <c r="P116" s="104">
        <v>10000.0</v>
      </c>
    </row>
    <row r="117">
      <c r="B117" s="2" t="s">
        <v>2111</v>
      </c>
      <c r="C117" s="298" t="s">
        <v>2144</v>
      </c>
      <c r="D117" s="298" t="s">
        <v>2123</v>
      </c>
      <c r="E117" s="298" t="s">
        <v>2125</v>
      </c>
      <c r="F117" s="298" t="s">
        <v>2112</v>
      </c>
      <c r="H117" s="29"/>
      <c r="J117" s="29"/>
      <c r="K117" s="298" t="s">
        <v>2113</v>
      </c>
      <c r="L117" s="297">
        <v>5.0</v>
      </c>
      <c r="M117" s="297">
        <v>4.0</v>
      </c>
      <c r="N117" s="297">
        <v>3.0</v>
      </c>
      <c r="O117" s="297">
        <v>2.0</v>
      </c>
      <c r="P117" s="297">
        <v>1.0</v>
      </c>
    </row>
    <row r="118">
      <c r="B118" s="2" t="s">
        <v>2114</v>
      </c>
      <c r="C118" s="298" t="s">
        <v>2144</v>
      </c>
      <c r="D118" s="298" t="s">
        <v>2123</v>
      </c>
      <c r="E118" s="298" t="s">
        <v>2125</v>
      </c>
      <c r="F118" s="298" t="s">
        <v>2112</v>
      </c>
      <c r="G118" s="29"/>
      <c r="H118" s="29"/>
      <c r="J118" s="29"/>
      <c r="K118" s="298" t="s">
        <v>2113</v>
      </c>
      <c r="L118" s="297">
        <v>5.0</v>
      </c>
      <c r="M118" s="297">
        <v>4.0</v>
      </c>
      <c r="N118" s="297">
        <v>3.0</v>
      </c>
      <c r="O118" s="297">
        <v>1.0</v>
      </c>
      <c r="P118" s="297">
        <v>0.0</v>
      </c>
    </row>
    <row r="119">
      <c r="B119" s="2" t="s">
        <v>1443</v>
      </c>
      <c r="C119" s="298" t="s">
        <v>2144</v>
      </c>
      <c r="D119" s="298" t="s">
        <v>2112</v>
      </c>
      <c r="E119" s="298" t="s">
        <v>2124</v>
      </c>
      <c r="F119" s="29"/>
      <c r="G119" s="29"/>
      <c r="H119" s="29"/>
      <c r="I119" s="29"/>
    </row>
    <row r="120">
      <c r="B120" s="5" t="s">
        <v>2115</v>
      </c>
      <c r="C120" s="8" t="s">
        <v>1700</v>
      </c>
      <c r="D120" s="18" t="s">
        <v>1685</v>
      </c>
      <c r="E120" s="18" t="s">
        <v>2090</v>
      </c>
      <c r="F120" s="18" t="s">
        <v>2156</v>
      </c>
      <c r="H120" s="18" t="s">
        <v>1680</v>
      </c>
      <c r="I120" s="18"/>
      <c r="J120" s="18"/>
      <c r="K120" s="18" t="s">
        <v>1663</v>
      </c>
      <c r="L120" s="18" t="s">
        <v>1637</v>
      </c>
      <c r="M120" s="8" t="s">
        <v>2092</v>
      </c>
      <c r="N120" s="8" t="s">
        <v>1654</v>
      </c>
      <c r="O120" s="8" t="s">
        <v>1594</v>
      </c>
      <c r="P120" s="8" t="s">
        <v>1664</v>
      </c>
    </row>
    <row r="121">
      <c r="B121" s="293" t="s">
        <v>2116</v>
      </c>
      <c r="C121" s="8" t="s">
        <v>1700</v>
      </c>
      <c r="D121" s="18" t="s">
        <v>1685</v>
      </c>
      <c r="E121" s="18" t="s">
        <v>2090</v>
      </c>
      <c r="F121" s="18" t="s">
        <v>2156</v>
      </c>
      <c r="G121" s="8"/>
      <c r="H121" s="18" t="s">
        <v>1680</v>
      </c>
      <c r="I121" s="18"/>
      <c r="J121" s="33"/>
      <c r="K121" s="18" t="s">
        <v>1663</v>
      </c>
      <c r="L121" s="18" t="s">
        <v>1637</v>
      </c>
      <c r="M121" s="8" t="s">
        <v>2092</v>
      </c>
      <c r="N121" s="8" t="s">
        <v>1654</v>
      </c>
      <c r="O121" s="8" t="s">
        <v>1664</v>
      </c>
      <c r="P121" s="8" t="s">
        <v>2093</v>
      </c>
    </row>
    <row r="123">
      <c r="B123" s="229"/>
      <c r="C123" s="229"/>
      <c r="D123" s="229"/>
      <c r="E123" s="229"/>
      <c r="F123" s="229"/>
      <c r="G123" s="303" t="s">
        <v>1461</v>
      </c>
      <c r="J123" s="229"/>
      <c r="K123" s="229"/>
      <c r="L123" s="229"/>
      <c r="M123" s="229"/>
      <c r="N123" s="229"/>
      <c r="O123" s="229"/>
      <c r="P123" s="229"/>
      <c r="R123" s="52"/>
    </row>
    <row r="124">
      <c r="B124" s="229"/>
      <c r="C124" s="304" t="s">
        <v>2068</v>
      </c>
      <c r="D124" s="304" t="s">
        <v>2038</v>
      </c>
      <c r="E124" s="304" t="s">
        <v>1188</v>
      </c>
      <c r="F124" s="304" t="s">
        <v>2010</v>
      </c>
      <c r="G124" s="304" t="s">
        <v>2161</v>
      </c>
      <c r="H124" s="304" t="s">
        <v>2162</v>
      </c>
      <c r="I124" s="304" t="s">
        <v>2041</v>
      </c>
      <c r="J124" s="304" t="s">
        <v>2163</v>
      </c>
      <c r="K124" s="304" t="s">
        <v>2042</v>
      </c>
      <c r="L124" s="304" t="s">
        <v>2071</v>
      </c>
      <c r="M124" s="304" t="s">
        <v>1530</v>
      </c>
      <c r="N124" s="304" t="s">
        <v>2164</v>
      </c>
      <c r="O124" s="269" t="s">
        <v>2072</v>
      </c>
      <c r="P124" s="229"/>
    </row>
    <row r="125">
      <c r="B125" s="305" t="s">
        <v>2166</v>
      </c>
      <c r="C125" s="306">
        <v>-5.0</v>
      </c>
      <c r="D125" s="306">
        <v>-4.0</v>
      </c>
      <c r="E125" s="306">
        <v>-3.0</v>
      </c>
      <c r="F125" s="306">
        <v>-2.0</v>
      </c>
      <c r="G125" s="306">
        <v>-1.0</v>
      </c>
      <c r="H125" s="306">
        <v>0.0</v>
      </c>
      <c r="I125" s="306">
        <v>1.0</v>
      </c>
      <c r="J125" s="307">
        <v>2.0</v>
      </c>
      <c r="K125" s="307">
        <v>3.0</v>
      </c>
      <c r="L125" s="307">
        <v>4.0</v>
      </c>
      <c r="M125" s="307">
        <v>5.0</v>
      </c>
      <c r="N125" s="307">
        <v>6.0</v>
      </c>
      <c r="O125" s="273">
        <v>7.0</v>
      </c>
      <c r="P125" s="229"/>
    </row>
    <row r="126">
      <c r="B126" s="308" t="s">
        <v>2167</v>
      </c>
      <c r="C126" s="273" t="s">
        <v>2119</v>
      </c>
      <c r="D126" s="307" t="s">
        <v>1913</v>
      </c>
      <c r="E126" s="307" t="s">
        <v>1514</v>
      </c>
      <c r="F126" s="307" t="s">
        <v>394</v>
      </c>
      <c r="G126" s="307" t="s">
        <v>1994</v>
      </c>
      <c r="H126" s="307" t="s">
        <v>2059</v>
      </c>
      <c r="I126" s="307" t="s">
        <v>2081</v>
      </c>
      <c r="J126" s="310"/>
      <c r="K126" s="229"/>
      <c r="L126" s="229"/>
      <c r="M126" s="229"/>
      <c r="N126" s="229"/>
      <c r="O126" s="229"/>
      <c r="P126" s="229"/>
    </row>
    <row r="127">
      <c r="B127" s="311" t="s">
        <v>2089</v>
      </c>
      <c r="C127" s="307" t="s">
        <v>1663</v>
      </c>
      <c r="D127" s="307" t="s">
        <v>1637</v>
      </c>
      <c r="E127" s="307" t="s">
        <v>2092</v>
      </c>
      <c r="F127" s="307" t="s">
        <v>1654</v>
      </c>
      <c r="G127" s="307" t="s">
        <v>1594</v>
      </c>
      <c r="H127" s="307">
        <v>1.0</v>
      </c>
      <c r="I127" s="307" t="s">
        <v>2093</v>
      </c>
      <c r="J127" s="307" t="s">
        <v>1776</v>
      </c>
      <c r="K127" s="307" t="s">
        <v>1750</v>
      </c>
      <c r="L127" s="307" t="s">
        <v>1665</v>
      </c>
      <c r="M127" s="307" t="s">
        <v>1679</v>
      </c>
      <c r="N127" s="307" t="s">
        <v>1655</v>
      </c>
      <c r="O127" s="229"/>
      <c r="P127" s="310"/>
    </row>
    <row r="128">
      <c r="B128" s="227" t="s">
        <v>1913</v>
      </c>
      <c r="C128" s="310"/>
      <c r="D128" s="229"/>
      <c r="E128" s="227">
        <v>100.0</v>
      </c>
      <c r="F128" s="227">
        <v>15.0</v>
      </c>
      <c r="G128" s="227">
        <v>1.0</v>
      </c>
      <c r="H128" s="312">
        <v>0.1</v>
      </c>
      <c r="I128" s="227">
        <v>0.01</v>
      </c>
      <c r="J128" s="227">
        <v>0.001</v>
      </c>
      <c r="K128" s="229"/>
      <c r="L128" s="229"/>
      <c r="M128" s="313" t="str">
        <f t="shared" ref="M128:M130" si="9">100/R129</f>
        <v>#DIV/0!</v>
      </c>
      <c r="N128" s="229"/>
      <c r="O128" s="229"/>
      <c r="P128" s="310"/>
    </row>
    <row r="129">
      <c r="B129" s="314" t="s">
        <v>1514</v>
      </c>
      <c r="C129" s="229"/>
      <c r="D129" s="229"/>
      <c r="E129" s="227">
        <f t="shared" ref="E129:F129" si="7">E128*$G129</f>
        <v>200</v>
      </c>
      <c r="F129" s="227">
        <f t="shared" si="7"/>
        <v>30</v>
      </c>
      <c r="G129" s="227">
        <v>2.0</v>
      </c>
      <c r="H129" s="227">
        <f t="shared" ref="H129:J129" si="8">H128*$G129</f>
        <v>0.2</v>
      </c>
      <c r="I129" s="227">
        <f t="shared" si="8"/>
        <v>0.02</v>
      </c>
      <c r="J129" s="227">
        <f t="shared" si="8"/>
        <v>0.002</v>
      </c>
      <c r="K129" s="229"/>
      <c r="L129" s="229"/>
      <c r="M129" s="313" t="str">
        <f t="shared" si="9"/>
        <v>#DIV/0!</v>
      </c>
      <c r="N129" s="229"/>
      <c r="O129" s="229"/>
      <c r="P129" s="229"/>
    </row>
    <row r="130">
      <c r="B130" s="315" t="s">
        <v>394</v>
      </c>
      <c r="C130" s="310"/>
      <c r="D130" s="229"/>
      <c r="E130" s="227">
        <f t="shared" ref="E130:F130" si="10">E129*$G130</f>
        <v>1200</v>
      </c>
      <c r="F130" s="227">
        <f t="shared" si="10"/>
        <v>180</v>
      </c>
      <c r="G130" s="227">
        <v>6.0</v>
      </c>
      <c r="H130" s="227">
        <f t="shared" ref="H130:J130" si="11">H129*$G130</f>
        <v>1.2</v>
      </c>
      <c r="I130" s="227">
        <f t="shared" si="11"/>
        <v>0.12</v>
      </c>
      <c r="J130" s="227">
        <f t="shared" si="11"/>
        <v>0.012</v>
      </c>
      <c r="K130" s="229"/>
      <c r="L130" s="229"/>
      <c r="M130" s="313" t="str">
        <f t="shared" si="9"/>
        <v>#DIV/0!</v>
      </c>
      <c r="N130" s="229"/>
      <c r="O130" s="229"/>
      <c r="P130" s="229"/>
    </row>
    <row r="131">
      <c r="B131" s="310"/>
      <c r="C131" s="310"/>
      <c r="D131" s="229"/>
      <c r="E131" s="229"/>
      <c r="F131" s="229"/>
      <c r="G131" s="229"/>
      <c r="H131" s="229"/>
      <c r="I131" s="229"/>
      <c r="J131" s="229"/>
      <c r="K131" s="229"/>
      <c r="L131" s="229"/>
      <c r="M131" s="316"/>
      <c r="N131" s="229"/>
      <c r="O131" s="229"/>
      <c r="P131" s="229"/>
    </row>
    <row r="132">
      <c r="B132" s="305" t="s">
        <v>2178</v>
      </c>
      <c r="C132" s="308" t="s">
        <v>1461</v>
      </c>
      <c r="D132" s="229"/>
      <c r="E132" s="229"/>
      <c r="F132" s="229"/>
      <c r="G132" s="229"/>
      <c r="H132" s="229"/>
      <c r="I132" s="317" t="s">
        <v>2179</v>
      </c>
      <c r="J132" s="229"/>
      <c r="K132" s="229"/>
      <c r="L132" s="229"/>
      <c r="M132" s="229"/>
      <c r="N132" s="229"/>
      <c r="O132" s="229"/>
      <c r="P132" s="229"/>
    </row>
    <row r="133">
      <c r="B133" s="318" t="s">
        <v>2180</v>
      </c>
      <c r="C133" s="319" t="s">
        <v>2181</v>
      </c>
      <c r="D133" s="229"/>
      <c r="E133" s="229"/>
      <c r="F133" s="229"/>
      <c r="G133" s="229"/>
      <c r="H133" s="229"/>
      <c r="I133" s="229"/>
      <c r="J133" s="320" t="s">
        <v>2182</v>
      </c>
      <c r="K133" s="229"/>
      <c r="L133" s="229"/>
      <c r="M133" s="229"/>
      <c r="N133" s="310"/>
      <c r="O133" s="310"/>
      <c r="P133" s="310"/>
    </row>
    <row r="134">
      <c r="B134" s="321" t="s">
        <v>2184</v>
      </c>
      <c r="C134" s="322" t="s">
        <v>186</v>
      </c>
      <c r="D134" s="229"/>
      <c r="E134" s="229"/>
      <c r="F134" s="229"/>
      <c r="G134" s="229"/>
      <c r="H134" s="229"/>
      <c r="I134" s="229"/>
      <c r="J134" s="320" t="s">
        <v>2187</v>
      </c>
      <c r="K134" s="229"/>
      <c r="L134" s="229"/>
      <c r="M134" s="310"/>
      <c r="N134" s="310"/>
      <c r="O134" s="310"/>
      <c r="P134" s="310"/>
    </row>
    <row r="135">
      <c r="B135" s="318" t="s">
        <v>2188</v>
      </c>
      <c r="C135" s="323" t="s">
        <v>2189</v>
      </c>
      <c r="D135" s="229"/>
      <c r="E135" s="229"/>
      <c r="F135" s="229"/>
      <c r="G135" s="229"/>
      <c r="H135" s="229"/>
      <c r="I135" s="229"/>
      <c r="J135" s="320" t="s">
        <v>2190</v>
      </c>
      <c r="K135" s="229"/>
      <c r="L135" s="229"/>
      <c r="M135" s="229"/>
      <c r="N135" s="229"/>
      <c r="O135" s="229"/>
      <c r="P135" s="229"/>
    </row>
    <row r="136">
      <c r="B136" s="228" t="s">
        <v>2191</v>
      </c>
      <c r="C136" s="324" t="s">
        <v>2192</v>
      </c>
      <c r="D136" s="310"/>
      <c r="E136" s="310"/>
      <c r="F136" s="310"/>
      <c r="G136" s="310"/>
      <c r="H136" s="310"/>
      <c r="I136" s="310"/>
      <c r="J136" s="325" t="s">
        <v>2194</v>
      </c>
      <c r="K136" s="310"/>
      <c r="L136" s="310"/>
      <c r="M136" s="229"/>
      <c r="N136" s="229"/>
      <c r="O136" s="229"/>
      <c r="P136" s="229"/>
    </row>
    <row r="137">
      <c r="B137" s="318" t="s">
        <v>2196</v>
      </c>
      <c r="C137" s="319" t="s">
        <v>2068</v>
      </c>
      <c r="D137" s="310"/>
      <c r="E137" s="310"/>
      <c r="F137" s="229"/>
      <c r="G137" s="229"/>
      <c r="H137" s="229"/>
      <c r="I137" s="229"/>
      <c r="J137" s="229"/>
      <c r="K137" s="320" t="s">
        <v>2197</v>
      </c>
      <c r="L137" s="229"/>
      <c r="M137" s="229"/>
      <c r="N137" s="229"/>
      <c r="O137" s="229"/>
      <c r="P137" s="229"/>
    </row>
    <row r="138">
      <c r="B138" s="310"/>
      <c r="C138" s="310"/>
      <c r="D138" s="310"/>
      <c r="E138" s="326"/>
      <c r="F138" s="229"/>
      <c r="G138" s="229"/>
      <c r="H138" s="229"/>
      <c r="I138" s="229"/>
      <c r="J138" s="229"/>
      <c r="K138" s="320" t="s">
        <v>2199</v>
      </c>
      <c r="L138" s="229"/>
      <c r="M138" s="229"/>
      <c r="N138" s="229"/>
      <c r="O138" s="229"/>
      <c r="P138" s="229"/>
    </row>
    <row r="139">
      <c r="B139" s="305" t="s">
        <v>2200</v>
      </c>
      <c r="C139" s="308" t="s">
        <v>1461</v>
      </c>
      <c r="D139" s="308" t="s">
        <v>2201</v>
      </c>
      <c r="E139" s="328" t="s">
        <v>1939</v>
      </c>
      <c r="F139" s="229"/>
      <c r="G139" s="229"/>
      <c r="H139" s="229"/>
      <c r="I139" s="229"/>
      <c r="J139" s="320" t="s">
        <v>2202</v>
      </c>
      <c r="K139" s="229"/>
      <c r="L139" s="229"/>
      <c r="M139" s="229"/>
      <c r="N139" s="229"/>
      <c r="O139" s="229"/>
      <c r="P139" s="229"/>
    </row>
    <row r="140">
      <c r="B140" s="321" t="s">
        <v>2203</v>
      </c>
      <c r="C140" s="307" t="s">
        <v>2204</v>
      </c>
      <c r="D140" s="307">
        <v>10.0</v>
      </c>
      <c r="E140" s="329">
        <v>0.01</v>
      </c>
      <c r="F140" s="229"/>
      <c r="G140" s="229"/>
      <c r="H140" s="229"/>
      <c r="I140" s="229"/>
      <c r="J140" s="229"/>
      <c r="K140" s="229"/>
      <c r="L140" s="229"/>
      <c r="M140" s="229"/>
      <c r="N140" s="316"/>
      <c r="O140" s="229"/>
      <c r="P140" s="229"/>
    </row>
    <row r="141">
      <c r="B141" s="330" t="s">
        <v>2205</v>
      </c>
      <c r="C141" s="331" t="s">
        <v>2206</v>
      </c>
      <c r="D141" s="332">
        <v>50.0</v>
      </c>
      <c r="E141" s="333">
        <v>0.01</v>
      </c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</row>
    <row r="142">
      <c r="B142" s="228" t="s">
        <v>1408</v>
      </c>
      <c r="C142" s="322" t="s">
        <v>186</v>
      </c>
      <c r="D142" s="307">
        <v>1.0</v>
      </c>
      <c r="E142" s="329">
        <v>0.01</v>
      </c>
      <c r="F142" s="229"/>
      <c r="G142" s="310"/>
      <c r="H142" s="310"/>
      <c r="I142" s="310"/>
      <c r="J142" s="310"/>
      <c r="K142" s="310"/>
      <c r="L142" s="229"/>
      <c r="M142" s="229"/>
      <c r="N142" s="316"/>
      <c r="O142" s="316"/>
      <c r="P142" s="229"/>
    </row>
    <row r="143">
      <c r="B143" s="310"/>
      <c r="C143" s="310"/>
      <c r="D143" s="310"/>
      <c r="E143" s="310"/>
      <c r="F143" s="229"/>
      <c r="G143" s="310"/>
      <c r="H143" s="310"/>
      <c r="I143" s="310"/>
      <c r="J143" s="310"/>
      <c r="K143" s="310"/>
      <c r="L143" s="229"/>
      <c r="M143" s="229"/>
      <c r="N143" s="310"/>
      <c r="O143" s="229"/>
      <c r="P143" s="229"/>
    </row>
    <row r="144">
      <c r="B144" s="310"/>
      <c r="C144" s="310"/>
      <c r="D144" s="310"/>
      <c r="E144" s="307" t="s">
        <v>36</v>
      </c>
      <c r="F144" s="229"/>
      <c r="G144" s="307" t="s">
        <v>1399</v>
      </c>
      <c r="H144" s="273" t="s">
        <v>65</v>
      </c>
      <c r="I144" s="273" t="s">
        <v>43</v>
      </c>
      <c r="J144" s="307" t="s">
        <v>689</v>
      </c>
      <c r="K144" s="307" t="s">
        <v>150</v>
      </c>
      <c r="L144" s="229"/>
      <c r="M144" s="229"/>
      <c r="N144" s="310"/>
      <c r="O144" s="229"/>
      <c r="P144" s="229"/>
    </row>
    <row r="145">
      <c r="B145" s="305" t="s">
        <v>2207</v>
      </c>
      <c r="C145" s="308" t="s">
        <v>1461</v>
      </c>
      <c r="D145" s="308" t="s">
        <v>1937</v>
      </c>
      <c r="E145" s="308" t="s">
        <v>73</v>
      </c>
      <c r="F145" s="310"/>
      <c r="G145" s="308" t="s">
        <v>2208</v>
      </c>
      <c r="H145" s="311" t="s">
        <v>71</v>
      </c>
      <c r="I145" s="311" t="s">
        <v>1939</v>
      </c>
      <c r="J145" s="308" t="s">
        <v>2209</v>
      </c>
      <c r="K145" s="334" t="s">
        <v>739</v>
      </c>
      <c r="L145" s="229"/>
      <c r="M145" s="229"/>
      <c r="N145" s="229"/>
      <c r="O145" s="229"/>
      <c r="P145" s="229"/>
    </row>
    <row r="146">
      <c r="B146" s="321" t="s">
        <v>1816</v>
      </c>
      <c r="C146" s="307" t="s">
        <v>2204</v>
      </c>
      <c r="D146" s="307">
        <v>0.0</v>
      </c>
      <c r="E146" s="307">
        <v>1.0</v>
      </c>
      <c r="F146" s="229"/>
      <c r="G146" s="307">
        <v>5.0</v>
      </c>
      <c r="H146" s="273">
        <f t="shared" ref="H146:H148" si="12">E146*10</f>
        <v>10</v>
      </c>
      <c r="I146" s="273" t="str">
        <f t="shared" ref="I146:I148" si="13">E146*$C$35/100*$C$33</f>
        <v>#VALUE!</v>
      </c>
      <c r="J146" s="307">
        <v>1064.0</v>
      </c>
      <c r="K146" s="307">
        <v>50.0</v>
      </c>
      <c r="L146" s="229"/>
      <c r="M146" s="229"/>
      <c r="N146" s="229"/>
      <c r="O146" s="229"/>
      <c r="P146" s="229"/>
    </row>
    <row r="147">
      <c r="B147" s="330" t="s">
        <v>1859</v>
      </c>
      <c r="C147" s="331" t="s">
        <v>2189</v>
      </c>
      <c r="D147" s="332">
        <v>1.0</v>
      </c>
      <c r="E147" s="332">
        <v>5.0</v>
      </c>
      <c r="F147" s="335"/>
      <c r="G147" s="332">
        <v>20.0</v>
      </c>
      <c r="H147" s="332">
        <f t="shared" si="12"/>
        <v>50</v>
      </c>
      <c r="I147" s="332" t="str">
        <f t="shared" si="13"/>
        <v>#VALUE!</v>
      </c>
      <c r="J147" s="332">
        <v>1064.0</v>
      </c>
      <c r="K147" s="332">
        <v>50.0</v>
      </c>
      <c r="L147" s="229"/>
      <c r="M147" s="229"/>
      <c r="N147" s="229"/>
      <c r="O147" s="229"/>
      <c r="P147" s="229"/>
    </row>
    <row r="148">
      <c r="B148" s="321" t="s">
        <v>1534</v>
      </c>
      <c r="C148" s="322" t="s">
        <v>2210</v>
      </c>
      <c r="D148" s="307">
        <v>2.0</v>
      </c>
      <c r="E148" s="273">
        <v>10.0</v>
      </c>
      <c r="F148" s="229"/>
      <c r="G148" s="273">
        <v>20.0</v>
      </c>
      <c r="H148" s="273">
        <f t="shared" si="12"/>
        <v>100</v>
      </c>
      <c r="I148" s="273" t="str">
        <f t="shared" si="13"/>
        <v>#VALUE!</v>
      </c>
      <c r="J148" s="273">
        <v>1064.0</v>
      </c>
      <c r="K148" s="273">
        <v>50.0</v>
      </c>
      <c r="L148" s="229"/>
      <c r="M148" s="229"/>
      <c r="N148" s="229"/>
      <c r="O148" s="229"/>
      <c r="P148" s="229"/>
    </row>
  </sheetData>
  <mergeCells count="9">
    <mergeCell ref="H115:J115"/>
    <mergeCell ref="G123:I123"/>
    <mergeCell ref="G3:H3"/>
    <mergeCell ref="F11:G11"/>
    <mergeCell ref="H34:J34"/>
    <mergeCell ref="H46:J46"/>
    <mergeCell ref="H72:J72"/>
    <mergeCell ref="H80:J80"/>
    <mergeCell ref="H107:J107"/>
  </mergeCells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6.75"/>
    <col customWidth="1" min="4" max="4" width="6.25"/>
    <col customWidth="1" min="5" max="5" width="7.5"/>
    <col customWidth="1" min="6" max="6" width="7.88"/>
    <col customWidth="1" min="7" max="7" width="5.75"/>
    <col customWidth="1" min="8" max="8" width="6.75"/>
    <col customWidth="1" min="9" max="10" width="6.63"/>
    <col customWidth="1" min="11" max="11" width="7.75"/>
    <col customWidth="1" min="12" max="12" width="6.63"/>
    <col customWidth="1" min="13" max="14" width="7.5"/>
    <col customWidth="1" min="15" max="16" width="7.0"/>
    <col customWidth="1" min="17" max="17" width="6.25"/>
    <col customWidth="1" min="18" max="18" width="6.38"/>
  </cols>
  <sheetData>
    <row r="1">
      <c r="C1" s="2"/>
    </row>
    <row r="2">
      <c r="A2" s="29"/>
      <c r="B2" s="29"/>
      <c r="C2" s="8" t="s">
        <v>1083</v>
      </c>
      <c r="D2" s="8"/>
      <c r="E2" s="8" t="s">
        <v>2130</v>
      </c>
      <c r="F2" s="8" t="s">
        <v>1092</v>
      </c>
      <c r="I2" s="8"/>
      <c r="J2" s="8" t="s">
        <v>1092</v>
      </c>
      <c r="K2" s="8" t="s">
        <v>2131</v>
      </c>
      <c r="L2" s="2" t="s">
        <v>1236</v>
      </c>
      <c r="M2" s="8"/>
      <c r="N2" s="8" t="s">
        <v>2132</v>
      </c>
      <c r="O2" s="8" t="s">
        <v>2133</v>
      </c>
      <c r="P2" s="8" t="s">
        <v>496</v>
      </c>
      <c r="Q2" s="8" t="s">
        <v>1759</v>
      </c>
      <c r="R2" s="29"/>
      <c r="S2" s="8" t="s">
        <v>2134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>
      <c r="A3" s="29"/>
      <c r="B3" s="29"/>
      <c r="C3" s="3" t="s">
        <v>13</v>
      </c>
      <c r="D3" s="3"/>
      <c r="E3" s="3" t="s">
        <v>1984</v>
      </c>
      <c r="F3" s="3" t="s">
        <v>688</v>
      </c>
      <c r="J3" s="300" t="s">
        <v>2135</v>
      </c>
      <c r="K3" s="2" t="s">
        <v>1688</v>
      </c>
      <c r="L3" s="2" t="s">
        <v>1779</v>
      </c>
      <c r="M3" s="3"/>
      <c r="N3" s="3" t="s">
        <v>2136</v>
      </c>
      <c r="O3" s="3" t="s">
        <v>2137</v>
      </c>
      <c r="P3" s="3" t="s">
        <v>2138</v>
      </c>
      <c r="Q3" s="3" t="s">
        <v>2139</v>
      </c>
      <c r="R3" s="3" t="s">
        <v>2140</v>
      </c>
      <c r="S3" s="2" t="s">
        <v>2141</v>
      </c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>
      <c r="B4" s="2" t="s">
        <v>2143</v>
      </c>
      <c r="C4" s="2">
        <v>2.3</v>
      </c>
      <c r="D4" s="2"/>
      <c r="F4" s="2">
        <v>45.3</v>
      </c>
      <c r="J4" s="301"/>
      <c r="L4" s="2">
        <v>2076.0</v>
      </c>
      <c r="R4" s="25"/>
    </row>
    <row r="5">
      <c r="B5" s="2" t="s">
        <v>2145</v>
      </c>
      <c r="J5" s="297">
        <f>L5*K5/1000</f>
        <v>0</v>
      </c>
      <c r="K5" s="2">
        <v>3.58</v>
      </c>
      <c r="R5" s="25"/>
    </row>
    <row r="6">
      <c r="B6" s="2" t="s">
        <v>2146</v>
      </c>
      <c r="C6" s="2">
        <v>2.7</v>
      </c>
      <c r="E6" s="2">
        <v>0.5</v>
      </c>
      <c r="J6" s="301"/>
      <c r="O6" s="2">
        <v>90.0</v>
      </c>
      <c r="R6" s="25"/>
    </row>
    <row r="7">
      <c r="B7" s="2" t="s">
        <v>1523</v>
      </c>
      <c r="J7" s="301"/>
      <c r="M7" s="2"/>
      <c r="N7" s="2">
        <v>100.0</v>
      </c>
      <c r="R7" s="25"/>
    </row>
    <row r="8">
      <c r="B8" s="2" t="s">
        <v>2147</v>
      </c>
      <c r="C8" s="2">
        <v>0.16</v>
      </c>
      <c r="J8" s="301"/>
      <c r="R8" s="25"/>
    </row>
    <row r="9">
      <c r="B9" s="2" t="s">
        <v>2148</v>
      </c>
      <c r="C9" s="2">
        <v>10.0</v>
      </c>
      <c r="J9" s="301"/>
      <c r="R9" s="25"/>
    </row>
    <row r="10">
      <c r="B10" s="2" t="s">
        <v>2151</v>
      </c>
      <c r="C10" s="2">
        <v>2.0</v>
      </c>
      <c r="F10" s="2">
        <v>30.0</v>
      </c>
      <c r="J10" s="297"/>
      <c r="K10" s="2">
        <v>1.0</v>
      </c>
      <c r="O10" s="2">
        <v>300.0</v>
      </c>
      <c r="R10" s="25"/>
    </row>
    <row r="11">
      <c r="B11" s="2" t="s">
        <v>1543</v>
      </c>
      <c r="C11" s="2">
        <v>3.5</v>
      </c>
      <c r="E11" s="2">
        <v>2.8</v>
      </c>
      <c r="F11" s="2">
        <v>30.0</v>
      </c>
      <c r="J11" s="297">
        <f>L11*K11/1000</f>
        <v>2.7</v>
      </c>
      <c r="K11" s="2">
        <v>0.6</v>
      </c>
      <c r="L11" s="2">
        <v>4500.0</v>
      </c>
      <c r="M11" s="2"/>
      <c r="N11" s="2">
        <v>2.0</v>
      </c>
      <c r="O11" s="2">
        <v>20000.0</v>
      </c>
      <c r="Q11" s="2">
        <v>1050.0</v>
      </c>
      <c r="R11" s="25">
        <f>(O11/2+E11/2)^2/(2*1000*Q11)</f>
        <v>47.63238189</v>
      </c>
      <c r="T11" s="2" t="s">
        <v>2153</v>
      </c>
    </row>
    <row r="12">
      <c r="J12" s="297"/>
    </row>
    <row r="13">
      <c r="A13" s="2"/>
      <c r="B13" s="2" t="s">
        <v>2154</v>
      </c>
      <c r="J13" s="297"/>
      <c r="K13" s="2">
        <v>1.0</v>
      </c>
      <c r="T13" s="2"/>
    </row>
    <row r="14">
      <c r="A14" s="2"/>
      <c r="J14" s="301"/>
      <c r="T14" s="2"/>
    </row>
    <row r="15">
      <c r="A15" s="2" t="s">
        <v>72</v>
      </c>
      <c r="B15" s="2" t="s">
        <v>2155</v>
      </c>
      <c r="C15" s="2">
        <v>1.8</v>
      </c>
      <c r="E15" s="2">
        <v>5.6</v>
      </c>
      <c r="J15" s="301"/>
      <c r="T15" s="2" t="s">
        <v>2157</v>
      </c>
    </row>
    <row r="16">
      <c r="B16" s="2" t="s">
        <v>2158</v>
      </c>
      <c r="C16" s="2">
        <v>1.8</v>
      </c>
      <c r="J16" s="301"/>
      <c r="T16" s="2" t="s">
        <v>2159</v>
      </c>
    </row>
    <row r="17">
      <c r="B17" s="2" t="s">
        <v>2160</v>
      </c>
      <c r="C17" s="2">
        <v>0.5</v>
      </c>
      <c r="F17" s="25"/>
      <c r="J17" s="302">
        <f>L17*K17/1000</f>
        <v>4.77752</v>
      </c>
      <c r="K17" s="2">
        <v>3.56</v>
      </c>
      <c r="L17" s="2">
        <v>1342.0</v>
      </c>
    </row>
    <row r="18">
      <c r="J18" s="301"/>
    </row>
    <row r="19">
      <c r="A19" s="2" t="s">
        <v>471</v>
      </c>
      <c r="B19" s="2" t="s">
        <v>1514</v>
      </c>
      <c r="C19" s="2">
        <v>8.0</v>
      </c>
      <c r="E19" s="2">
        <v>0.45</v>
      </c>
      <c r="F19" s="2">
        <v>7.5</v>
      </c>
      <c r="J19" s="297">
        <f>L19*K19/1000</f>
        <v>0.75</v>
      </c>
      <c r="K19" s="2">
        <v>0.5</v>
      </c>
      <c r="L19" s="2">
        <v>1500.0</v>
      </c>
      <c r="M19" s="2"/>
      <c r="N19" s="2">
        <v>40.0</v>
      </c>
      <c r="O19" s="2">
        <v>1000.0</v>
      </c>
      <c r="P19" s="2">
        <v>50.0</v>
      </c>
      <c r="Q19" s="2">
        <v>200.0</v>
      </c>
      <c r="R19" s="25">
        <f t="shared" ref="R19:R20" si="1">E19^2/(2*1000*Q19)</f>
        <v>0.00000050625</v>
      </c>
    </row>
    <row r="20">
      <c r="B20" s="2" t="s">
        <v>2165</v>
      </c>
      <c r="C20" s="2">
        <v>8.0</v>
      </c>
      <c r="E20" s="2">
        <v>0.45</v>
      </c>
      <c r="J20" s="301"/>
      <c r="O20" s="2">
        <v>1500.0</v>
      </c>
      <c r="P20" s="2">
        <v>200.0</v>
      </c>
      <c r="Q20" s="2">
        <v>200.0</v>
      </c>
      <c r="R20" s="25">
        <f t="shared" si="1"/>
        <v>0.00000050625</v>
      </c>
    </row>
    <row r="21">
      <c r="B21" s="2" t="s">
        <v>1834</v>
      </c>
      <c r="C21" s="2">
        <v>4.5</v>
      </c>
      <c r="D21" s="2"/>
      <c r="E21" s="2">
        <v>0.9</v>
      </c>
      <c r="F21" s="2">
        <v>6.97</v>
      </c>
      <c r="J21" s="309">
        <f>L21*K21/1000</f>
        <v>0.86736</v>
      </c>
      <c r="K21" s="2">
        <v>0.52</v>
      </c>
      <c r="L21" s="167">
        <v>1668.0</v>
      </c>
      <c r="O21" s="2">
        <v>1400.0</v>
      </c>
    </row>
    <row r="22">
      <c r="B22" s="2" t="s">
        <v>2168</v>
      </c>
      <c r="C22" s="2">
        <v>8.0</v>
      </c>
      <c r="E22" s="2">
        <v>1.5</v>
      </c>
      <c r="F22" s="2"/>
      <c r="J22" s="301"/>
      <c r="O22" s="2">
        <v>1000.0</v>
      </c>
      <c r="P22" s="2">
        <v>450.0</v>
      </c>
      <c r="Q22" s="2">
        <v>200.0</v>
      </c>
      <c r="R22" s="25">
        <f t="shared" ref="R22:R23" si="2">(O22/2+E22/2)^2/(2*1000*Q22)</f>
        <v>0.6268764063</v>
      </c>
    </row>
    <row r="23">
      <c r="B23" s="2" t="s">
        <v>2169</v>
      </c>
      <c r="C23" s="2">
        <v>8.0</v>
      </c>
      <c r="E23" s="2">
        <v>1.6</v>
      </c>
      <c r="J23" s="301"/>
      <c r="M23" s="2"/>
      <c r="N23" s="2">
        <v>150.0</v>
      </c>
      <c r="O23" s="2">
        <v>1500.0</v>
      </c>
      <c r="P23" s="2">
        <v>300.0</v>
      </c>
      <c r="Q23" s="2">
        <v>200.0</v>
      </c>
      <c r="R23" s="25">
        <f t="shared" si="2"/>
        <v>1.4092516</v>
      </c>
      <c r="T23" s="2" t="s">
        <v>2170</v>
      </c>
    </row>
    <row r="24">
      <c r="B24" s="2"/>
      <c r="C24" s="2"/>
      <c r="E24" s="2"/>
      <c r="F24" s="2"/>
      <c r="J24" s="301"/>
      <c r="M24" s="2"/>
      <c r="N24" s="2"/>
      <c r="O24" s="2"/>
      <c r="Q24" s="2"/>
      <c r="R24" s="25"/>
      <c r="T24" s="2"/>
    </row>
    <row r="25">
      <c r="A25" s="2" t="s">
        <v>619</v>
      </c>
      <c r="B25" s="2" t="s">
        <v>2171</v>
      </c>
      <c r="E25" s="2">
        <v>3.6</v>
      </c>
      <c r="J25" s="301"/>
      <c r="S25" s="2">
        <v>100.0</v>
      </c>
      <c r="T25" s="2" t="s">
        <v>2172</v>
      </c>
    </row>
    <row r="26">
      <c r="B26" s="2" t="s">
        <v>2173</v>
      </c>
      <c r="C26" s="2"/>
      <c r="E26" s="2">
        <v>4.0</v>
      </c>
      <c r="F26" s="2">
        <v>5.0</v>
      </c>
      <c r="J26" s="297">
        <f t="shared" ref="J26:J27" si="3">L26*K26/1000</f>
        <v>0.536</v>
      </c>
      <c r="K26" s="2">
        <v>1.34</v>
      </c>
      <c r="L26" s="2">
        <v>400.0</v>
      </c>
      <c r="M26" s="2"/>
      <c r="N26" s="2"/>
      <c r="O26" s="2"/>
      <c r="Q26" s="2"/>
      <c r="R26" s="25"/>
      <c r="S26" s="2">
        <v>100.0</v>
      </c>
      <c r="T26" s="2"/>
    </row>
    <row r="27">
      <c r="B27" s="2" t="s">
        <v>2174</v>
      </c>
      <c r="C27" s="2">
        <v>2.0</v>
      </c>
      <c r="E27" s="2">
        <v>3.5</v>
      </c>
      <c r="F27" s="67">
        <v>6.0</v>
      </c>
      <c r="J27" s="297">
        <f t="shared" si="3"/>
        <v>0.68</v>
      </c>
      <c r="K27" s="2">
        <v>1.7</v>
      </c>
      <c r="L27" s="2">
        <v>400.0</v>
      </c>
      <c r="M27" s="2"/>
      <c r="N27" s="2">
        <v>50.0</v>
      </c>
      <c r="O27" s="2">
        <v>1800.0</v>
      </c>
      <c r="Q27" s="2">
        <v>220.0</v>
      </c>
      <c r="R27" s="25">
        <f>(O27/2+E27/2)^2/(2*1000*Q27)</f>
        <v>1.848075142</v>
      </c>
      <c r="T27" s="2" t="s">
        <v>2175</v>
      </c>
    </row>
    <row r="28">
      <c r="B28" s="2" t="s">
        <v>2176</v>
      </c>
      <c r="C28" s="74">
        <f>C21/3</f>
        <v>1.5</v>
      </c>
      <c r="E28" s="2">
        <v>5.0</v>
      </c>
      <c r="J28" s="301"/>
      <c r="O28" s="2">
        <v>1000.0</v>
      </c>
    </row>
    <row r="29">
      <c r="B29" s="2" t="s">
        <v>2177</v>
      </c>
      <c r="C29" s="2">
        <v>1.5</v>
      </c>
      <c r="E29" s="2">
        <v>100.0</v>
      </c>
      <c r="F29">
        <f t="shared" ref="F29:F30" si="4">10*J29</f>
        <v>60</v>
      </c>
      <c r="J29" s="297">
        <f t="shared" ref="J29:J30" si="5">L29*K29/1000</f>
        <v>6</v>
      </c>
      <c r="K29" s="2">
        <v>1.5</v>
      </c>
      <c r="L29" s="2">
        <v>4000.0</v>
      </c>
      <c r="Q29" s="2">
        <v>1000.0</v>
      </c>
      <c r="R29" s="74">
        <f>E28^2/(2*1000*Q29)</f>
        <v>0.0000125</v>
      </c>
    </row>
    <row r="30">
      <c r="B30" s="2" t="s">
        <v>159</v>
      </c>
      <c r="C30" s="2"/>
      <c r="E30" s="2">
        <v>130.0</v>
      </c>
      <c r="F30">
        <f t="shared" si="4"/>
        <v>25</v>
      </c>
      <c r="G30" s="8"/>
      <c r="J30" s="297">
        <f t="shared" si="5"/>
        <v>2.5</v>
      </c>
      <c r="K30" s="2">
        <v>1.0</v>
      </c>
      <c r="L30" s="2">
        <v>2500.0</v>
      </c>
      <c r="R30" s="25"/>
      <c r="T30" s="2" t="s">
        <v>2183</v>
      </c>
    </row>
    <row r="31">
      <c r="G31" s="8"/>
      <c r="J31" s="301"/>
      <c r="T31" s="2" t="s">
        <v>2185</v>
      </c>
    </row>
    <row r="32">
      <c r="A32" s="2" t="s">
        <v>2186</v>
      </c>
      <c r="B32" s="2" t="s">
        <v>2032</v>
      </c>
      <c r="C32" s="2">
        <v>1.5</v>
      </c>
      <c r="E32" s="2">
        <v>200.0</v>
      </c>
      <c r="F32">
        <f t="shared" ref="F32:F33" si="6">10*J32</f>
        <v>100</v>
      </c>
      <c r="G32" s="8"/>
      <c r="J32" s="297">
        <f t="shared" ref="J32:J33" si="7">L32*K32/1000</f>
        <v>10</v>
      </c>
      <c r="K32" s="2">
        <v>2.0</v>
      </c>
      <c r="L32" s="2">
        <v>5000.0</v>
      </c>
      <c r="Q32" s="2">
        <v>1000.0</v>
      </c>
      <c r="R32" s="25">
        <f>(O32/2+E32/2)^2/(2*1000*Q32)</f>
        <v>0.005</v>
      </c>
    </row>
    <row r="33">
      <c r="B33" s="2" t="s">
        <v>2193</v>
      </c>
      <c r="C33" s="2">
        <v>30.0</v>
      </c>
      <c r="E33" s="2">
        <v>10.0</v>
      </c>
      <c r="F33">
        <f t="shared" si="6"/>
        <v>100</v>
      </c>
      <c r="G33" s="8"/>
      <c r="J33" s="297">
        <f t="shared" si="7"/>
        <v>10</v>
      </c>
      <c r="K33" s="2">
        <v>2.0</v>
      </c>
      <c r="L33" s="2">
        <v>5000.0</v>
      </c>
    </row>
    <row r="34">
      <c r="B34" s="2" t="s">
        <v>2195</v>
      </c>
      <c r="C34" s="2">
        <v>8.0</v>
      </c>
      <c r="G34" s="8"/>
    </row>
    <row r="35">
      <c r="B35" s="2" t="s">
        <v>2198</v>
      </c>
      <c r="G35" s="8"/>
    </row>
    <row r="36">
      <c r="B36" s="2" t="s">
        <v>1078</v>
      </c>
      <c r="C36" s="2">
        <v>1.0</v>
      </c>
      <c r="G36" s="8"/>
      <c r="J36" s="327">
        <f>L36*K36/1000</f>
        <v>10</v>
      </c>
      <c r="K36" s="2">
        <v>5.0</v>
      </c>
      <c r="L36" s="2">
        <v>2000.0</v>
      </c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</sheetData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5.88"/>
    <col customWidth="1" min="4" max="4" width="8.25"/>
    <col customWidth="1" min="5" max="5" width="5.25"/>
    <col customWidth="1" min="6" max="6" width="9.0"/>
    <col customWidth="1" min="7" max="7" width="4.13"/>
    <col customWidth="1" min="8" max="8" width="5.63"/>
    <col customWidth="1" min="9" max="9" width="6.63"/>
    <col customWidth="1" min="10" max="12" width="6.38"/>
    <col customWidth="1" min="13" max="13" width="5.5"/>
    <col customWidth="1" min="14" max="14" width="4.38"/>
    <col customWidth="1" min="15" max="15" width="3.25"/>
    <col customWidth="1" min="16" max="16" width="5.88"/>
    <col customWidth="1" min="17" max="17" width="5.75"/>
    <col customWidth="1" min="18" max="18" width="4.88"/>
    <col customWidth="1" min="19" max="19" width="4.38"/>
    <col customWidth="1" min="20" max="20" width="7.88"/>
    <col customWidth="1" min="21" max="21" width="4.75"/>
    <col customWidth="1" min="22" max="22" width="7.13"/>
    <col customWidth="1" min="23" max="23" width="9.5"/>
    <col customWidth="1" min="24" max="24" width="6.75"/>
    <col customWidth="1" min="25" max="25" width="6.0"/>
    <col customWidth="1" min="26" max="26" width="6.5"/>
    <col customWidth="1" min="27" max="27" width="6.25"/>
    <col customWidth="1" min="28" max="28" width="6.0"/>
    <col customWidth="1" min="29" max="29" width="5.0"/>
    <col customWidth="1" min="30" max="30" width="40.25"/>
  </cols>
  <sheetData>
    <row r="4">
      <c r="B4" s="52" t="s">
        <v>2211</v>
      </c>
      <c r="C4" s="2" t="s">
        <v>2212</v>
      </c>
      <c r="E4" s="2" t="s">
        <v>2213</v>
      </c>
      <c r="G4" s="2" t="s">
        <v>2212</v>
      </c>
      <c r="J4" s="2" t="s">
        <v>2214</v>
      </c>
      <c r="K4" s="2" t="s">
        <v>2215</v>
      </c>
      <c r="L4" s="2" t="s">
        <v>2216</v>
      </c>
      <c r="N4" s="2" t="s">
        <v>377</v>
      </c>
      <c r="R4" s="2" t="s">
        <v>13</v>
      </c>
      <c r="V4" s="52" t="s">
        <v>2217</v>
      </c>
      <c r="X4" s="52" t="s">
        <v>2140</v>
      </c>
      <c r="Y4" s="52" t="s">
        <v>2218</v>
      </c>
      <c r="AA4" s="52" t="s">
        <v>2219</v>
      </c>
      <c r="AB4" s="54"/>
      <c r="AC4" s="52" t="s">
        <v>2220</v>
      </c>
    </row>
    <row r="5">
      <c r="B5" s="2" t="s">
        <v>1834</v>
      </c>
      <c r="C5">
        <f>6.97</f>
        <v>6.97</v>
      </c>
      <c r="D5" s="2" t="s">
        <v>1092</v>
      </c>
      <c r="E5" s="2">
        <f>4510*10^-3</f>
        <v>4.51</v>
      </c>
      <c r="F5" s="2" t="s">
        <v>1083</v>
      </c>
    </row>
    <row r="6">
      <c r="B6" s="2" t="s">
        <v>2221</v>
      </c>
      <c r="E6" s="2">
        <v>2710.0</v>
      </c>
      <c r="F6" s="2" t="s">
        <v>2222</v>
      </c>
    </row>
    <row r="7">
      <c r="B7" s="2" t="s">
        <v>2151</v>
      </c>
      <c r="C7" s="2">
        <v>29.6</v>
      </c>
      <c r="D7" s="2" t="s">
        <v>1092</v>
      </c>
      <c r="E7" s="2">
        <v>2.26</v>
      </c>
      <c r="F7" s="2" t="s">
        <v>1083</v>
      </c>
      <c r="G7" s="210">
        <f>C7*E7</f>
        <v>66.896</v>
      </c>
      <c r="H7" s="2" t="s">
        <v>2130</v>
      </c>
      <c r="J7" s="2"/>
      <c r="K7" s="2"/>
      <c r="L7" s="2"/>
      <c r="Q7" s="38"/>
      <c r="R7">
        <f>E7*1000</f>
        <v>2260</v>
      </c>
      <c r="S7" s="2" t="s">
        <v>592</v>
      </c>
    </row>
    <row r="8">
      <c r="B8" s="2" t="s">
        <v>2143</v>
      </c>
      <c r="C8" s="2">
        <v>45.3</v>
      </c>
      <c r="D8" s="2" t="s">
        <v>1092</v>
      </c>
    </row>
    <row r="9">
      <c r="B9" s="2" t="s">
        <v>1514</v>
      </c>
      <c r="C9">
        <f>G9/E9</f>
        <v>7.5</v>
      </c>
      <c r="D9" s="2" t="s">
        <v>1092</v>
      </c>
      <c r="E9" s="2">
        <v>8.0</v>
      </c>
      <c r="F9" s="2" t="s">
        <v>1083</v>
      </c>
      <c r="G9" s="2">
        <v>60.0</v>
      </c>
      <c r="H9" s="2" t="s">
        <v>2130</v>
      </c>
      <c r="J9" s="2"/>
      <c r="K9" s="2"/>
      <c r="L9" s="2">
        <v>1000.0</v>
      </c>
      <c r="M9" s="2" t="s">
        <v>2133</v>
      </c>
      <c r="N9">
        <f>0.001*L9</f>
        <v>1</v>
      </c>
      <c r="O9" s="2" t="s">
        <v>1122</v>
      </c>
      <c r="Q9" s="38">
        <f>N9/E9</f>
        <v>0.125</v>
      </c>
      <c r="R9" s="2" t="s">
        <v>2223</v>
      </c>
      <c r="T9">
        <f>45*R7</f>
        <v>101700</v>
      </c>
      <c r="X9" s="74"/>
      <c r="Y9" s="74">
        <f t="shared" ref="Y9:Y10" si="1">AA9^2/(2*10^3*AC9)</f>
        <v>1.40625</v>
      </c>
      <c r="Z9" s="2" t="s">
        <v>2130</v>
      </c>
      <c r="AA9" s="2">
        <v>750.0</v>
      </c>
      <c r="AB9" s="2" t="s">
        <v>2133</v>
      </c>
      <c r="AC9" s="2">
        <v>200.0</v>
      </c>
      <c r="AD9" s="2" t="s">
        <v>1759</v>
      </c>
    </row>
    <row r="10">
      <c r="B10" s="2" t="s">
        <v>2224</v>
      </c>
      <c r="E10">
        <f>R10/1000</f>
        <v>7.8</v>
      </c>
      <c r="F10" s="2" t="s">
        <v>1083</v>
      </c>
      <c r="J10" s="2">
        <f>(K10+L10)/2</f>
        <v>975</v>
      </c>
      <c r="K10" s="2">
        <v>450.0</v>
      </c>
      <c r="L10" s="2">
        <v>1500.0</v>
      </c>
      <c r="M10" s="2" t="s">
        <v>2133</v>
      </c>
      <c r="R10" s="2">
        <v>7800.0</v>
      </c>
      <c r="S10" s="2" t="s">
        <v>592</v>
      </c>
      <c r="Y10" s="74">
        <f t="shared" si="1"/>
        <v>5.625</v>
      </c>
      <c r="Z10" s="2" t="s">
        <v>2130</v>
      </c>
      <c r="AA10" s="2">
        <v>1500.0</v>
      </c>
      <c r="AB10" s="2" t="s">
        <v>2133</v>
      </c>
      <c r="AC10" s="2">
        <v>200.0</v>
      </c>
      <c r="AD10" s="2" t="s">
        <v>1759</v>
      </c>
    </row>
    <row r="12">
      <c r="B12" s="2" t="s">
        <v>2002</v>
      </c>
      <c r="C12" s="2">
        <v>29.6</v>
      </c>
      <c r="D12" s="2" t="s">
        <v>1092</v>
      </c>
      <c r="E12" s="2">
        <v>5.0</v>
      </c>
      <c r="F12" s="2" t="s">
        <v>1083</v>
      </c>
      <c r="G12" s="210">
        <f>C12*E12</f>
        <v>148</v>
      </c>
      <c r="H12" s="2" t="s">
        <v>2130</v>
      </c>
      <c r="J12" s="2"/>
      <c r="K12" s="2"/>
      <c r="L12" s="2">
        <v>1880.0</v>
      </c>
      <c r="M12" s="2" t="s">
        <v>2133</v>
      </c>
      <c r="N12" s="25">
        <f t="shared" ref="N12:N16" si="2">L12*10^3*10^-6</f>
        <v>1.88</v>
      </c>
      <c r="O12" s="2" t="s">
        <v>1122</v>
      </c>
      <c r="Q12" s="38">
        <f t="shared" ref="Q12:Q16" si="3">N12/E12</f>
        <v>0.376</v>
      </c>
      <c r="R12" s="2" t="s">
        <v>2223</v>
      </c>
    </row>
    <row r="13">
      <c r="B13" s="2" t="s">
        <v>2151</v>
      </c>
      <c r="E13" s="2">
        <v>2.0</v>
      </c>
      <c r="F13" s="2" t="s">
        <v>1083</v>
      </c>
      <c r="J13" s="2"/>
      <c r="K13" s="2"/>
      <c r="L13" s="2">
        <v>300.0</v>
      </c>
      <c r="M13" s="2" t="s">
        <v>2133</v>
      </c>
      <c r="N13" s="25">
        <f t="shared" si="2"/>
        <v>0.3</v>
      </c>
      <c r="O13" s="2" t="s">
        <v>1122</v>
      </c>
      <c r="Q13" s="38">
        <f t="shared" si="3"/>
        <v>0.15</v>
      </c>
      <c r="R13" s="2" t="s">
        <v>2223</v>
      </c>
    </row>
    <row r="14">
      <c r="B14" s="2" t="s">
        <v>1543</v>
      </c>
      <c r="C14" s="2">
        <v>29.6</v>
      </c>
      <c r="D14" s="2" t="s">
        <v>1092</v>
      </c>
      <c r="E14" s="2">
        <v>3.5</v>
      </c>
      <c r="F14" s="2" t="s">
        <v>1083</v>
      </c>
      <c r="G14" s="210">
        <f>C14*E14</f>
        <v>103.6</v>
      </c>
      <c r="H14" s="2" t="s">
        <v>2130</v>
      </c>
      <c r="J14" s="2">
        <f t="shared" ref="J14:J17" si="4">(K14+L14)/2</f>
        <v>11400</v>
      </c>
      <c r="K14" s="2">
        <v>2800.0</v>
      </c>
      <c r="L14" s="2">
        <v>20000.0</v>
      </c>
      <c r="M14" s="2" t="s">
        <v>2133</v>
      </c>
      <c r="N14" s="25">
        <f t="shared" si="2"/>
        <v>20</v>
      </c>
      <c r="O14" s="2" t="s">
        <v>1122</v>
      </c>
      <c r="Q14" s="38">
        <f t="shared" si="3"/>
        <v>5.714285714</v>
      </c>
      <c r="R14" s="2" t="s">
        <v>2223</v>
      </c>
      <c r="V14" s="2">
        <v>2.0</v>
      </c>
      <c r="W14" s="2" t="s">
        <v>2132</v>
      </c>
      <c r="Y14" s="25">
        <f t="shared" ref="Y14:Y15" si="5">AA14^2/(2*10^3*AC14)</f>
        <v>190.4761905</v>
      </c>
      <c r="AA14" s="2">
        <v>20000.0</v>
      </c>
      <c r="AB14" s="2" t="s">
        <v>2133</v>
      </c>
      <c r="AC14" s="2">
        <v>1050.0</v>
      </c>
      <c r="AD14" s="2" t="s">
        <v>1759</v>
      </c>
    </row>
    <row r="15">
      <c r="B15" s="221" t="s">
        <v>2225</v>
      </c>
      <c r="E15" s="221">
        <v>8.0</v>
      </c>
      <c r="F15" s="221" t="s">
        <v>1083</v>
      </c>
      <c r="G15" s="2">
        <v>150.0</v>
      </c>
      <c r="H15" s="2" t="s">
        <v>2130</v>
      </c>
      <c r="I15" s="222"/>
      <c r="J15" s="221">
        <f t="shared" si="4"/>
        <v>5500</v>
      </c>
      <c r="K15" s="337">
        <v>1000.0</v>
      </c>
      <c r="L15" s="337">
        <v>10000.0</v>
      </c>
      <c r="M15" s="221" t="s">
        <v>2133</v>
      </c>
      <c r="N15" s="213">
        <f t="shared" si="2"/>
        <v>10</v>
      </c>
      <c r="O15" s="221" t="s">
        <v>1122</v>
      </c>
      <c r="P15" s="222"/>
      <c r="Q15" s="215">
        <f t="shared" si="3"/>
        <v>1.25</v>
      </c>
      <c r="R15" s="221" t="s">
        <v>2223</v>
      </c>
      <c r="S15" s="222"/>
      <c r="T15" s="221">
        <v>0.7</v>
      </c>
      <c r="U15" s="221" t="s">
        <v>2229</v>
      </c>
      <c r="V15" s="221">
        <v>6.63</v>
      </c>
      <c r="W15" s="221" t="s">
        <v>2132</v>
      </c>
      <c r="X15" s="221"/>
      <c r="Y15" s="340">
        <f t="shared" si="5"/>
        <v>250</v>
      </c>
      <c r="Z15" s="102" t="s">
        <v>2130</v>
      </c>
      <c r="AA15" s="221">
        <v>10000.0</v>
      </c>
      <c r="AB15" s="222"/>
      <c r="AC15" s="221">
        <v>200.0</v>
      </c>
    </row>
    <row r="16">
      <c r="B16" s="102" t="s">
        <v>2230</v>
      </c>
      <c r="C16" s="221">
        <v>29.6</v>
      </c>
      <c r="D16" s="221" t="s">
        <v>1092</v>
      </c>
      <c r="E16" s="102">
        <v>2.0</v>
      </c>
      <c r="F16" s="102" t="s">
        <v>1083</v>
      </c>
      <c r="G16" s="2">
        <v>150.0</v>
      </c>
      <c r="H16" s="2" t="s">
        <v>2130</v>
      </c>
      <c r="I16" s="239"/>
      <c r="J16" s="221">
        <f t="shared" si="4"/>
        <v>5250</v>
      </c>
      <c r="K16" s="337">
        <v>7000.0</v>
      </c>
      <c r="L16" s="102">
        <v>3500.0</v>
      </c>
      <c r="M16" s="102" t="s">
        <v>2133</v>
      </c>
      <c r="N16" s="340">
        <f t="shared" si="2"/>
        <v>3.5</v>
      </c>
      <c r="O16" s="102" t="s">
        <v>1122</v>
      </c>
      <c r="P16" s="239"/>
      <c r="Q16" s="113">
        <f t="shared" si="3"/>
        <v>1.75</v>
      </c>
      <c r="R16" s="102" t="s">
        <v>2223</v>
      </c>
      <c r="S16" s="239"/>
      <c r="T16" s="239"/>
      <c r="U16" s="239"/>
      <c r="V16" s="102">
        <v>49.8</v>
      </c>
      <c r="W16" s="102" t="s">
        <v>2132</v>
      </c>
      <c r="X16" s="239"/>
      <c r="Y16" s="342">
        <v>200.0</v>
      </c>
      <c r="Z16" s="102" t="s">
        <v>2130</v>
      </c>
      <c r="AA16" s="102">
        <v>3500.0</v>
      </c>
      <c r="AB16" s="102" t="s">
        <v>2133</v>
      </c>
      <c r="AC16" s="102">
        <v>50.0</v>
      </c>
      <c r="AD16" s="2" t="s">
        <v>1759</v>
      </c>
    </row>
    <row r="17">
      <c r="B17" s="2" t="s">
        <v>2231</v>
      </c>
      <c r="E17" s="2"/>
      <c r="J17" s="2">
        <f t="shared" si="4"/>
        <v>1560</v>
      </c>
      <c r="K17" s="2">
        <v>1620.0</v>
      </c>
      <c r="L17" s="167">
        <v>1500.0</v>
      </c>
      <c r="V17" s="2">
        <v>150.0</v>
      </c>
      <c r="W17" s="2" t="s">
        <v>2132</v>
      </c>
      <c r="Y17" s="74">
        <f>AA17^2/(2*10^3*AC17)</f>
        <v>5.625</v>
      </c>
      <c r="Z17" s="2" t="s">
        <v>2130</v>
      </c>
      <c r="AA17" s="2">
        <v>1500.0</v>
      </c>
      <c r="AC17" s="2">
        <v>200.0</v>
      </c>
    </row>
    <row r="18">
      <c r="B18" s="2"/>
      <c r="E18" s="2"/>
      <c r="AA18" s="2" t="s">
        <v>2233</v>
      </c>
    </row>
    <row r="19">
      <c r="B19" s="2" t="s">
        <v>2234</v>
      </c>
      <c r="D19" s="2">
        <v>0.16</v>
      </c>
      <c r="E19" s="2" t="s">
        <v>592</v>
      </c>
      <c r="W19">
        <f>L9</f>
        <v>1000</v>
      </c>
    </row>
    <row r="20">
      <c r="B20" s="2" t="s">
        <v>2235</v>
      </c>
      <c r="D20" s="2">
        <v>0.18</v>
      </c>
      <c r="E20" s="2" t="s">
        <v>592</v>
      </c>
      <c r="R20" s="2">
        <v>1.0</v>
      </c>
      <c r="S20" s="2" t="s">
        <v>1083</v>
      </c>
    </row>
    <row r="21">
      <c r="B21" s="2" t="s">
        <v>2148</v>
      </c>
      <c r="D21">
        <f>R20*10000/1000</f>
        <v>10</v>
      </c>
      <c r="E21" s="2" t="s">
        <v>592</v>
      </c>
      <c r="T21" s="347"/>
      <c r="U21" s="105">
        <v>1.0</v>
      </c>
      <c r="V21" s="348" t="s">
        <v>2133</v>
      </c>
      <c r="AA21" s="2" t="s">
        <v>2239</v>
      </c>
    </row>
    <row r="22">
      <c r="R22">
        <f>3.6*15</f>
        <v>54</v>
      </c>
      <c r="T22" s="350" t="s">
        <v>187</v>
      </c>
      <c r="U22">
        <f>U21</f>
        <v>1</v>
      </c>
      <c r="V22" s="51" t="s">
        <v>2240</v>
      </c>
      <c r="AA22" s="2" t="s">
        <v>681</v>
      </c>
      <c r="AB22" s="2" t="s">
        <v>2242</v>
      </c>
      <c r="AC22" s="2" t="s">
        <v>2243</v>
      </c>
    </row>
    <row r="23">
      <c r="E23" s="2" t="s">
        <v>2244</v>
      </c>
      <c r="G23" s="2" t="s">
        <v>2245</v>
      </c>
      <c r="I23" s="2" t="s">
        <v>2246</v>
      </c>
      <c r="Q23">
        <f>5*2.6</f>
        <v>13</v>
      </c>
      <c r="T23" s="350" t="s">
        <v>187</v>
      </c>
      <c r="U23">
        <f>U22*1/0.001</f>
        <v>1000</v>
      </c>
      <c r="V23" s="51" t="s">
        <v>2248</v>
      </c>
      <c r="AC23" s="2" t="s">
        <v>2249</v>
      </c>
    </row>
    <row r="24">
      <c r="B24" s="2" t="s">
        <v>2151</v>
      </c>
      <c r="C24" s="2">
        <v>60.0</v>
      </c>
      <c r="D24" s="2" t="s">
        <v>695</v>
      </c>
      <c r="E24" s="2">
        <v>14.5</v>
      </c>
      <c r="F24" s="2" t="s">
        <v>679</v>
      </c>
      <c r="G24" s="2">
        <v>60.0</v>
      </c>
      <c r="H24" s="2" t="s">
        <v>695</v>
      </c>
      <c r="I24" s="2">
        <v>5.0</v>
      </c>
      <c r="J24" s="2"/>
      <c r="K24" s="2"/>
      <c r="L24" s="2" t="s">
        <v>1424</v>
      </c>
      <c r="M24">
        <f>I24/10</f>
        <v>0.5</v>
      </c>
      <c r="N24" s="2" t="s">
        <v>1145</v>
      </c>
      <c r="T24" s="350" t="s">
        <v>187</v>
      </c>
      <c r="U24">
        <f>U23/1000</f>
        <v>1</v>
      </c>
      <c r="V24" s="51" t="s">
        <v>2250</v>
      </c>
      <c r="AB24" s="2" t="s">
        <v>2251</v>
      </c>
      <c r="AC24" s="2" t="s">
        <v>2252</v>
      </c>
    </row>
    <row r="25">
      <c r="T25" s="350" t="s">
        <v>187</v>
      </c>
      <c r="U25" s="234">
        <f>1/1000</f>
        <v>0.001</v>
      </c>
      <c r="V25" s="237" t="s">
        <v>1759</v>
      </c>
      <c r="AB25" s="2" t="s">
        <v>2253</v>
      </c>
      <c r="AC25" s="2" t="s">
        <v>2254</v>
      </c>
    </row>
    <row r="26">
      <c r="AB26" s="2" t="s">
        <v>200</v>
      </c>
      <c r="AC26" s="2" t="s">
        <v>2255</v>
      </c>
    </row>
    <row r="27">
      <c r="W27" s="2" t="s">
        <v>2133</v>
      </c>
      <c r="X27" s="2">
        <v>1.0</v>
      </c>
      <c r="Y27">
        <f>X27</f>
        <v>1</v>
      </c>
    </row>
    <row r="28">
      <c r="H28" s="2" t="s">
        <v>1508</v>
      </c>
      <c r="T28" s="2" t="s">
        <v>775</v>
      </c>
      <c r="W28" s="2" t="s">
        <v>2240</v>
      </c>
    </row>
    <row r="29">
      <c r="C29" s="52" t="s">
        <v>1396</v>
      </c>
      <c r="E29" s="52" t="s">
        <v>2256</v>
      </c>
      <c r="G29" s="52">
        <v>3.0</v>
      </c>
      <c r="H29" s="2">
        <v>9.0</v>
      </c>
      <c r="I29" s="52">
        <v>15.0</v>
      </c>
      <c r="S29" s="2" t="s">
        <v>2257</v>
      </c>
    </row>
    <row r="30">
      <c r="B30" s="2" t="s">
        <v>2198</v>
      </c>
      <c r="C30" s="87">
        <v>0.5</v>
      </c>
      <c r="D30" s="2" t="s">
        <v>1145</v>
      </c>
      <c r="E30" s="2">
        <v>0.35</v>
      </c>
      <c r="F30" s="2" t="s">
        <v>1145</v>
      </c>
      <c r="G30">
        <f t="shared" ref="G30:I30" si="6">($C30+$E30)*G$29</f>
        <v>2.55</v>
      </c>
      <c r="H30">
        <f t="shared" si="6"/>
        <v>7.65</v>
      </c>
      <c r="I30">
        <f t="shared" si="6"/>
        <v>12.75</v>
      </c>
      <c r="Q30" s="2" t="s">
        <v>2258</v>
      </c>
      <c r="S30" s="2">
        <v>3.5</v>
      </c>
    </row>
    <row r="31">
      <c r="B31" s="2" t="s">
        <v>2259</v>
      </c>
      <c r="C31" s="87">
        <v>0.5</v>
      </c>
      <c r="D31" s="2" t="s">
        <v>1145</v>
      </c>
      <c r="G31">
        <f t="shared" ref="G31:I31" si="7">($C31+$E31)*G$29</f>
        <v>1.5</v>
      </c>
      <c r="H31">
        <f t="shared" si="7"/>
        <v>4.5</v>
      </c>
      <c r="I31">
        <f t="shared" si="7"/>
        <v>7.5</v>
      </c>
    </row>
    <row r="33">
      <c r="W33" s="2" t="s">
        <v>2260</v>
      </c>
      <c r="X33" s="2"/>
      <c r="Y33" s="2" t="s">
        <v>2261</v>
      </c>
    </row>
    <row r="34">
      <c r="C34" s="2" t="s">
        <v>2262</v>
      </c>
      <c r="F34" s="2" t="s">
        <v>2263</v>
      </c>
      <c r="I34" s="2" t="s">
        <v>2263</v>
      </c>
      <c r="X34" s="2"/>
      <c r="Y34" s="2" t="s">
        <v>2264</v>
      </c>
    </row>
    <row r="35">
      <c r="B35" s="2" t="s">
        <v>2029</v>
      </c>
      <c r="C35" s="2">
        <v>80.0</v>
      </c>
      <c r="D35" s="2" t="s">
        <v>1775</v>
      </c>
      <c r="F35" s="2">
        <v>3600.0</v>
      </c>
      <c r="G35" s="2" t="s">
        <v>2265</v>
      </c>
      <c r="I35">
        <f>F35*0.001</f>
        <v>3.6</v>
      </c>
      <c r="J35" s="2"/>
      <c r="K35" s="2"/>
      <c r="L35" s="2" t="s">
        <v>1122</v>
      </c>
    </row>
    <row r="36">
      <c r="B36" s="2" t="s">
        <v>2266</v>
      </c>
      <c r="C36" s="2">
        <v>100.0</v>
      </c>
      <c r="D36" s="2" t="s">
        <v>1775</v>
      </c>
    </row>
    <row r="43">
      <c r="A43" s="52">
        <v>5.0</v>
      </c>
      <c r="B43" s="52" t="s">
        <v>1922</v>
      </c>
    </row>
    <row r="44">
      <c r="B44" s="5" t="s">
        <v>652</v>
      </c>
      <c r="C44" s="2">
        <v>3.0</v>
      </c>
      <c r="D44" s="2" t="s">
        <v>189</v>
      </c>
    </row>
    <row r="45">
      <c r="B45" s="5" t="s">
        <v>125</v>
      </c>
      <c r="C45" s="2">
        <v>1.5</v>
      </c>
      <c r="D45" s="2" t="s">
        <v>189</v>
      </c>
    </row>
    <row r="46">
      <c r="B46" s="5" t="s">
        <v>189</v>
      </c>
      <c r="C46" s="2">
        <v>2.0</v>
      </c>
      <c r="D46" s="2" t="s">
        <v>90</v>
      </c>
    </row>
    <row r="47">
      <c r="B47" s="5" t="s">
        <v>2267</v>
      </c>
      <c r="C47" s="2">
        <v>10.0</v>
      </c>
      <c r="D47" s="2" t="s">
        <v>640</v>
      </c>
    </row>
    <row r="48">
      <c r="B48" s="5" t="s">
        <v>2268</v>
      </c>
      <c r="C48" s="25">
        <f>C46/C47*1000*1000/10000</f>
        <v>20</v>
      </c>
      <c r="D48" s="2" t="s">
        <v>1803</v>
      </c>
    </row>
    <row r="49">
      <c r="B49" s="5" t="s">
        <v>2269</v>
      </c>
      <c r="C49" s="25">
        <f t="shared" ref="C49:C50" si="8">C48/2</f>
        <v>10</v>
      </c>
      <c r="D49" s="2" t="s">
        <v>1803</v>
      </c>
    </row>
    <row r="50">
      <c r="B50" s="5" t="s">
        <v>2270</v>
      </c>
      <c r="C50" s="25">
        <f t="shared" si="8"/>
        <v>5</v>
      </c>
      <c r="D50" s="2" t="s">
        <v>1399</v>
      </c>
    </row>
    <row r="51">
      <c r="B51" s="5" t="s">
        <v>2271</v>
      </c>
      <c r="C51" s="25">
        <f>C49/3.5</f>
        <v>2.857142857</v>
      </c>
      <c r="D51" s="2" t="s">
        <v>1399</v>
      </c>
      <c r="T51" s="2" t="s">
        <v>1596</v>
      </c>
    </row>
    <row r="52">
      <c r="B52" s="5" t="s">
        <v>2272</v>
      </c>
      <c r="C52" s="25">
        <f>C51/2+C50/2</f>
        <v>3.928571429</v>
      </c>
      <c r="D52" s="2" t="s">
        <v>1399</v>
      </c>
      <c r="Q52" s="2" t="s">
        <v>2273</v>
      </c>
      <c r="U52" s="2" t="s">
        <v>2131</v>
      </c>
    </row>
    <row r="53">
      <c r="B53" s="5" t="s">
        <v>2274</v>
      </c>
      <c r="C53" s="67">
        <f>0.73*C49/2+5.71*C49/2</f>
        <v>32.2</v>
      </c>
      <c r="D53" s="2" t="s">
        <v>1134</v>
      </c>
      <c r="Q53" s="2" t="s">
        <v>2275</v>
      </c>
      <c r="U53" s="2" t="s">
        <v>1236</v>
      </c>
    </row>
    <row r="54">
      <c r="B54" s="5" t="s">
        <v>1661</v>
      </c>
      <c r="C54" s="25">
        <f>(3.5*C49/2+2.25*C49/2)*T69</f>
        <v>69</v>
      </c>
      <c r="D54" s="2" t="s">
        <v>1409</v>
      </c>
      <c r="Q54" s="2" t="s">
        <v>2276</v>
      </c>
      <c r="T54">
        <f>T52*T53/1000</f>
        <v>0</v>
      </c>
      <c r="U54" s="2" t="s">
        <v>2277</v>
      </c>
    </row>
    <row r="55">
      <c r="B55" s="5" t="s">
        <v>2278</v>
      </c>
      <c r="C55" s="25">
        <f>$T$62*C50*2</f>
        <v>300</v>
      </c>
      <c r="D55" s="2" t="s">
        <v>1409</v>
      </c>
      <c r="Q55" s="2" t="s">
        <v>2279</v>
      </c>
      <c r="T55" s="2">
        <v>7.5</v>
      </c>
      <c r="U55" s="2" t="s">
        <v>2277</v>
      </c>
    </row>
    <row r="56">
      <c r="B56" s="5" t="s">
        <v>2280</v>
      </c>
      <c r="C56" s="25">
        <f>$Y$16*C50</f>
        <v>1000</v>
      </c>
      <c r="D56" s="2" t="s">
        <v>1409</v>
      </c>
      <c r="T56" s="2">
        <v>60.0</v>
      </c>
      <c r="U56" s="2" t="s">
        <v>2130</v>
      </c>
    </row>
    <row r="57">
      <c r="A57" s="52">
        <v>3.0</v>
      </c>
      <c r="B57" s="52" t="s">
        <v>1915</v>
      </c>
    </row>
    <row r="58">
      <c r="B58" s="139" t="s">
        <v>652</v>
      </c>
      <c r="C58" s="139">
        <v>1.7</v>
      </c>
      <c r="D58" s="1" t="s">
        <v>189</v>
      </c>
      <c r="T58" s="2" t="s">
        <v>2281</v>
      </c>
    </row>
    <row r="59">
      <c r="B59" s="139" t="s">
        <v>125</v>
      </c>
      <c r="C59" s="139">
        <v>0.5</v>
      </c>
      <c r="D59" s="1" t="s">
        <v>189</v>
      </c>
      <c r="Q59" s="2" t="s">
        <v>2273</v>
      </c>
      <c r="T59" s="2">
        <v>1.0</v>
      </c>
      <c r="U59" s="2" t="s">
        <v>2131</v>
      </c>
    </row>
    <row r="60">
      <c r="B60" s="5" t="s">
        <v>189</v>
      </c>
      <c r="C60" s="2">
        <v>50.0</v>
      </c>
      <c r="D60" s="2" t="s">
        <v>36</v>
      </c>
      <c r="Q60" s="2" t="s">
        <v>2275</v>
      </c>
      <c r="T60" s="2">
        <v>3500.0</v>
      </c>
      <c r="U60" s="2" t="s">
        <v>1236</v>
      </c>
    </row>
    <row r="61">
      <c r="B61" s="5" t="s">
        <v>2267</v>
      </c>
      <c r="C61" s="2">
        <v>2.0</v>
      </c>
      <c r="D61" s="2" t="s">
        <v>640</v>
      </c>
      <c r="Q61" s="2" t="s">
        <v>2276</v>
      </c>
      <c r="T61">
        <f>T59*T60/1000</f>
        <v>3.5</v>
      </c>
      <c r="U61" s="2" t="s">
        <v>2277</v>
      </c>
    </row>
    <row r="62">
      <c r="B62" s="5" t="s">
        <v>189</v>
      </c>
      <c r="C62" s="2">
        <f>C60/1000</f>
        <v>0.05</v>
      </c>
      <c r="D62" s="2" t="s">
        <v>90</v>
      </c>
      <c r="Q62" s="2" t="s">
        <v>2279</v>
      </c>
      <c r="T62" s="2">
        <v>30.0</v>
      </c>
    </row>
    <row r="63">
      <c r="B63" s="5" t="s">
        <v>2267</v>
      </c>
      <c r="C63" s="2">
        <v>2.0</v>
      </c>
      <c r="D63" s="2" t="s">
        <v>640</v>
      </c>
    </row>
    <row r="64">
      <c r="B64" s="5" t="s">
        <v>2268</v>
      </c>
      <c r="C64" s="74">
        <f>C62/C63*1000*1000/10000</f>
        <v>2.5</v>
      </c>
      <c r="D64" s="2" t="s">
        <v>1803</v>
      </c>
      <c r="T64" s="2" t="s">
        <v>2282</v>
      </c>
    </row>
    <row r="65">
      <c r="B65" s="5" t="s">
        <v>2283</v>
      </c>
      <c r="C65" s="74">
        <f>C64/1.5</f>
        <v>1.666666667</v>
      </c>
      <c r="D65" s="2" t="s">
        <v>1399</v>
      </c>
      <c r="F65" s="2" t="s">
        <v>2284</v>
      </c>
      <c r="Q65" s="2" t="s">
        <v>2273</v>
      </c>
      <c r="T65" s="2">
        <v>0.5</v>
      </c>
      <c r="U65" s="2" t="s">
        <v>2131</v>
      </c>
    </row>
    <row r="66">
      <c r="B66" s="5" t="s">
        <v>2215</v>
      </c>
      <c r="C66" s="67">
        <f>150*C65</f>
        <v>250</v>
      </c>
      <c r="D66" s="2" t="s">
        <v>1409</v>
      </c>
      <c r="F66" s="2" t="s">
        <v>2285</v>
      </c>
      <c r="Q66" s="2" t="s">
        <v>2275</v>
      </c>
      <c r="T66" s="2">
        <v>4500.0</v>
      </c>
      <c r="U66" s="2" t="s">
        <v>1236</v>
      </c>
    </row>
    <row r="67">
      <c r="B67" s="5" t="s">
        <v>2135</v>
      </c>
      <c r="C67" s="25">
        <f>T61*4.5</f>
        <v>15.75</v>
      </c>
      <c r="D67" s="2" t="s">
        <v>1409</v>
      </c>
      <c r="F67" s="2" t="s">
        <v>2286</v>
      </c>
      <c r="Q67" s="2" t="s">
        <v>2276</v>
      </c>
      <c r="T67">
        <f>T65*T66/1000</f>
        <v>2.25</v>
      </c>
      <c r="U67" s="2" t="s">
        <v>2277</v>
      </c>
    </row>
    <row r="68">
      <c r="B68" s="5" t="s">
        <v>2278</v>
      </c>
      <c r="C68">
        <f> Materials!$F$29*C64</f>
        <v>150</v>
      </c>
      <c r="D68" s="2" t="s">
        <v>1409</v>
      </c>
      <c r="F68" s="2" t="s">
        <v>2287</v>
      </c>
      <c r="Q68" s="2" t="s">
        <v>2279</v>
      </c>
      <c r="T68" s="2">
        <v>30.0</v>
      </c>
      <c r="U68" s="2" t="s">
        <v>2277</v>
      </c>
    </row>
    <row r="69">
      <c r="B69" s="5" t="s">
        <v>2288</v>
      </c>
      <c r="C69" s="25">
        <f>C65*Y10</f>
        <v>9.375</v>
      </c>
      <c r="D69" s="2" t="s">
        <v>1134</v>
      </c>
      <c r="Q69" s="6" t="s">
        <v>2289</v>
      </c>
      <c r="T69" s="2">
        <v>2.4</v>
      </c>
      <c r="U69" s="2" t="s">
        <v>2277</v>
      </c>
    </row>
    <row r="70">
      <c r="B70" s="5" t="s">
        <v>2280</v>
      </c>
      <c r="C70" s="25">
        <f>$Y$16*C65</f>
        <v>333.3333333</v>
      </c>
      <c r="D70" s="2" t="s">
        <v>1409</v>
      </c>
      <c r="F70" s="2" t="s">
        <v>2290</v>
      </c>
    </row>
    <row r="71">
      <c r="T71" s="2" t="s">
        <v>2291</v>
      </c>
    </row>
    <row r="72">
      <c r="A72" s="52">
        <v>3.0</v>
      </c>
      <c r="B72" s="52" t="s">
        <v>2292</v>
      </c>
      <c r="R72" s="5" t="s">
        <v>2293</v>
      </c>
      <c r="T72" s="2">
        <v>7.0</v>
      </c>
    </row>
    <row r="73">
      <c r="B73" s="139" t="s">
        <v>652</v>
      </c>
      <c r="C73" s="139">
        <v>1.7</v>
      </c>
      <c r="D73" s="1" t="s">
        <v>189</v>
      </c>
    </row>
    <row r="74">
      <c r="B74" s="139" t="s">
        <v>125</v>
      </c>
      <c r="C74" s="139">
        <v>0.5</v>
      </c>
      <c r="D74" s="1" t="s">
        <v>189</v>
      </c>
      <c r="T74" s="52" t="s">
        <v>2059</v>
      </c>
    </row>
    <row r="75">
      <c r="B75" s="5" t="s">
        <v>189</v>
      </c>
      <c r="C75" s="2">
        <v>10.0</v>
      </c>
      <c r="D75" s="2" t="s">
        <v>36</v>
      </c>
      <c r="Q75" s="2" t="s">
        <v>2273</v>
      </c>
      <c r="T75" s="2">
        <v>3.0</v>
      </c>
      <c r="U75" s="2" t="s">
        <v>2294</v>
      </c>
    </row>
    <row r="76">
      <c r="B76" s="5" t="s">
        <v>2267</v>
      </c>
      <c r="C76">
        <f>0.5*C73*C74*4+2*C74^2</f>
        <v>2.2</v>
      </c>
      <c r="D76" s="2" t="s">
        <v>640</v>
      </c>
      <c r="Q76" s="2" t="s">
        <v>2295</v>
      </c>
      <c r="T76" s="2">
        <v>100.0</v>
      </c>
      <c r="U76" s="2" t="s">
        <v>1236</v>
      </c>
    </row>
    <row r="77">
      <c r="B77" s="5" t="s">
        <v>189</v>
      </c>
      <c r="C77" s="2">
        <f>C75/1000</f>
        <v>0.01</v>
      </c>
      <c r="D77" s="2" t="s">
        <v>90</v>
      </c>
      <c r="Q77" s="2" t="s">
        <v>2279</v>
      </c>
      <c r="T77">
        <f>T75*T76/1000</f>
        <v>0.3</v>
      </c>
      <c r="U77" s="2" t="s">
        <v>1092</v>
      </c>
    </row>
    <row r="78">
      <c r="B78" s="5" t="s">
        <v>2267</v>
      </c>
      <c r="C78" s="2">
        <v>2.0</v>
      </c>
      <c r="D78" s="2" t="s">
        <v>640</v>
      </c>
      <c r="Q78" s="2" t="s">
        <v>591</v>
      </c>
      <c r="T78" s="87">
        <f>100*1000/1000000</f>
        <v>0.1</v>
      </c>
      <c r="U78" s="2" t="s">
        <v>1083</v>
      </c>
    </row>
    <row r="79">
      <c r="B79" s="5" t="s">
        <v>2296</v>
      </c>
      <c r="C79" s="74">
        <f>C77/C78*1000*1000/10000*2</f>
        <v>1</v>
      </c>
      <c r="D79" s="2" t="s">
        <v>1803</v>
      </c>
    </row>
    <row r="80">
      <c r="B80" s="5" t="s">
        <v>2283</v>
      </c>
      <c r="C80" s="74">
        <f>C79/2</f>
        <v>0.5</v>
      </c>
      <c r="D80" s="2" t="s">
        <v>1399</v>
      </c>
      <c r="F80" s="2" t="s">
        <v>2297</v>
      </c>
      <c r="T80" s="52" t="s">
        <v>1516</v>
      </c>
    </row>
    <row r="81">
      <c r="B81" s="5" t="s">
        <v>2274</v>
      </c>
      <c r="C81" s="67">
        <f>0.73*C79*1000</f>
        <v>730</v>
      </c>
      <c r="D81" s="2" t="s">
        <v>1409</v>
      </c>
      <c r="F81" s="2" t="s">
        <v>2298</v>
      </c>
      <c r="Q81" s="2" t="s">
        <v>2273</v>
      </c>
      <c r="T81" s="2">
        <v>1260.0</v>
      </c>
      <c r="U81" s="2" t="s">
        <v>2299</v>
      </c>
    </row>
    <row r="82">
      <c r="B82" s="5" t="s">
        <v>1661</v>
      </c>
      <c r="C82" s="25">
        <f>T72*C79</f>
        <v>7</v>
      </c>
      <c r="D82" s="2" t="s">
        <v>1409</v>
      </c>
      <c r="F82" s="2" t="s">
        <v>2286</v>
      </c>
      <c r="T82" s="2">
        <v>1.26</v>
      </c>
      <c r="U82" s="2" t="s">
        <v>2294</v>
      </c>
    </row>
    <row r="83">
      <c r="B83" s="5" t="s">
        <v>2278</v>
      </c>
      <c r="C83">
        <f>$T$62*C79</f>
        <v>30</v>
      </c>
      <c r="D83" s="2" t="s">
        <v>1409</v>
      </c>
      <c r="F83" s="2" t="s">
        <v>2300</v>
      </c>
      <c r="Q83" s="2" t="s">
        <v>2295</v>
      </c>
      <c r="T83" s="2">
        <v>1500.0</v>
      </c>
      <c r="U83" s="2" t="s">
        <v>1236</v>
      </c>
    </row>
    <row r="84">
      <c r="A84" s="2"/>
      <c r="C84" s="2"/>
      <c r="Q84" s="2" t="s">
        <v>2279</v>
      </c>
      <c r="T84">
        <f>T82*T83/1000</f>
        <v>1.89</v>
      </c>
      <c r="U84" s="2" t="s">
        <v>1092</v>
      </c>
    </row>
    <row r="85">
      <c r="A85" s="52">
        <v>2.0</v>
      </c>
      <c r="B85" s="52" t="s">
        <v>1912</v>
      </c>
      <c r="Q85" s="2" t="s">
        <v>591</v>
      </c>
      <c r="T85" s="2">
        <v>1000.0</v>
      </c>
      <c r="U85" s="2" t="s">
        <v>592</v>
      </c>
    </row>
    <row r="86">
      <c r="B86" s="139" t="s">
        <v>652</v>
      </c>
      <c r="C86" s="139">
        <v>1.7</v>
      </c>
      <c r="D86" s="1" t="s">
        <v>189</v>
      </c>
      <c r="T86">
        <f>T85*1000/1000000</f>
        <v>1</v>
      </c>
      <c r="U86" s="2" t="s">
        <v>1083</v>
      </c>
    </row>
    <row r="87">
      <c r="B87" s="139" t="s">
        <v>125</v>
      </c>
      <c r="C87" s="139">
        <v>0.5</v>
      </c>
      <c r="D87" s="1" t="s">
        <v>189</v>
      </c>
    </row>
    <row r="88">
      <c r="B88" s="5" t="s">
        <v>189</v>
      </c>
      <c r="C88" s="2">
        <v>5.0</v>
      </c>
      <c r="D88" s="2" t="s">
        <v>36</v>
      </c>
      <c r="Q88" s="2" t="s">
        <v>2151</v>
      </c>
    </row>
    <row r="89">
      <c r="B89" s="5" t="s">
        <v>2267</v>
      </c>
      <c r="C89">
        <f>0.5*C86*C87*4+2*C87^2</f>
        <v>2.2</v>
      </c>
      <c r="D89" s="2" t="s">
        <v>640</v>
      </c>
      <c r="T89" s="2">
        <v>0.71</v>
      </c>
      <c r="U89" s="2" t="s">
        <v>2294</v>
      </c>
    </row>
    <row r="90">
      <c r="B90" s="5" t="s">
        <v>189</v>
      </c>
      <c r="C90" s="2">
        <f>C88/1000</f>
        <v>0.005</v>
      </c>
      <c r="D90" s="2" t="s">
        <v>90</v>
      </c>
    </row>
    <row r="91">
      <c r="B91" s="5" t="s">
        <v>2267</v>
      </c>
      <c r="C91" s="2">
        <v>2.0</v>
      </c>
      <c r="D91" s="2" t="s">
        <v>640</v>
      </c>
    </row>
    <row r="92">
      <c r="B92" s="5" t="s">
        <v>2268</v>
      </c>
      <c r="C92" s="74">
        <f>C90/C91*1000*1000/10000</f>
        <v>0.25</v>
      </c>
      <c r="D92" s="2" t="s">
        <v>1803</v>
      </c>
    </row>
    <row r="93">
      <c r="B93" s="5" t="s">
        <v>2283</v>
      </c>
      <c r="C93" s="74">
        <f>C92/2</f>
        <v>0.125</v>
      </c>
      <c r="D93" s="2" t="s">
        <v>1399</v>
      </c>
      <c r="F93" s="2" t="s">
        <v>2301</v>
      </c>
    </row>
    <row r="94">
      <c r="B94" s="5" t="s">
        <v>2274</v>
      </c>
      <c r="C94" s="67">
        <f>0.73*C92*1000</f>
        <v>182.5</v>
      </c>
      <c r="D94" s="2" t="s">
        <v>1409</v>
      </c>
      <c r="F94" s="2" t="s">
        <v>2302</v>
      </c>
    </row>
    <row r="95">
      <c r="B95" s="5" t="s">
        <v>1661</v>
      </c>
      <c r="C95" s="74">
        <f>T72*C92</f>
        <v>1.75</v>
      </c>
      <c r="D95" s="2" t="s">
        <v>1409</v>
      </c>
      <c r="F95" s="2" t="s">
        <v>2303</v>
      </c>
    </row>
    <row r="96">
      <c r="B96" s="5" t="s">
        <v>2278</v>
      </c>
      <c r="C96">
        <f>$T$62*C92</f>
        <v>7.5</v>
      </c>
      <c r="D96" s="2" t="s">
        <v>1409</v>
      </c>
      <c r="F96" s="2" t="s">
        <v>2304</v>
      </c>
    </row>
    <row r="97">
      <c r="R97" s="4" t="s">
        <v>2180</v>
      </c>
      <c r="T97" s="2" t="s">
        <v>2305</v>
      </c>
      <c r="V97" s="2" t="s">
        <v>2306</v>
      </c>
      <c r="X97" s="52"/>
      <c r="Y97" s="52" t="s">
        <v>1981</v>
      </c>
    </row>
    <row r="98">
      <c r="A98" s="52">
        <v>2.0</v>
      </c>
      <c r="B98" s="52" t="s">
        <v>2063</v>
      </c>
      <c r="Q98" s="2">
        <v>0.0</v>
      </c>
      <c r="R98" s="2" t="s">
        <v>2059</v>
      </c>
      <c r="T98" s="2">
        <v>1500.0</v>
      </c>
      <c r="U98" s="2" t="s">
        <v>189</v>
      </c>
      <c r="V98" s="2">
        <v>9000.0</v>
      </c>
      <c r="W98" s="2" t="s">
        <v>189</v>
      </c>
    </row>
    <row r="99">
      <c r="B99" s="5" t="s">
        <v>189</v>
      </c>
      <c r="C99" s="2">
        <v>4.0</v>
      </c>
      <c r="D99" s="2" t="s">
        <v>36</v>
      </c>
      <c r="Q99" s="2">
        <v>1.0</v>
      </c>
      <c r="R99" s="2" t="s">
        <v>1516</v>
      </c>
      <c r="T99" s="2">
        <v>200.0</v>
      </c>
      <c r="U99" s="2" t="s">
        <v>189</v>
      </c>
      <c r="V99" s="2">
        <v>1200.0</v>
      </c>
      <c r="W99" s="2" t="s">
        <v>189</v>
      </c>
    </row>
    <row r="100">
      <c r="B100" s="5" t="s">
        <v>189</v>
      </c>
      <c r="C100" s="2">
        <f>C99/1000</f>
        <v>0.004</v>
      </c>
      <c r="D100" s="2" t="s">
        <v>90</v>
      </c>
      <c r="R100" s="2" t="s">
        <v>1994</v>
      </c>
      <c r="T100" s="2">
        <v>200.0</v>
      </c>
      <c r="U100" s="2" t="s">
        <v>189</v>
      </c>
      <c r="V100" s="2">
        <v>1200.0</v>
      </c>
      <c r="W100" s="2" t="s">
        <v>189</v>
      </c>
      <c r="X100" s="2"/>
      <c r="Y100" s="2">
        <v>1.0</v>
      </c>
    </row>
    <row r="101">
      <c r="B101" s="5" t="s">
        <v>2267</v>
      </c>
      <c r="C101" s="2">
        <v>2.0</v>
      </c>
      <c r="D101" s="2" t="s">
        <v>640</v>
      </c>
      <c r="Q101" s="2">
        <v>2.0</v>
      </c>
      <c r="R101" s="2" t="s">
        <v>1913</v>
      </c>
      <c r="T101" s="2">
        <v>100.0</v>
      </c>
      <c r="U101" s="2" t="s">
        <v>189</v>
      </c>
      <c r="V101" s="2">
        <v>600.0</v>
      </c>
      <c r="W101" s="2" t="s">
        <v>189</v>
      </c>
    </row>
    <row r="102">
      <c r="B102" s="5" t="s">
        <v>2268</v>
      </c>
      <c r="C102" s="74">
        <f>C100/C101*1000*1000/10000</f>
        <v>0.2</v>
      </c>
      <c r="D102" s="2" t="s">
        <v>1803</v>
      </c>
      <c r="Q102" s="2">
        <v>3.0</v>
      </c>
      <c r="R102" s="2" t="s">
        <v>1912</v>
      </c>
      <c r="T102" s="2">
        <v>50.0</v>
      </c>
      <c r="U102" s="2" t="s">
        <v>189</v>
      </c>
      <c r="V102" s="2">
        <v>300.0</v>
      </c>
      <c r="W102" s="2" t="s">
        <v>189</v>
      </c>
    </row>
    <row r="103">
      <c r="B103" s="5" t="s">
        <v>2283</v>
      </c>
      <c r="C103" s="38">
        <f>C102/2</f>
        <v>0.1</v>
      </c>
      <c r="D103" s="2" t="s">
        <v>1399</v>
      </c>
      <c r="F103" s="2" t="s">
        <v>2301</v>
      </c>
      <c r="Q103" s="2">
        <v>4.0</v>
      </c>
      <c r="R103" s="2" t="s">
        <v>619</v>
      </c>
      <c r="T103" s="2">
        <v>30.0</v>
      </c>
      <c r="U103" s="2" t="s">
        <v>189</v>
      </c>
      <c r="V103" s="2">
        <v>180.0</v>
      </c>
      <c r="W103" s="2" t="s">
        <v>189</v>
      </c>
      <c r="X103" s="2"/>
      <c r="Y103" s="2">
        <v>2.0</v>
      </c>
    </row>
    <row r="104">
      <c r="B104" s="5" t="s">
        <v>2274</v>
      </c>
      <c r="C104" s="67">
        <f>0.73*C102*1000</f>
        <v>146</v>
      </c>
      <c r="D104" s="2" t="s">
        <v>1409</v>
      </c>
      <c r="F104" s="2" t="s">
        <v>2307</v>
      </c>
      <c r="R104" s="2" t="s">
        <v>71</v>
      </c>
      <c r="T104" s="2">
        <v>30.0</v>
      </c>
      <c r="U104" s="2" t="s">
        <v>189</v>
      </c>
      <c r="V104" s="2">
        <v>180.0</v>
      </c>
      <c r="W104" s="2" t="s">
        <v>189</v>
      </c>
      <c r="X104" s="2"/>
      <c r="Y104" s="2">
        <v>3.0</v>
      </c>
    </row>
    <row r="105">
      <c r="B105" s="5" t="s">
        <v>1661</v>
      </c>
      <c r="C105" s="74">
        <f>3.5*C102*1.5</f>
        <v>1.05</v>
      </c>
      <c r="D105" s="2" t="s">
        <v>1409</v>
      </c>
    </row>
    <row r="106">
      <c r="B106" s="5" t="s">
        <v>2278</v>
      </c>
      <c r="C106">
        <f>$T$62*C102</f>
        <v>6</v>
      </c>
      <c r="D106" s="2" t="s">
        <v>1409</v>
      </c>
      <c r="F106" s="2" t="s">
        <v>2308</v>
      </c>
    </row>
    <row r="108">
      <c r="A108" s="52">
        <v>1.0</v>
      </c>
      <c r="B108" s="52" t="s">
        <v>1910</v>
      </c>
    </row>
    <row r="109">
      <c r="B109" s="139" t="s">
        <v>652</v>
      </c>
      <c r="C109" s="139">
        <v>1.7</v>
      </c>
      <c r="D109" s="1" t="s">
        <v>189</v>
      </c>
    </row>
    <row r="110">
      <c r="B110" s="139" t="s">
        <v>125</v>
      </c>
      <c r="C110" s="139">
        <v>0.5</v>
      </c>
      <c r="D110" s="1" t="s">
        <v>189</v>
      </c>
    </row>
    <row r="111">
      <c r="B111" s="5" t="s">
        <v>189</v>
      </c>
      <c r="C111" s="2">
        <v>1.0</v>
      </c>
      <c r="D111" s="2" t="s">
        <v>36</v>
      </c>
    </row>
    <row r="112">
      <c r="B112" s="5" t="s">
        <v>2267</v>
      </c>
      <c r="C112">
        <f>0.5*C109*C110*4+2*C110^2</f>
        <v>2.2</v>
      </c>
      <c r="D112" s="2" t="s">
        <v>640</v>
      </c>
    </row>
    <row r="113">
      <c r="B113" s="5" t="s">
        <v>189</v>
      </c>
      <c r="C113" s="2">
        <f>C111/1000</f>
        <v>0.001</v>
      </c>
      <c r="D113" s="2" t="s">
        <v>90</v>
      </c>
    </row>
    <row r="114">
      <c r="B114" s="5" t="s">
        <v>2267</v>
      </c>
      <c r="C114" s="2">
        <v>2.0</v>
      </c>
      <c r="D114" s="2" t="s">
        <v>640</v>
      </c>
    </row>
    <row r="115">
      <c r="B115" s="5" t="s">
        <v>2268</v>
      </c>
      <c r="C115" s="38">
        <f>C113/C114*1000*1000/10000</f>
        <v>0.05</v>
      </c>
      <c r="D115" s="2" t="s">
        <v>1803</v>
      </c>
    </row>
    <row r="116">
      <c r="B116" s="5" t="s">
        <v>2283</v>
      </c>
      <c r="C116" s="38">
        <f>C115/2</f>
        <v>0.025</v>
      </c>
      <c r="D116" s="2" t="s">
        <v>1399</v>
      </c>
      <c r="F116" s="2" t="s">
        <v>2301</v>
      </c>
    </row>
    <row r="117">
      <c r="B117" s="5" t="s">
        <v>2274</v>
      </c>
      <c r="C117" s="67">
        <f>0.73*C115*1000</f>
        <v>36.5</v>
      </c>
      <c r="D117" s="2" t="s">
        <v>1409</v>
      </c>
      <c r="F117" s="2" t="s">
        <v>2309</v>
      </c>
    </row>
    <row r="118">
      <c r="B118" s="5" t="s">
        <v>1661</v>
      </c>
      <c r="C118" s="74">
        <f>3.5*C115*1.5</f>
        <v>0.2625</v>
      </c>
      <c r="D118" s="2" t="s">
        <v>1409</v>
      </c>
      <c r="F118" s="2" t="s">
        <v>2310</v>
      </c>
    </row>
    <row r="119">
      <c r="B119" s="5" t="s">
        <v>2278</v>
      </c>
      <c r="C119">
        <f>$T$62*C115</f>
        <v>1.5</v>
      </c>
      <c r="D119" s="2" t="s">
        <v>1409</v>
      </c>
      <c r="F119" s="2" t="s">
        <v>2311</v>
      </c>
    </row>
    <row r="121">
      <c r="A121" s="52">
        <v>2.0</v>
      </c>
      <c r="B121" s="52" t="s">
        <v>2312</v>
      </c>
    </row>
    <row r="122">
      <c r="B122" s="5" t="s">
        <v>189</v>
      </c>
      <c r="C122" s="2">
        <v>7.0</v>
      </c>
      <c r="D122" s="2" t="s">
        <v>36</v>
      </c>
    </row>
    <row r="123">
      <c r="B123" s="5" t="s">
        <v>189</v>
      </c>
      <c r="C123" s="2">
        <f>C122/1000</f>
        <v>0.007</v>
      </c>
      <c r="D123" s="2" t="s">
        <v>90</v>
      </c>
    </row>
    <row r="124">
      <c r="B124" s="5" t="s">
        <v>2267</v>
      </c>
      <c r="C124" s="2">
        <v>0.3</v>
      </c>
      <c r="D124" s="2" t="s">
        <v>640</v>
      </c>
    </row>
    <row r="125">
      <c r="B125" s="5" t="s">
        <v>2268</v>
      </c>
      <c r="C125" s="74">
        <f>C123/C124*1000*1000/10000</f>
        <v>2.333333333</v>
      </c>
      <c r="D125" s="2" t="s">
        <v>1803</v>
      </c>
    </row>
    <row r="126">
      <c r="B126" s="5" t="s">
        <v>2283</v>
      </c>
      <c r="C126" s="38">
        <f>C125/2</f>
        <v>1.166666667</v>
      </c>
      <c r="D126" s="2" t="s">
        <v>1399</v>
      </c>
      <c r="F126" s="2" t="s">
        <v>2284</v>
      </c>
    </row>
    <row r="127">
      <c r="B127" s="5" t="s">
        <v>2313</v>
      </c>
      <c r="C127" s="74">
        <f>C125/3.5</f>
        <v>0.6666666667</v>
      </c>
      <c r="D127" s="2" t="s">
        <v>1399</v>
      </c>
      <c r="F127" s="352" t="s">
        <v>2314</v>
      </c>
    </row>
    <row r="128">
      <c r="B128" s="5" t="s">
        <v>2274</v>
      </c>
      <c r="C128" s="87">
        <f>0.73*C125</f>
        <v>1.703333333</v>
      </c>
      <c r="D128" s="2" t="s">
        <v>1134</v>
      </c>
      <c r="F128" s="2" t="s">
        <v>2315</v>
      </c>
    </row>
    <row r="129">
      <c r="B129" s="5" t="s">
        <v>1661</v>
      </c>
      <c r="C129" s="74">
        <f>3.5*C125*1.5</f>
        <v>12.25</v>
      </c>
      <c r="D129" s="2" t="s">
        <v>1409</v>
      </c>
    </row>
    <row r="130">
      <c r="B130" s="5" t="s">
        <v>2278</v>
      </c>
      <c r="C130">
        <f>$T$62*C125</f>
        <v>70</v>
      </c>
      <c r="D130" s="2" t="s">
        <v>1409</v>
      </c>
      <c r="F130" s="2" t="s">
        <v>2287</v>
      </c>
    </row>
    <row r="132">
      <c r="A132" s="4" t="s">
        <v>426</v>
      </c>
      <c r="B132" s="52" t="s">
        <v>1516</v>
      </c>
      <c r="C132" s="2">
        <v>1.0</v>
      </c>
      <c r="D132" s="2" t="s">
        <v>1083</v>
      </c>
      <c r="F132" s="2" t="s">
        <v>2311</v>
      </c>
    </row>
    <row r="133">
      <c r="B133" s="5" t="s">
        <v>2278</v>
      </c>
      <c r="C133" s="38">
        <f>$T$84*C132</f>
        <v>1.89</v>
      </c>
      <c r="D133" s="2" t="s">
        <v>1409</v>
      </c>
    </row>
    <row r="135">
      <c r="A135" s="52">
        <v>0.0</v>
      </c>
      <c r="B135" s="52" t="s">
        <v>2059</v>
      </c>
      <c r="C135" s="2">
        <v>0.1</v>
      </c>
      <c r="D135" s="2" t="s">
        <v>1083</v>
      </c>
      <c r="F135" s="2" t="s">
        <v>2319</v>
      </c>
    </row>
    <row r="136">
      <c r="B136" s="5" t="s">
        <v>2278</v>
      </c>
      <c r="C136" s="38">
        <f>$T$77*C135</f>
        <v>0.03</v>
      </c>
      <c r="D136" s="2" t="s">
        <v>1409</v>
      </c>
    </row>
    <row r="138">
      <c r="A138" s="2">
        <v>3.0</v>
      </c>
      <c r="B138" s="52" t="s">
        <v>2065</v>
      </c>
    </row>
    <row r="139">
      <c r="B139" s="5" t="s">
        <v>189</v>
      </c>
      <c r="C139" s="2">
        <v>30.0</v>
      </c>
      <c r="D139" s="2" t="s">
        <v>36</v>
      </c>
    </row>
    <row r="140">
      <c r="B140" s="5" t="s">
        <v>189</v>
      </c>
      <c r="C140" s="2">
        <f>C139/1000</f>
        <v>0.03</v>
      </c>
      <c r="D140" s="2" t="s">
        <v>90</v>
      </c>
    </row>
    <row r="141">
      <c r="B141" s="5" t="s">
        <v>2267</v>
      </c>
      <c r="C141" s="2">
        <v>2.0</v>
      </c>
      <c r="D141" s="2" t="s">
        <v>640</v>
      </c>
    </row>
    <row r="142">
      <c r="B142" s="5" t="s">
        <v>2268</v>
      </c>
      <c r="C142" s="74">
        <f>C140/C141*1000*1000/10000</f>
        <v>1.5</v>
      </c>
      <c r="D142" s="2" t="s">
        <v>1803</v>
      </c>
    </row>
    <row r="143">
      <c r="B143" s="5" t="s">
        <v>2283</v>
      </c>
      <c r="C143" s="38">
        <f>C142/2</f>
        <v>0.75</v>
      </c>
      <c r="D143" s="2" t="s">
        <v>1399</v>
      </c>
      <c r="F143" s="2" t="s">
        <v>2297</v>
      </c>
    </row>
    <row r="144">
      <c r="B144" s="5" t="s">
        <v>2274</v>
      </c>
      <c r="C144" s="67">
        <f>0.73*C142*1000</f>
        <v>1095</v>
      </c>
      <c r="D144" s="2" t="s">
        <v>1409</v>
      </c>
      <c r="F144" s="2" t="s">
        <v>2298</v>
      </c>
    </row>
    <row r="145">
      <c r="B145" s="5" t="s">
        <v>1661</v>
      </c>
      <c r="C145" s="74">
        <f>3.5*C142*1.5</f>
        <v>7.875</v>
      </c>
      <c r="D145" s="2" t="s">
        <v>1409</v>
      </c>
      <c r="F145" s="2" t="s">
        <v>2286</v>
      </c>
    </row>
    <row r="146">
      <c r="B146" s="5" t="s">
        <v>2278</v>
      </c>
      <c r="C146">
        <f>$T$62*C142</f>
        <v>45</v>
      </c>
      <c r="D146" s="2" t="s">
        <v>1409</v>
      </c>
      <c r="F146" s="2" t="s">
        <v>2300</v>
      </c>
    </row>
    <row r="149">
      <c r="A149" s="2">
        <v>3.0</v>
      </c>
      <c r="B149" s="52" t="s">
        <v>2329</v>
      </c>
    </row>
    <row r="150">
      <c r="B150" s="5" t="s">
        <v>189</v>
      </c>
      <c r="C150" s="2">
        <v>500.0</v>
      </c>
      <c r="D150" s="2" t="s">
        <v>36</v>
      </c>
    </row>
    <row r="151">
      <c r="B151" s="5" t="s">
        <v>189</v>
      </c>
      <c r="C151" s="2">
        <f>C150/1000</f>
        <v>0.5</v>
      </c>
      <c r="D151" s="2" t="s">
        <v>90</v>
      </c>
    </row>
    <row r="152">
      <c r="B152" s="5" t="s">
        <v>2267</v>
      </c>
      <c r="C152" s="2">
        <v>5.0</v>
      </c>
      <c r="D152" s="2" t="s">
        <v>640</v>
      </c>
    </row>
    <row r="153">
      <c r="B153" s="5" t="s">
        <v>2268</v>
      </c>
      <c r="C153" s="74">
        <f>C151/C152*1000*1000/10000</f>
        <v>10</v>
      </c>
      <c r="D153" s="2" t="s">
        <v>1803</v>
      </c>
    </row>
    <row r="154">
      <c r="B154" s="5" t="s">
        <v>2332</v>
      </c>
      <c r="C154" s="74">
        <f t="shared" ref="C154:C155" si="9">C153/2</f>
        <v>5</v>
      </c>
      <c r="D154" s="2" t="s">
        <v>1803</v>
      </c>
    </row>
    <row r="155">
      <c r="B155" s="5" t="s">
        <v>2283</v>
      </c>
      <c r="C155" s="38">
        <f t="shared" si="9"/>
        <v>2.5</v>
      </c>
      <c r="D155" s="2" t="s">
        <v>1399</v>
      </c>
    </row>
    <row r="156">
      <c r="B156" s="5" t="s">
        <v>2334</v>
      </c>
      <c r="C156" s="74">
        <f>C154/3.5</f>
        <v>1.428571429</v>
      </c>
      <c r="D156" s="2" t="s">
        <v>1399</v>
      </c>
    </row>
    <row r="157">
      <c r="B157" s="5" t="s">
        <v>2274</v>
      </c>
      <c r="C157" s="67">
        <f>(0.73*C154)*1000</f>
        <v>3650</v>
      </c>
      <c r="D157" s="2" t="s">
        <v>1409</v>
      </c>
    </row>
    <row r="158">
      <c r="B158" s="5" t="s">
        <v>2278</v>
      </c>
      <c r="C158">
        <f>$T$62*C153</f>
        <v>300</v>
      </c>
      <c r="D158" s="2" t="s">
        <v>1409</v>
      </c>
    </row>
    <row r="161">
      <c r="B161" s="52" t="s">
        <v>2337</v>
      </c>
    </row>
    <row r="162">
      <c r="B162" s="5" t="s">
        <v>2338</v>
      </c>
      <c r="C162" s="2">
        <v>4.0</v>
      </c>
      <c r="D162" s="2" t="s">
        <v>1399</v>
      </c>
    </row>
    <row r="163">
      <c r="B163" s="5" t="s">
        <v>2339</v>
      </c>
      <c r="C163">
        <f>C162*2</f>
        <v>8</v>
      </c>
    </row>
    <row r="164">
      <c r="B164" s="5" t="s">
        <v>2278</v>
      </c>
      <c r="C164">
        <f>C162*10</f>
        <v>40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9" width="2.63"/>
  </cols>
  <sheetData>
    <row r="4">
      <c r="C4" s="336" t="s">
        <v>2226</v>
      </c>
      <c r="D4" s="338"/>
      <c r="E4" s="317" t="s">
        <v>2227</v>
      </c>
      <c r="F4" s="338"/>
      <c r="G4" s="338"/>
      <c r="H4" s="338"/>
      <c r="I4" s="338"/>
      <c r="J4" s="338"/>
      <c r="K4" s="338"/>
      <c r="L4" s="339" t="s">
        <v>2228</v>
      </c>
      <c r="M4" s="338"/>
      <c r="N4" s="341" t="s">
        <v>1674</v>
      </c>
      <c r="O4" s="338"/>
      <c r="P4" s="338"/>
      <c r="Q4" s="317" t="s">
        <v>1461</v>
      </c>
      <c r="R4" s="338"/>
      <c r="S4" s="338"/>
      <c r="T4" s="320" t="s">
        <v>1673</v>
      </c>
      <c r="U4" s="338"/>
      <c r="V4" s="338"/>
      <c r="W4" s="338"/>
      <c r="X4" s="338"/>
      <c r="Y4" s="317" t="s">
        <v>1832</v>
      </c>
      <c r="Z4" s="338"/>
      <c r="AA4" s="338"/>
      <c r="AB4" s="338"/>
      <c r="AC4" s="317" t="s">
        <v>71</v>
      </c>
      <c r="AD4" s="338"/>
      <c r="AE4" s="338"/>
      <c r="AF4" s="338"/>
      <c r="AG4" s="338"/>
      <c r="AH4" s="317" t="s">
        <v>72</v>
      </c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</row>
    <row r="5">
      <c r="C5" s="343">
        <v>2.0</v>
      </c>
      <c r="D5" s="338"/>
      <c r="E5" s="344" t="s">
        <v>2232</v>
      </c>
      <c r="F5" s="345"/>
      <c r="G5" s="345"/>
      <c r="H5" s="345"/>
      <c r="I5" s="345"/>
      <c r="J5" s="345"/>
      <c r="K5" s="338"/>
      <c r="L5" s="343">
        <v>0.0</v>
      </c>
      <c r="M5" s="338"/>
      <c r="N5" s="346">
        <f>T5/10</f>
        <v>0</v>
      </c>
      <c r="P5" s="228" t="s">
        <v>372</v>
      </c>
      <c r="Q5" s="273" t="s">
        <v>2236</v>
      </c>
      <c r="R5" s="228" t="s">
        <v>2237</v>
      </c>
      <c r="S5" s="273" t="s">
        <v>2238</v>
      </c>
      <c r="T5" s="346">
        <f>sqrt(5000*F50*J50^2)/20</f>
        <v>0</v>
      </c>
      <c r="V5" s="228" t="s">
        <v>372</v>
      </c>
      <c r="W5" s="338"/>
      <c r="X5" s="349">
        <v>10.0</v>
      </c>
      <c r="Z5" s="320" t="s">
        <v>1549</v>
      </c>
      <c r="AA5" s="338"/>
      <c r="AB5" s="338"/>
      <c r="AC5" s="349">
        <f>-0.5*J50^2*C5*L5</f>
        <v>0</v>
      </c>
      <c r="AE5" s="320" t="s">
        <v>2241</v>
      </c>
      <c r="AF5" s="338"/>
      <c r="AG5" s="338"/>
      <c r="AH5" s="349">
        <f>-round(AC5*0.58,0)</f>
        <v>0</v>
      </c>
      <c r="AJ5" s="320" t="s">
        <v>2241</v>
      </c>
      <c r="AK5" s="320"/>
      <c r="AL5" s="320"/>
      <c r="AM5" s="320"/>
      <c r="AN5" s="320"/>
      <c r="AO5" s="320"/>
      <c r="AP5" s="351" t="s">
        <v>2247</v>
      </c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BB5" s="320"/>
      <c r="BC5" s="320"/>
      <c r="BD5" s="320"/>
      <c r="BE5" s="320"/>
      <c r="BF5" s="320"/>
      <c r="BG5" s="320"/>
      <c r="BH5" s="320"/>
      <c r="BI5" s="320"/>
      <c r="BJ5" s="320"/>
      <c r="BK5" s="320"/>
      <c r="BL5" s="320"/>
      <c r="BM5" s="320"/>
      <c r="BN5" s="320"/>
      <c r="BO5" s="320"/>
      <c r="BP5" s="320"/>
      <c r="BQ5" s="320"/>
    </row>
  </sheetData>
  <mergeCells count="5">
    <mergeCell ref="N5:O5"/>
    <mergeCell ref="T5:U5"/>
    <mergeCell ref="X5:Y5"/>
    <mergeCell ref="AC5:AD5"/>
    <mergeCell ref="AH5:AI5"/>
  </mergeCells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3.5"/>
    <col customWidth="1" min="3" max="3" width="8.25"/>
    <col customWidth="1" min="4" max="4" width="4.13"/>
    <col customWidth="1" min="5" max="5" width="3.38"/>
    <col customWidth="1" min="6" max="6" width="13.38"/>
    <col customWidth="1" min="7" max="7" width="3.75"/>
    <col customWidth="1" min="8" max="8" width="5.0"/>
    <col customWidth="1" min="9" max="9" width="3.88"/>
    <col customWidth="1" min="10" max="10" width="7.75"/>
    <col customWidth="1" min="11" max="11" width="2.75"/>
    <col customWidth="1" min="12" max="12" width="3.25"/>
    <col customWidth="1" min="13" max="13" width="3.0"/>
    <col customWidth="1" min="14" max="15" width="3.13"/>
    <col customWidth="1" min="16" max="16" width="7.25"/>
    <col customWidth="1" min="17" max="17" width="3.75"/>
    <col customWidth="1" min="18" max="19" width="3.88"/>
    <col customWidth="1" min="20" max="27" width="2.5"/>
    <col customWidth="1" min="28" max="28" width="2.88"/>
    <col customWidth="1" min="29" max="29" width="7.25"/>
    <col customWidth="1" min="30" max="30" width="3.25"/>
    <col customWidth="1" min="31" max="31" width="5.13"/>
    <col customWidth="1" min="32" max="32" width="4.13"/>
    <col customWidth="1" min="33" max="33" width="5.0"/>
    <col customWidth="1" min="35" max="35" width="3.63"/>
    <col customWidth="1" min="36" max="36" width="1.75"/>
    <col customWidth="1" min="37" max="37" width="3.63"/>
    <col customWidth="1" min="38" max="38" width="5.13"/>
  </cols>
  <sheetData>
    <row r="2">
      <c r="A2" s="52"/>
      <c r="B2" s="52"/>
      <c r="C2" s="353" t="s">
        <v>2316</v>
      </c>
      <c r="D2" s="354" t="s">
        <v>1589</v>
      </c>
      <c r="E2" s="106"/>
      <c r="F2" s="105" t="s">
        <v>2317</v>
      </c>
      <c r="G2" s="233" t="s">
        <v>2318</v>
      </c>
      <c r="H2" s="106"/>
      <c r="I2" s="355">
        <v>2.0</v>
      </c>
      <c r="J2" s="105" t="s">
        <v>2320</v>
      </c>
      <c r="K2" s="105"/>
      <c r="L2" s="107"/>
      <c r="P2" s="353" t="s">
        <v>2321</v>
      </c>
      <c r="Q2" s="233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  <c r="AH2" s="353" t="s">
        <v>2322</v>
      </c>
      <c r="AI2" s="106"/>
      <c r="AJ2" s="106"/>
      <c r="AK2" s="106"/>
      <c r="AL2" s="107"/>
    </row>
    <row r="3">
      <c r="A3" s="2"/>
      <c r="B3" s="2"/>
      <c r="C3" s="236"/>
      <c r="D3" s="5"/>
      <c r="E3" s="6"/>
      <c r="F3" s="52"/>
      <c r="J3" s="2" t="s">
        <v>2323</v>
      </c>
      <c r="L3" s="55"/>
      <c r="P3" s="241"/>
      <c r="R3" s="3" t="s">
        <v>71</v>
      </c>
      <c r="S3" s="52"/>
      <c r="U3" s="3" t="s">
        <v>95</v>
      </c>
      <c r="V3" s="52"/>
      <c r="W3" s="52"/>
      <c r="X3" s="3" t="s">
        <v>1502</v>
      </c>
      <c r="Y3" s="52"/>
      <c r="Z3" s="52"/>
      <c r="AA3" s="52"/>
      <c r="AB3" s="52" t="s">
        <v>94</v>
      </c>
      <c r="AC3" s="52"/>
      <c r="AE3" s="52" t="s">
        <v>635</v>
      </c>
      <c r="AF3" s="55"/>
      <c r="AH3" s="236" t="s">
        <v>6</v>
      </c>
      <c r="AI3" s="356">
        <v>80.0</v>
      </c>
      <c r="AJ3" s="2" t="s">
        <v>2238</v>
      </c>
      <c r="AK3" s="297">
        <f>I19*min(K19,1)</f>
        <v>80</v>
      </c>
      <c r="AL3" s="51" t="s">
        <v>2324</v>
      </c>
    </row>
    <row r="4">
      <c r="A4" s="2"/>
      <c r="B4" s="2"/>
      <c r="C4" s="236" t="s">
        <v>2325</v>
      </c>
      <c r="D4" s="102">
        <v>4.0</v>
      </c>
      <c r="E4" s="2" t="s">
        <v>189</v>
      </c>
      <c r="F4" s="52" t="s">
        <v>2326</v>
      </c>
      <c r="I4" s="52" t="s">
        <v>2327</v>
      </c>
      <c r="L4" s="55"/>
      <c r="N4" s="2"/>
      <c r="O4" s="2"/>
      <c r="P4" s="236" t="s">
        <v>2328</v>
      </c>
      <c r="Q4" s="2"/>
      <c r="R4" s="221">
        <f>L13</f>
        <v>0</v>
      </c>
      <c r="S4" s="2" t="s">
        <v>121</v>
      </c>
      <c r="T4" s="2"/>
      <c r="U4" s="357">
        <f t="shared" ref="U4:U5" si="1">AE4/$L$5*100</f>
        <v>0</v>
      </c>
      <c r="V4" s="2" t="s">
        <v>93</v>
      </c>
      <c r="W4" s="2"/>
      <c r="X4" s="358">
        <f t="shared" ref="X4:X5" si="2">AB4*LN($L$8)*1000/864</f>
        <v>5.615775768</v>
      </c>
      <c r="Y4" s="250" t="s">
        <v>2330</v>
      </c>
      <c r="Z4" s="2"/>
      <c r="AA4" s="2"/>
      <c r="AB4" s="2">
        <v>7.0</v>
      </c>
      <c r="AC4" s="2" t="s">
        <v>2331</v>
      </c>
      <c r="AE4" s="213">
        <f t="shared" ref="AE4:AE5" si="3">2*R4/AB4</f>
        <v>0</v>
      </c>
      <c r="AF4" s="51" t="s">
        <v>181</v>
      </c>
      <c r="AH4" s="236" t="s">
        <v>2333</v>
      </c>
      <c r="AI4" s="301">
        <f>sum(L14:L41)</f>
        <v>-3</v>
      </c>
      <c r="AJ4" s="51" t="s">
        <v>86</v>
      </c>
      <c r="AK4" s="8"/>
      <c r="AL4" s="55"/>
    </row>
    <row r="5">
      <c r="A5" s="2"/>
      <c r="B5" s="2"/>
      <c r="C5" s="236" t="s">
        <v>1697</v>
      </c>
      <c r="D5" s="102">
        <v>60.0</v>
      </c>
      <c r="E5" s="2" t="s">
        <v>189</v>
      </c>
      <c r="F5" s="2" t="s">
        <v>202</v>
      </c>
      <c r="G5" s="102">
        <v>40.0</v>
      </c>
      <c r="H5" s="2" t="s">
        <v>90</v>
      </c>
      <c r="I5" s="2" t="s">
        <v>202</v>
      </c>
      <c r="L5" s="359">
        <f>L7+L6</f>
        <v>40</v>
      </c>
      <c r="N5" s="2"/>
      <c r="O5" s="2"/>
      <c r="P5" s="236" t="s">
        <v>2335</v>
      </c>
      <c r="Q5" s="2"/>
      <c r="R5" s="221">
        <f>L13</f>
        <v>0</v>
      </c>
      <c r="S5" s="2" t="s">
        <v>121</v>
      </c>
      <c r="U5" s="357">
        <f t="shared" si="1"/>
        <v>0</v>
      </c>
      <c r="V5" s="2" t="s">
        <v>93</v>
      </c>
      <c r="X5" s="358">
        <f t="shared" si="2"/>
        <v>16.04507362</v>
      </c>
      <c r="Y5" s="250" t="s">
        <v>2330</v>
      </c>
      <c r="AB5" s="2">
        <v>20.0</v>
      </c>
      <c r="AC5" s="2" t="s">
        <v>2331</v>
      </c>
      <c r="AE5" s="213">
        <f t="shared" si="3"/>
        <v>0</v>
      </c>
      <c r="AF5" s="51" t="s">
        <v>181</v>
      </c>
      <c r="AH5" s="360" t="s">
        <v>2336</v>
      </c>
      <c r="AI5" s="361">
        <f>if(AI4&gt;=0,"∞", if(-AI3/(AI4) &lt; 1, 0 , ROUNDDOWN(-AI3/(AI4),0)))</f>
        <v>26</v>
      </c>
      <c r="AJ5" s="237" t="s">
        <v>85</v>
      </c>
      <c r="AK5" s="362"/>
      <c r="AL5" s="363"/>
    </row>
    <row r="6">
      <c r="A6" s="2"/>
      <c r="B6" s="2"/>
      <c r="C6" s="236" t="s">
        <v>2340</v>
      </c>
      <c r="D6" s="222">
        <f>D5*D4*4+(D4^2)*2</f>
        <v>992</v>
      </c>
      <c r="E6" s="2" t="s">
        <v>640</v>
      </c>
      <c r="F6" s="2" t="s">
        <v>2341</v>
      </c>
      <c r="G6" s="221">
        <f>round(G5-G7,0)</f>
        <v>20</v>
      </c>
      <c r="H6" s="2" t="s">
        <v>90</v>
      </c>
      <c r="I6" s="2" t="s">
        <v>2341</v>
      </c>
      <c r="L6" s="364">
        <v>20.0</v>
      </c>
      <c r="P6" s="241"/>
      <c r="AF6" s="55"/>
      <c r="AI6" s="29"/>
      <c r="AK6" s="29"/>
    </row>
    <row r="7">
      <c r="A7" s="2"/>
      <c r="B7" s="2"/>
      <c r="C7" s="236" t="s">
        <v>1684</v>
      </c>
      <c r="D7" s="357">
        <f>(PI()*D4^2/4)*D5</f>
        <v>753.9822369</v>
      </c>
      <c r="E7" s="2" t="s">
        <v>600</v>
      </c>
      <c r="F7" s="2" t="s">
        <v>2342</v>
      </c>
      <c r="G7" s="221">
        <f>round(G5/G8,0)</f>
        <v>20</v>
      </c>
      <c r="H7" s="2" t="s">
        <v>90</v>
      </c>
      <c r="I7" s="2" t="s">
        <v>2342</v>
      </c>
      <c r="L7" s="359">
        <f>G7*D12/100</f>
        <v>20</v>
      </c>
      <c r="P7" s="241"/>
      <c r="AF7" s="55"/>
      <c r="AH7" s="353" t="s">
        <v>2343</v>
      </c>
      <c r="AI7" s="365"/>
      <c r="AJ7" s="106"/>
      <c r="AK7" s="365"/>
      <c r="AL7" s="107"/>
    </row>
    <row r="8">
      <c r="A8" s="2"/>
      <c r="B8" s="2"/>
      <c r="C8" s="360" t="s">
        <v>13</v>
      </c>
      <c r="D8" s="366">
        <f>G5/D7</f>
        <v>0.0530516477</v>
      </c>
      <c r="E8" s="235"/>
      <c r="F8" s="234" t="s">
        <v>199</v>
      </c>
      <c r="G8" s="367">
        <v>2.0</v>
      </c>
      <c r="H8" s="234" t="s">
        <v>90</v>
      </c>
      <c r="I8" s="234" t="s">
        <v>199</v>
      </c>
      <c r="J8" s="235"/>
      <c r="K8" s="235"/>
      <c r="L8" s="368">
        <f>L5/L7</f>
        <v>2</v>
      </c>
      <c r="P8" s="369"/>
      <c r="Q8" s="235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363"/>
      <c r="AH8" s="236" t="s">
        <v>213</v>
      </c>
      <c r="AI8" s="370">
        <v>10.0</v>
      </c>
      <c r="AJ8" s="2" t="s">
        <v>2238</v>
      </c>
      <c r="AK8" s="297">
        <f>I18*min(K18,1)</f>
        <v>10</v>
      </c>
      <c r="AL8" s="51" t="s">
        <v>86</v>
      </c>
    </row>
    <row r="9">
      <c r="E9" s="2"/>
      <c r="I9" s="52"/>
      <c r="L9" s="52"/>
      <c r="AH9" s="236" t="s">
        <v>2344</v>
      </c>
      <c r="AI9" s="301">
        <f>sum(O13:O32)</f>
        <v>0</v>
      </c>
      <c r="AJ9" s="51" t="s">
        <v>86</v>
      </c>
      <c r="AK9" s="8"/>
      <c r="AL9" s="55"/>
    </row>
    <row r="10">
      <c r="AH10" s="360" t="s">
        <v>2345</v>
      </c>
      <c r="AI10" s="361" t="str">
        <f>if(AI9&lt;=0,"∞", if(AI8/AI9&gt;1, rounddown(AI8/AI9,0) , 0))</f>
        <v>∞</v>
      </c>
      <c r="AJ10" s="237" t="s">
        <v>2346</v>
      </c>
      <c r="AK10" s="362"/>
      <c r="AL10" s="363"/>
    </row>
    <row r="11">
      <c r="A11" s="2"/>
      <c r="B11" s="2"/>
      <c r="E11" s="2"/>
      <c r="I11" s="3" t="s">
        <v>71</v>
      </c>
      <c r="AG11" s="52"/>
      <c r="AI11" s="29"/>
      <c r="AK11" s="29"/>
    </row>
    <row r="12">
      <c r="C12" s="2" t="s">
        <v>2347</v>
      </c>
      <c r="D12" s="222">
        <f>sum(D13:D23)</f>
        <v>100</v>
      </c>
      <c r="E12" s="2" t="s">
        <v>150</v>
      </c>
      <c r="F12" s="52" t="s">
        <v>917</v>
      </c>
      <c r="G12" s="52" t="s">
        <v>73</v>
      </c>
      <c r="I12" s="52" t="s">
        <v>1673</v>
      </c>
      <c r="K12" s="5" t="s">
        <v>2226</v>
      </c>
      <c r="L12" s="52" t="s">
        <v>2327</v>
      </c>
      <c r="O12" s="52" t="s">
        <v>72</v>
      </c>
      <c r="Q12" s="52" t="s">
        <v>1785</v>
      </c>
      <c r="AG12" s="2"/>
      <c r="AH12" s="353" t="s">
        <v>2348</v>
      </c>
      <c r="AI12" s="365"/>
      <c r="AJ12" s="106"/>
      <c r="AK12" s="365"/>
      <c r="AL12" s="107"/>
    </row>
    <row r="13">
      <c r="D13" s="102">
        <v>15.0</v>
      </c>
      <c r="E13" s="2" t="s">
        <v>150</v>
      </c>
      <c r="F13" s="2" t="s">
        <v>2349</v>
      </c>
      <c r="G13" s="221">
        <f t="shared" ref="G13:G22" si="4">$G$7*D13/100</f>
        <v>3</v>
      </c>
      <c r="H13" s="2" t="s">
        <v>90</v>
      </c>
      <c r="I13" s="102">
        <f>G13*3</f>
        <v>9</v>
      </c>
      <c r="J13" s="2" t="s">
        <v>121</v>
      </c>
      <c r="K13" s="2"/>
      <c r="L13" s="206">
        <v>0.0</v>
      </c>
      <c r="M13" s="2" t="s">
        <v>121</v>
      </c>
      <c r="O13" s="152">
        <f>L13</f>
        <v>0</v>
      </c>
      <c r="P13" s="2" t="s">
        <v>2241</v>
      </c>
      <c r="Q13" s="2" t="s">
        <v>2350</v>
      </c>
      <c r="AG13" s="2"/>
      <c r="AH13" s="236" t="s">
        <v>2351</v>
      </c>
      <c r="AI13" s="370">
        <v>6.0</v>
      </c>
      <c r="AJ13" s="2" t="s">
        <v>2238</v>
      </c>
      <c r="AK13" s="104">
        <v>6.0</v>
      </c>
      <c r="AL13" s="55"/>
      <c r="AM13" s="2" t="s">
        <v>2352</v>
      </c>
    </row>
    <row r="14">
      <c r="D14" s="102">
        <v>5.0</v>
      </c>
      <c r="E14" s="2" t="s">
        <v>150</v>
      </c>
      <c r="F14" s="2" t="s">
        <v>71</v>
      </c>
      <c r="G14" s="221">
        <f t="shared" si="4"/>
        <v>1</v>
      </c>
      <c r="H14" s="2" t="s">
        <v>90</v>
      </c>
      <c r="I14" s="152">
        <f>G14*AI14</f>
        <v>5</v>
      </c>
      <c r="J14" s="2" t="s">
        <v>86</v>
      </c>
      <c r="K14" s="2"/>
      <c r="L14" s="206">
        <v>0.0</v>
      </c>
      <c r="M14" s="2" t="s">
        <v>86</v>
      </c>
      <c r="O14" s="371">
        <f>round(L14*7/AI14,0)</f>
        <v>0</v>
      </c>
      <c r="P14" s="2" t="s">
        <v>2241</v>
      </c>
      <c r="Q14" s="2" t="s">
        <v>2353</v>
      </c>
      <c r="AG14" s="2"/>
      <c r="AH14" s="236" t="s">
        <v>71</v>
      </c>
      <c r="AI14" s="370">
        <v>5.0</v>
      </c>
      <c r="AJ14" s="2" t="s">
        <v>2238</v>
      </c>
      <c r="AK14" s="104">
        <v>5.0</v>
      </c>
      <c r="AL14" s="55"/>
      <c r="AM14" s="2" t="s">
        <v>2354</v>
      </c>
    </row>
    <row r="15">
      <c r="D15" s="102">
        <v>5.0</v>
      </c>
      <c r="E15" s="2" t="s">
        <v>150</v>
      </c>
      <c r="F15" s="2" t="s">
        <v>387</v>
      </c>
      <c r="G15" s="221">
        <f t="shared" si="4"/>
        <v>1</v>
      </c>
      <c r="H15" s="2" t="s">
        <v>90</v>
      </c>
      <c r="I15" s="221">
        <f t="shared" ref="I15:I16" si="5">-1*G15</f>
        <v>-1</v>
      </c>
      <c r="J15" s="2" t="s">
        <v>86</v>
      </c>
      <c r="K15" s="370">
        <v>1.0</v>
      </c>
      <c r="L15" s="152">
        <f t="shared" ref="L15:L16" si="6">K15*I15</f>
        <v>-1</v>
      </c>
      <c r="M15" s="2" t="s">
        <v>2241</v>
      </c>
      <c r="O15" s="152">
        <f t="shared" ref="O15:O16" si="7">-round(I15*0.1,0)</f>
        <v>0</v>
      </c>
      <c r="P15" s="2" t="s">
        <v>2241</v>
      </c>
      <c r="Q15" s="2" t="s">
        <v>2355</v>
      </c>
      <c r="AG15" s="2"/>
      <c r="AH15" s="236" t="s">
        <v>387</v>
      </c>
      <c r="AI15" s="370">
        <v>5.0</v>
      </c>
      <c r="AJ15" s="2" t="s">
        <v>2238</v>
      </c>
      <c r="AK15" s="104">
        <v>5.0</v>
      </c>
      <c r="AL15" s="55"/>
      <c r="AM15" s="2" t="s">
        <v>2356</v>
      </c>
    </row>
    <row r="16">
      <c r="D16" s="102">
        <v>5.0</v>
      </c>
      <c r="E16" s="2" t="s">
        <v>150</v>
      </c>
      <c r="F16" s="2" t="s">
        <v>626</v>
      </c>
      <c r="G16" s="221">
        <f t="shared" si="4"/>
        <v>1</v>
      </c>
      <c r="H16" s="2" t="s">
        <v>90</v>
      </c>
      <c r="I16" s="221">
        <f t="shared" si="5"/>
        <v>-1</v>
      </c>
      <c r="J16" s="2" t="s">
        <v>86</v>
      </c>
      <c r="K16" s="370">
        <v>1.0</v>
      </c>
      <c r="L16" s="152">
        <f t="shared" si="6"/>
        <v>-1</v>
      </c>
      <c r="M16" s="2" t="s">
        <v>2241</v>
      </c>
      <c r="O16" s="152">
        <f t="shared" si="7"/>
        <v>0</v>
      </c>
      <c r="P16" s="2" t="s">
        <v>2241</v>
      </c>
      <c r="Q16" s="2" t="s">
        <v>2357</v>
      </c>
      <c r="AH16" s="360" t="s">
        <v>626</v>
      </c>
      <c r="AI16" s="372">
        <v>3.0</v>
      </c>
      <c r="AJ16" s="234" t="s">
        <v>2238</v>
      </c>
      <c r="AK16" s="373">
        <v>3.0</v>
      </c>
      <c r="AL16" s="363"/>
    </row>
    <row r="17">
      <c r="D17" s="102">
        <v>10.0</v>
      </c>
      <c r="E17" s="2" t="s">
        <v>150</v>
      </c>
      <c r="F17" s="2" t="s">
        <v>611</v>
      </c>
      <c r="G17" s="221">
        <f t="shared" si="4"/>
        <v>2</v>
      </c>
      <c r="H17" s="2" t="s">
        <v>90</v>
      </c>
      <c r="I17" s="29"/>
      <c r="J17" s="29"/>
      <c r="K17" s="370">
        <v>0.0</v>
      </c>
      <c r="L17" s="8" t="s">
        <v>2238</v>
      </c>
      <c r="M17" s="104">
        <v>2.0</v>
      </c>
      <c r="O17" s="222">
        <f>-round(AI21*K17*AI27/1000/M17,0)</f>
        <v>0</v>
      </c>
      <c r="P17" s="2" t="s">
        <v>2241</v>
      </c>
      <c r="Q17" s="2" t="s">
        <v>2361</v>
      </c>
      <c r="AG17" s="2"/>
    </row>
    <row r="18">
      <c r="D18" s="102">
        <v>5.0</v>
      </c>
      <c r="E18" s="2" t="s">
        <v>150</v>
      </c>
      <c r="F18" s="2" t="s">
        <v>213</v>
      </c>
      <c r="G18" s="221">
        <f t="shared" si="4"/>
        <v>1</v>
      </c>
      <c r="H18" s="2" t="s">
        <v>90</v>
      </c>
      <c r="I18" s="221">
        <f>5*G18*2</f>
        <v>10</v>
      </c>
      <c r="J18" s="2" t="s">
        <v>86</v>
      </c>
      <c r="K18" s="370">
        <v>1.0</v>
      </c>
      <c r="O18" s="2"/>
      <c r="Q18" s="2" t="s">
        <v>2363</v>
      </c>
      <c r="AG18" s="2"/>
      <c r="AH18" s="353" t="s">
        <v>2364</v>
      </c>
      <c r="AI18" s="106"/>
      <c r="AJ18" s="106"/>
      <c r="AK18" s="106"/>
      <c r="AL18" s="107"/>
    </row>
    <row r="19">
      <c r="D19" s="102">
        <v>4.0</v>
      </c>
      <c r="E19" s="2" t="s">
        <v>150</v>
      </c>
      <c r="F19" s="2" t="s">
        <v>6</v>
      </c>
      <c r="G19" s="221">
        <f t="shared" si="4"/>
        <v>0.8</v>
      </c>
      <c r="H19" s="2" t="s">
        <v>90</v>
      </c>
      <c r="I19" s="154">
        <f>G19 * 100</f>
        <v>80</v>
      </c>
      <c r="J19" s="2" t="s">
        <v>2324</v>
      </c>
      <c r="K19" s="370">
        <v>1.0</v>
      </c>
      <c r="L19" s="153">
        <f>round(AI3*0.01,0)</f>
        <v>1</v>
      </c>
      <c r="O19" s="153">
        <f>round(AI3*0.01,0)</f>
        <v>1</v>
      </c>
      <c r="P19" s="2" t="s">
        <v>2241</v>
      </c>
      <c r="Q19" s="2" t="s">
        <v>2368</v>
      </c>
      <c r="AG19" s="2"/>
      <c r="AH19" s="236" t="s">
        <v>2370</v>
      </c>
      <c r="AI19" s="102" t="s">
        <v>2371</v>
      </c>
      <c r="AL19" s="55"/>
    </row>
    <row r="20">
      <c r="D20" s="102">
        <v>0.0</v>
      </c>
      <c r="E20" s="2" t="s">
        <v>150</v>
      </c>
      <c r="F20" s="2" t="s">
        <v>617</v>
      </c>
      <c r="G20" s="221">
        <f t="shared" si="4"/>
        <v>0</v>
      </c>
      <c r="H20" s="2" t="s">
        <v>90</v>
      </c>
      <c r="K20" s="370">
        <v>1.0</v>
      </c>
      <c r="AH20" s="236" t="s">
        <v>1989</v>
      </c>
      <c r="AI20" s="102">
        <v>42.0</v>
      </c>
      <c r="AJ20" s="2" t="s">
        <v>781</v>
      </c>
      <c r="AL20" s="55"/>
    </row>
    <row r="21">
      <c r="D21" s="102">
        <v>15.0</v>
      </c>
      <c r="E21" s="2" t="s">
        <v>150</v>
      </c>
      <c r="F21" s="2" t="s">
        <v>471</v>
      </c>
      <c r="G21" s="221">
        <f t="shared" si="4"/>
        <v>3</v>
      </c>
      <c r="H21" s="2" t="s">
        <v>90</v>
      </c>
      <c r="K21" s="29"/>
      <c r="O21" s="210">
        <f>-round(D6*0.0025,0)</f>
        <v>-2</v>
      </c>
      <c r="P21" s="2" t="s">
        <v>2241</v>
      </c>
      <c r="Q21" s="2" t="s">
        <v>2377</v>
      </c>
      <c r="AG21" s="2"/>
      <c r="AH21" s="236" t="s">
        <v>2340</v>
      </c>
      <c r="AI21" s="374">
        <f>1000*G17/AI20</f>
        <v>47.61904762</v>
      </c>
      <c r="AL21" s="51" t="s">
        <v>640</v>
      </c>
    </row>
    <row r="22">
      <c r="D22" s="102">
        <v>5.0</v>
      </c>
      <c r="E22" s="2" t="s">
        <v>150</v>
      </c>
      <c r="F22" s="2" t="s">
        <v>619</v>
      </c>
      <c r="G22" s="221">
        <f t="shared" si="4"/>
        <v>1</v>
      </c>
      <c r="H22" s="2" t="s">
        <v>90</v>
      </c>
      <c r="K22" s="29"/>
      <c r="Z22" s="2"/>
      <c r="AG22" s="2"/>
      <c r="AH22" s="236" t="s">
        <v>2382</v>
      </c>
      <c r="AI22" s="221">
        <f>M17</f>
        <v>2</v>
      </c>
      <c r="AJ22" s="2"/>
      <c r="AK22" s="2"/>
      <c r="AL22" s="55"/>
    </row>
    <row r="23">
      <c r="D23" s="221">
        <f>G23/G7*100</f>
        <v>31</v>
      </c>
      <c r="E23" s="2" t="s">
        <v>150</v>
      </c>
      <c r="F23" s="2" t="s">
        <v>1568</v>
      </c>
      <c r="G23" s="221">
        <f>sum(G30:G45)+G25</f>
        <v>6.2</v>
      </c>
      <c r="H23" s="2" t="s">
        <v>90</v>
      </c>
      <c r="K23" s="29"/>
      <c r="AG23" s="2"/>
      <c r="AH23" s="236" t="s">
        <v>1704</v>
      </c>
      <c r="AI23" s="102">
        <v>1.0</v>
      </c>
      <c r="AL23" s="55"/>
    </row>
    <row r="24">
      <c r="I24" s="3" t="s">
        <v>71</v>
      </c>
      <c r="AH24" s="236" t="s">
        <v>2387</v>
      </c>
      <c r="AI24" s="375" t="s">
        <v>2388</v>
      </c>
      <c r="AL24" s="55"/>
    </row>
    <row r="25">
      <c r="A25" s="52"/>
      <c r="B25" s="52" t="s">
        <v>2389</v>
      </c>
      <c r="D25" s="221">
        <f>G25/$G$7*100</f>
        <v>25</v>
      </c>
      <c r="E25" s="2" t="s">
        <v>150</v>
      </c>
      <c r="F25" s="2" t="s">
        <v>2390</v>
      </c>
      <c r="G25" s="222">
        <f>D26*G26+D27*G27+G28*D28</f>
        <v>5</v>
      </c>
      <c r="H25" s="2" t="s">
        <v>90</v>
      </c>
      <c r="I25" s="52" t="s">
        <v>1673</v>
      </c>
      <c r="K25" s="5" t="s">
        <v>2226</v>
      </c>
      <c r="L25" s="52" t="s">
        <v>2327</v>
      </c>
      <c r="O25" s="52" t="s">
        <v>72</v>
      </c>
      <c r="Q25" s="4" t="s">
        <v>2228</v>
      </c>
      <c r="R25" s="211" t="s">
        <v>1461</v>
      </c>
      <c r="S25" s="3"/>
      <c r="T25" s="2" t="s">
        <v>2394</v>
      </c>
      <c r="Y25" s="5" t="s">
        <v>1673</v>
      </c>
      <c r="AB25" s="52" t="s">
        <v>1832</v>
      </c>
      <c r="AD25" s="376"/>
      <c r="AF25" s="3" t="s">
        <v>1937</v>
      </c>
      <c r="AH25" s="236" t="s">
        <v>1697</v>
      </c>
      <c r="AI25" s="210">
        <f>sqrt(AI21/AI22*if(AI24="Triangle",2,1))*AI23</f>
        <v>6.900655593</v>
      </c>
      <c r="AL25" s="51" t="s">
        <v>189</v>
      </c>
    </row>
    <row r="26">
      <c r="B26" s="378" t="s">
        <v>2398</v>
      </c>
      <c r="D26" s="102">
        <v>1.0</v>
      </c>
      <c r="E26" s="2" t="s">
        <v>2236</v>
      </c>
      <c r="F26" s="102" t="s">
        <v>2400</v>
      </c>
      <c r="G26" s="102">
        <v>1.0</v>
      </c>
      <c r="H26" s="2" t="s">
        <v>90</v>
      </c>
      <c r="I26" s="102">
        <v>-2.0</v>
      </c>
      <c r="J26" s="2" t="s">
        <v>2241</v>
      </c>
      <c r="K26" s="370">
        <v>2.0</v>
      </c>
      <c r="L26" s="221">
        <f t="shared" ref="L26:L28" si="8">K26*I26*Q26</f>
        <v>0</v>
      </c>
      <c r="M26" s="2" t="s">
        <v>2241</v>
      </c>
      <c r="O26" s="221">
        <f>-L26</f>
        <v>0</v>
      </c>
      <c r="P26" s="2" t="s">
        <v>2241</v>
      </c>
      <c r="Q26" s="370">
        <v>0.0</v>
      </c>
      <c r="R26" s="221">
        <f t="shared" ref="R26:R27" si="9">X26/10</f>
        <v>40</v>
      </c>
      <c r="S26" s="2" t="s">
        <v>295</v>
      </c>
      <c r="T26" s="243" t="s">
        <v>1695</v>
      </c>
      <c r="U26" s="327">
        <f t="shared" ref="U26:U27" si="10">R26</f>
        <v>40</v>
      </c>
      <c r="W26" s="8" t="s">
        <v>2238</v>
      </c>
      <c r="X26" s="222">
        <f>sqrt(-5000*I26*AF26^2)*2</f>
        <v>400</v>
      </c>
      <c r="Z26" s="2" t="s">
        <v>295</v>
      </c>
      <c r="AB26" s="221">
        <v>5.0</v>
      </c>
      <c r="AC26" s="2" t="s">
        <v>1549</v>
      </c>
      <c r="AF26" s="104">
        <v>2.0</v>
      </c>
      <c r="AH26" s="236" t="s">
        <v>2325</v>
      </c>
      <c r="AI26" s="210">
        <f>sqrt(AI21/AI22*if(AI24="Triangle",2,1))*1/AI23</f>
        <v>6.900655593</v>
      </c>
      <c r="AL26" s="51" t="s">
        <v>189</v>
      </c>
    </row>
    <row r="27">
      <c r="B27" s="2" t="s">
        <v>2414</v>
      </c>
      <c r="D27" s="102">
        <v>2.0</v>
      </c>
      <c r="E27" s="2" t="s">
        <v>2236</v>
      </c>
      <c r="F27" s="102" t="s">
        <v>2416</v>
      </c>
      <c r="G27" s="102">
        <v>1.0</v>
      </c>
      <c r="H27" s="2" t="s">
        <v>90</v>
      </c>
      <c r="I27" s="102">
        <v>-2.0</v>
      </c>
      <c r="J27" s="2" t="s">
        <v>2241</v>
      </c>
      <c r="K27" s="370">
        <v>1.0</v>
      </c>
      <c r="L27" s="221">
        <f t="shared" si="8"/>
        <v>-2</v>
      </c>
      <c r="M27" s="2" t="s">
        <v>2241</v>
      </c>
      <c r="O27" s="221">
        <f>-L27/2</f>
        <v>1</v>
      </c>
      <c r="P27" s="2" t="s">
        <v>2241</v>
      </c>
      <c r="Q27" s="370">
        <v>1.0</v>
      </c>
      <c r="R27" s="221">
        <f t="shared" si="9"/>
        <v>20</v>
      </c>
      <c r="S27" s="2" t="s">
        <v>295</v>
      </c>
      <c r="T27" s="243" t="s">
        <v>1695</v>
      </c>
      <c r="U27" s="327">
        <f t="shared" si="10"/>
        <v>20</v>
      </c>
      <c r="W27" s="8" t="s">
        <v>2238</v>
      </c>
      <c r="X27" s="222">
        <f>sqrt(-5000*I27*AF27^2)</f>
        <v>200</v>
      </c>
      <c r="Z27" s="2" t="s">
        <v>295</v>
      </c>
      <c r="AB27" s="221">
        <v>5.0</v>
      </c>
      <c r="AC27" s="2" t="s">
        <v>1549</v>
      </c>
      <c r="AD27" s="221">
        <f>-I27/2</f>
        <v>1</v>
      </c>
      <c r="AE27" s="2" t="s">
        <v>72</v>
      </c>
      <c r="AF27" s="104">
        <v>2.0</v>
      </c>
      <c r="AH27" s="360" t="s">
        <v>739</v>
      </c>
      <c r="AI27" s="367">
        <v>212.0</v>
      </c>
      <c r="AJ27" s="234" t="s">
        <v>775</v>
      </c>
      <c r="AK27" s="235"/>
      <c r="AL27" s="363"/>
    </row>
    <row r="28">
      <c r="B28" s="378" t="s">
        <v>2432</v>
      </c>
      <c r="D28" s="102">
        <v>1.0</v>
      </c>
      <c r="E28" s="2" t="s">
        <v>2236</v>
      </c>
      <c r="F28" s="102" t="s">
        <v>2434</v>
      </c>
      <c r="G28" s="102">
        <v>2.0</v>
      </c>
      <c r="H28" s="2" t="s">
        <v>90</v>
      </c>
      <c r="I28" s="102">
        <f>-G28</f>
        <v>-2</v>
      </c>
      <c r="J28" s="2" t="s">
        <v>2241</v>
      </c>
      <c r="K28" s="370">
        <v>1.0</v>
      </c>
      <c r="L28" s="221">
        <f t="shared" si="8"/>
        <v>0</v>
      </c>
      <c r="M28" s="2" t="s">
        <v>2241</v>
      </c>
      <c r="O28" s="221">
        <f>-L28</f>
        <v>0</v>
      </c>
      <c r="P28" s="2" t="s">
        <v>2241</v>
      </c>
      <c r="Q28" s="370">
        <v>0.0</v>
      </c>
      <c r="R28" s="221">
        <v>1.0</v>
      </c>
      <c r="S28" s="2" t="s">
        <v>93</v>
      </c>
      <c r="U28" s="2" t="s">
        <v>2440</v>
      </c>
      <c r="AB28" s="380" t="s">
        <v>2442</v>
      </c>
      <c r="AC28" s="2" t="s">
        <v>1979</v>
      </c>
      <c r="AD28" s="5"/>
      <c r="AE28" s="8"/>
      <c r="AF28" s="104">
        <v>48.0</v>
      </c>
    </row>
    <row r="29">
      <c r="AH29" s="353" t="s">
        <v>2446</v>
      </c>
      <c r="AI29" s="106"/>
      <c r="AJ29" s="106"/>
      <c r="AK29" s="106"/>
      <c r="AL29" s="107"/>
    </row>
    <row r="30">
      <c r="A30" s="52"/>
      <c r="B30" s="378" t="s">
        <v>2447</v>
      </c>
      <c r="F30" s="102" t="s">
        <v>2376</v>
      </c>
      <c r="G30" s="102">
        <v>0.2</v>
      </c>
      <c r="H30" s="2" t="s">
        <v>90</v>
      </c>
      <c r="I30" s="102">
        <v>0.0</v>
      </c>
      <c r="J30" s="2" t="s">
        <v>2241</v>
      </c>
      <c r="K30" s="8"/>
      <c r="O30" s="221">
        <f>-round(L30*0.1,0)</f>
        <v>0</v>
      </c>
      <c r="P30" s="2" t="s">
        <v>2241</v>
      </c>
      <c r="Q30" s="2" t="s">
        <v>2448</v>
      </c>
      <c r="AH30" s="236" t="s">
        <v>2449</v>
      </c>
      <c r="AI30" s="102">
        <v>5.0</v>
      </c>
      <c r="AK30" s="2" t="s">
        <v>2450</v>
      </c>
      <c r="AL30" s="55"/>
    </row>
    <row r="31">
      <c r="A31" s="52"/>
      <c r="B31" s="52"/>
      <c r="C31" s="52" t="s">
        <v>1938</v>
      </c>
      <c r="E31" s="206">
        <v>5.0</v>
      </c>
      <c r="F31" s="102" t="s">
        <v>2451</v>
      </c>
      <c r="G31" s="239">
        <f>0.1*E31</f>
        <v>0.5</v>
      </c>
      <c r="H31" s="2" t="s">
        <v>90</v>
      </c>
      <c r="K31" s="29"/>
      <c r="Q31" s="2" t="s">
        <v>2452</v>
      </c>
      <c r="AH31" s="236" t="s">
        <v>2453</v>
      </c>
      <c r="AI31" s="210">
        <f>G22/D6*1000*AI30</f>
        <v>5.040322581</v>
      </c>
      <c r="AJ31" s="2" t="s">
        <v>781</v>
      </c>
      <c r="AL31" s="55"/>
    </row>
    <row r="32">
      <c r="A32" s="52"/>
      <c r="B32" s="52"/>
      <c r="C32" s="52" t="s">
        <v>2455</v>
      </c>
      <c r="E32" s="206">
        <v>1.0</v>
      </c>
      <c r="F32" s="102" t="s">
        <v>2456</v>
      </c>
      <c r="G32" s="102">
        <f>0.1*1+0.2*E32</f>
        <v>0.3</v>
      </c>
      <c r="H32" s="2" t="s">
        <v>90</v>
      </c>
      <c r="I32" s="102">
        <v>0.0</v>
      </c>
      <c r="J32" s="2" t="s">
        <v>2241</v>
      </c>
      <c r="K32" s="370">
        <v>1.0</v>
      </c>
      <c r="O32" s="221">
        <f>-round(L32*0.1,0)</f>
        <v>0</v>
      </c>
      <c r="P32" s="2" t="s">
        <v>2241</v>
      </c>
      <c r="Q32" s="2" t="s">
        <v>2457</v>
      </c>
      <c r="AH32" s="236" t="s">
        <v>2453</v>
      </c>
      <c r="AI32" s="213">
        <f>AI31*1000/10000</f>
        <v>0.5040322581</v>
      </c>
      <c r="AJ32" s="2" t="s">
        <v>1803</v>
      </c>
      <c r="AL32" s="55"/>
    </row>
    <row r="33">
      <c r="C33" s="52" t="s">
        <v>607</v>
      </c>
      <c r="F33" s="102" t="s">
        <v>2459</v>
      </c>
      <c r="G33" s="152">
        <f>G7/100</f>
        <v>0.2</v>
      </c>
      <c r="H33" s="2" t="s">
        <v>90</v>
      </c>
      <c r="K33" s="370">
        <v>1.0</v>
      </c>
      <c r="Q33" s="207" t="s">
        <v>2460</v>
      </c>
      <c r="AH33" s="236" t="s">
        <v>1983</v>
      </c>
      <c r="AI33" s="102" t="s">
        <v>2002</v>
      </c>
      <c r="AL33" s="55"/>
    </row>
    <row r="34">
      <c r="AH34" s="236" t="s">
        <v>1396</v>
      </c>
      <c r="AI34" s="342">
        <v>0.5</v>
      </c>
      <c r="AJ34" s="2" t="s">
        <v>1145</v>
      </c>
      <c r="AL34" s="55"/>
    </row>
    <row r="35">
      <c r="AH35" s="236" t="s">
        <v>2461</v>
      </c>
      <c r="AI35" s="102">
        <v>50.0</v>
      </c>
      <c r="AJ35" s="2" t="s">
        <v>1134</v>
      </c>
      <c r="AL35" s="55"/>
    </row>
    <row r="36">
      <c r="AH36" s="236" t="s">
        <v>2463</v>
      </c>
      <c r="AI36" s="206">
        <v>9.0</v>
      </c>
      <c r="AJ36" s="2" t="s">
        <v>2464</v>
      </c>
      <c r="AL36" s="55"/>
    </row>
    <row r="37">
      <c r="AH37" s="236" t="s">
        <v>2465</v>
      </c>
      <c r="AI37" s="213">
        <f>AI34*AI32*AI36</f>
        <v>2.268145161</v>
      </c>
      <c r="AJ37" s="2" t="s">
        <v>1145</v>
      </c>
      <c r="AL37" s="55"/>
    </row>
    <row r="38">
      <c r="AH38" s="360" t="s">
        <v>2466</v>
      </c>
      <c r="AI38" s="386">
        <f>AI35*AI32*AI36</f>
        <v>226.8145161</v>
      </c>
      <c r="AJ38" s="234" t="s">
        <v>1145</v>
      </c>
      <c r="AK38" s="235"/>
      <c r="AL38" s="363"/>
    </row>
  </sheetData>
  <mergeCells count="12">
    <mergeCell ref="U26:V26"/>
    <mergeCell ref="X26:Y26"/>
    <mergeCell ref="AI26:AK26"/>
    <mergeCell ref="U27:V27"/>
    <mergeCell ref="X27:Y27"/>
    <mergeCell ref="I11:M11"/>
    <mergeCell ref="AI19:AL19"/>
    <mergeCell ref="AI21:AK21"/>
    <mergeCell ref="AI23:AK23"/>
    <mergeCell ref="I24:M24"/>
    <mergeCell ref="AI24:AK24"/>
    <mergeCell ref="AI25:AK25"/>
  </mergeCells>
  <hyperlinks>
    <hyperlink r:id="rId2" location="id--Exacting_Class_Starfighter" ref="D2"/>
  </hyperlinks>
  <drawing r:id="rId3"/>
  <legacy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4.13"/>
    <col customWidth="1" min="4" max="4" width="5.25"/>
    <col customWidth="1" min="5" max="5" width="2.63"/>
    <col customWidth="1" min="6" max="6" width="5.13"/>
    <col customWidth="1" min="7" max="7" width="3.88"/>
    <col customWidth="1" min="8" max="8" width="2.25"/>
    <col customWidth="1" min="9" max="9" width="4.38"/>
    <col customWidth="1" min="10" max="10" width="10.13"/>
    <col customWidth="1" min="11" max="11" width="5.25"/>
    <col customWidth="1" min="12" max="12" width="4.25"/>
    <col customWidth="1" min="13" max="13" width="5.38"/>
    <col customWidth="1" min="14" max="14" width="5.25"/>
    <col customWidth="1" min="15" max="15" width="4.88"/>
    <col customWidth="1" min="17" max="17" width="5.25"/>
    <col customWidth="1" min="18" max="18" width="5.0"/>
    <col customWidth="1" min="19" max="19" width="2.88"/>
    <col customWidth="1" min="21" max="21" width="5.0"/>
    <col customWidth="1" min="23" max="23" width="4.75"/>
  </cols>
  <sheetData>
    <row r="4">
      <c r="C4" s="52" t="s">
        <v>1579</v>
      </c>
      <c r="D4" s="52" t="s">
        <v>1491</v>
      </c>
      <c r="F4" s="52" t="s">
        <v>2358</v>
      </c>
      <c r="G4" s="2"/>
      <c r="H4" s="2"/>
      <c r="I4" s="52" t="s">
        <v>72</v>
      </c>
      <c r="J4" s="52" t="s">
        <v>2359</v>
      </c>
      <c r="L4" s="2" t="s">
        <v>2360</v>
      </c>
      <c r="M4" s="2"/>
      <c r="N4" s="52" t="s">
        <v>600</v>
      </c>
      <c r="O4" s="52" t="s">
        <v>1584</v>
      </c>
    </row>
    <row r="5">
      <c r="A5" s="52" t="s">
        <v>1920</v>
      </c>
      <c r="B5" s="2" t="s">
        <v>1953</v>
      </c>
      <c r="C5" s="8">
        <v>3.0</v>
      </c>
      <c r="D5" s="2">
        <v>2.0</v>
      </c>
      <c r="E5" s="2" t="s">
        <v>90</v>
      </c>
      <c r="F5" s="8">
        <f>D5*0.1</f>
        <v>0.2</v>
      </c>
      <c r="G5" s="2"/>
      <c r="H5" s="2"/>
      <c r="I5" s="2">
        <f t="shared" ref="I5:I6" si="1">F5</f>
        <v>0.2</v>
      </c>
      <c r="J5" s="2">
        <v>3.0</v>
      </c>
      <c r="L5" s="38"/>
      <c r="M5" s="38"/>
      <c r="N5" s="29">
        <f>1*0.5*2</f>
        <v>1</v>
      </c>
      <c r="O5" s="29">
        <f>D5/N5</f>
        <v>2</v>
      </c>
      <c r="X5" s="2" t="s">
        <v>592</v>
      </c>
    </row>
    <row r="6">
      <c r="B6" s="2" t="s">
        <v>2362</v>
      </c>
      <c r="C6" s="8">
        <v>3.0</v>
      </c>
      <c r="D6" s="2">
        <v>4.0</v>
      </c>
      <c r="E6" s="2" t="s">
        <v>90</v>
      </c>
      <c r="F6" s="8">
        <f t="shared" ref="F6:F9" si="2">D6/10</f>
        <v>0.4</v>
      </c>
      <c r="I6" s="2">
        <f t="shared" si="1"/>
        <v>0.4</v>
      </c>
      <c r="J6" s="2">
        <v>4.0</v>
      </c>
      <c r="L6" s="38"/>
      <c r="M6" s="38"/>
      <c r="N6" s="29">
        <f t="shared" ref="N6:N9" si="3">D6/O6</f>
        <v>2</v>
      </c>
      <c r="O6" s="8">
        <v>2.0</v>
      </c>
      <c r="X6" s="2" t="s">
        <v>592</v>
      </c>
    </row>
    <row r="7">
      <c r="B7" s="2" t="s">
        <v>2365</v>
      </c>
      <c r="C7" s="8">
        <v>4.0</v>
      </c>
      <c r="D7" s="2">
        <v>20.0</v>
      </c>
      <c r="E7" s="2" t="s">
        <v>90</v>
      </c>
      <c r="F7" s="8">
        <f t="shared" si="2"/>
        <v>2</v>
      </c>
      <c r="J7" s="2">
        <v>5.5</v>
      </c>
      <c r="N7" s="29">
        <f t="shared" si="3"/>
        <v>10</v>
      </c>
      <c r="O7" s="8">
        <v>2.0</v>
      </c>
    </row>
    <row r="8">
      <c r="B8" s="2" t="s">
        <v>2366</v>
      </c>
      <c r="C8" s="8">
        <v>5.0</v>
      </c>
      <c r="D8" s="2">
        <v>50.0</v>
      </c>
      <c r="E8" s="2" t="s">
        <v>90</v>
      </c>
      <c r="F8" s="8">
        <f t="shared" si="2"/>
        <v>5</v>
      </c>
      <c r="J8" s="2">
        <v>15.0</v>
      </c>
      <c r="L8" s="38"/>
      <c r="M8" s="38"/>
      <c r="N8" s="29">
        <f t="shared" si="3"/>
        <v>25</v>
      </c>
      <c r="O8" s="8">
        <v>2.0</v>
      </c>
    </row>
    <row r="9">
      <c r="B9" s="2" t="s">
        <v>2367</v>
      </c>
      <c r="C9" s="8">
        <v>6.0</v>
      </c>
      <c r="D9" s="2">
        <v>100.0</v>
      </c>
      <c r="E9" s="2" t="s">
        <v>90</v>
      </c>
      <c r="F9" s="8">
        <f t="shared" si="2"/>
        <v>10</v>
      </c>
      <c r="J9" s="2">
        <v>20.0</v>
      </c>
      <c r="L9" s="38"/>
      <c r="M9" s="38"/>
      <c r="N9" s="29">
        <f t="shared" si="3"/>
        <v>50</v>
      </c>
      <c r="O9" s="8">
        <v>2.0</v>
      </c>
    </row>
    <row r="10">
      <c r="G10" s="3" t="s">
        <v>2369</v>
      </c>
      <c r="L10" s="38"/>
      <c r="M10" s="38"/>
      <c r="N10" s="29"/>
      <c r="O10" s="8"/>
    </row>
    <row r="11">
      <c r="A11" s="52" t="s">
        <v>2372</v>
      </c>
      <c r="B11" s="2" t="s">
        <v>2373</v>
      </c>
      <c r="C11" s="8">
        <v>0.0</v>
      </c>
      <c r="D11" s="2">
        <v>0.03</v>
      </c>
      <c r="F11" s="297">
        <f t="shared" ref="F11:F13" si="4">G11</f>
        <v>1</v>
      </c>
      <c r="G11" s="2">
        <v>1.0</v>
      </c>
      <c r="H11" s="2" t="s">
        <v>2236</v>
      </c>
      <c r="I11" s="2">
        <v>5.0</v>
      </c>
      <c r="J11" s="2" t="s">
        <v>36</v>
      </c>
      <c r="K11">
        <f t="shared" ref="K11:K13" si="5">D11/G11</f>
        <v>0.03</v>
      </c>
      <c r="L11" s="118" t="s">
        <v>2374</v>
      </c>
      <c r="M11" s="118"/>
      <c r="N11" s="29"/>
      <c r="O11" s="8"/>
    </row>
    <row r="12">
      <c r="B12" s="2" t="s">
        <v>2375</v>
      </c>
      <c r="C12" s="8">
        <v>1.0</v>
      </c>
      <c r="D12" s="2">
        <v>0.05</v>
      </c>
      <c r="F12" s="297">
        <f t="shared" si="4"/>
        <v>1</v>
      </c>
      <c r="G12" s="2">
        <v>1.0</v>
      </c>
      <c r="H12" s="2" t="s">
        <v>2236</v>
      </c>
      <c r="I12" s="2">
        <v>20.0</v>
      </c>
      <c r="J12" s="2" t="s">
        <v>36</v>
      </c>
      <c r="K12">
        <f t="shared" si="5"/>
        <v>0.05</v>
      </c>
      <c r="L12" s="118" t="s">
        <v>2374</v>
      </c>
      <c r="M12" s="118"/>
      <c r="N12" s="29"/>
      <c r="O12" s="8"/>
    </row>
    <row r="13">
      <c r="B13" s="2" t="s">
        <v>2376</v>
      </c>
      <c r="C13" s="8">
        <v>2.0</v>
      </c>
      <c r="D13" s="2">
        <v>0.2</v>
      </c>
      <c r="F13" s="297">
        <f t="shared" si="4"/>
        <v>1</v>
      </c>
      <c r="G13" s="2">
        <v>1.0</v>
      </c>
      <c r="H13" s="2" t="s">
        <v>2236</v>
      </c>
      <c r="I13" s="2">
        <v>100.0</v>
      </c>
      <c r="J13" s="2" t="s">
        <v>36</v>
      </c>
      <c r="K13">
        <f t="shared" si="5"/>
        <v>0.2</v>
      </c>
      <c r="L13" s="118" t="s">
        <v>2374</v>
      </c>
      <c r="M13" s="118"/>
      <c r="O13" s="29"/>
    </row>
    <row r="14">
      <c r="B14" s="2" t="s">
        <v>2378</v>
      </c>
      <c r="C14" s="8">
        <v>3.0</v>
      </c>
      <c r="D14" s="2">
        <f>G14*K14</f>
        <v>3</v>
      </c>
      <c r="F14" s="297">
        <f>G14/2</f>
        <v>6</v>
      </c>
      <c r="G14" s="2">
        <v>12.0</v>
      </c>
      <c r="H14" s="2" t="s">
        <v>2236</v>
      </c>
      <c r="I14" s="2">
        <v>20.0</v>
      </c>
      <c r="J14" s="2" t="s">
        <v>36</v>
      </c>
      <c r="K14" s="2">
        <v>0.25</v>
      </c>
      <c r="L14" s="118" t="s">
        <v>2374</v>
      </c>
      <c r="M14" s="118"/>
      <c r="N14" s="123"/>
      <c r="O14" s="6" t="s">
        <v>2379</v>
      </c>
    </row>
    <row r="15">
      <c r="B15" s="2" t="s">
        <v>2380</v>
      </c>
      <c r="C15" s="8">
        <v>3.0</v>
      </c>
      <c r="D15" s="2">
        <v>4.0</v>
      </c>
      <c r="F15" s="297">
        <f>G15</f>
        <v>1</v>
      </c>
      <c r="G15" s="2">
        <v>1.0</v>
      </c>
      <c r="H15" s="2" t="s">
        <v>2236</v>
      </c>
      <c r="I15" s="2">
        <v>500.0</v>
      </c>
      <c r="J15" s="2" t="s">
        <v>36</v>
      </c>
      <c r="K15">
        <f t="shared" ref="K15:K16" si="6">D15/G15</f>
        <v>4</v>
      </c>
      <c r="L15" s="118" t="s">
        <v>2374</v>
      </c>
      <c r="M15" s="118"/>
      <c r="O15" s="29"/>
    </row>
    <row r="16">
      <c r="A16" s="52" t="s">
        <v>2381</v>
      </c>
      <c r="B16" s="2" t="s">
        <v>2383</v>
      </c>
      <c r="C16" s="8">
        <v>4.0</v>
      </c>
      <c r="D16" s="2">
        <v>10.0</v>
      </c>
      <c r="F16" s="297">
        <f>G16/4</f>
        <v>10</v>
      </c>
      <c r="G16" s="2">
        <v>40.0</v>
      </c>
      <c r="H16" s="2" t="s">
        <v>2236</v>
      </c>
      <c r="I16" s="2">
        <v>20.0</v>
      </c>
      <c r="J16" s="2" t="s">
        <v>36</v>
      </c>
      <c r="K16">
        <f t="shared" si="6"/>
        <v>0.25</v>
      </c>
      <c r="L16" s="118" t="s">
        <v>2374</v>
      </c>
      <c r="M16" s="118"/>
      <c r="N16" s="8"/>
      <c r="O16" s="8"/>
    </row>
    <row r="17">
      <c r="B17" s="2" t="s">
        <v>2384</v>
      </c>
      <c r="C17" s="8">
        <v>5.0</v>
      </c>
      <c r="D17">
        <f t="shared" ref="D17:D19" si="7">G17*K17</f>
        <v>60</v>
      </c>
      <c r="F17" s="297">
        <f>G17/6</f>
        <v>40</v>
      </c>
      <c r="G17" s="2">
        <v>240.0</v>
      </c>
      <c r="H17" s="2" t="s">
        <v>2236</v>
      </c>
      <c r="I17" s="2">
        <v>20.0</v>
      </c>
      <c r="J17" s="2" t="s">
        <v>36</v>
      </c>
      <c r="K17" s="2">
        <v>0.25</v>
      </c>
      <c r="L17" s="118" t="s">
        <v>2374</v>
      </c>
      <c r="M17" s="118"/>
    </row>
    <row r="18">
      <c r="B18" s="2" t="s">
        <v>2385</v>
      </c>
      <c r="C18" s="8">
        <v>5.0</v>
      </c>
      <c r="D18">
        <f t="shared" si="7"/>
        <v>12</v>
      </c>
      <c r="F18" s="297">
        <f t="shared" ref="F18:F19" si="8">G18/2</f>
        <v>6</v>
      </c>
      <c r="G18" s="2">
        <v>12.0</v>
      </c>
      <c r="H18" s="2" t="s">
        <v>2236</v>
      </c>
      <c r="I18" s="2">
        <v>100.0</v>
      </c>
      <c r="J18" s="2" t="s">
        <v>36</v>
      </c>
      <c r="K18" s="2">
        <v>1.0</v>
      </c>
      <c r="L18" s="118" t="s">
        <v>2374</v>
      </c>
      <c r="M18" s="118"/>
    </row>
    <row r="19">
      <c r="B19" s="2" t="s">
        <v>2386</v>
      </c>
      <c r="C19" s="8">
        <v>6.0</v>
      </c>
      <c r="D19">
        <f t="shared" si="7"/>
        <v>60</v>
      </c>
      <c r="F19" s="297">
        <f t="shared" si="8"/>
        <v>6</v>
      </c>
      <c r="G19" s="2">
        <v>12.0</v>
      </c>
      <c r="H19" s="2" t="s">
        <v>2236</v>
      </c>
      <c r="I19" s="2">
        <v>500.0</v>
      </c>
      <c r="J19" s="2" t="s">
        <v>36</v>
      </c>
      <c r="K19" s="2">
        <v>5.0</v>
      </c>
      <c r="L19" s="118" t="s">
        <v>2374</v>
      </c>
      <c r="M19" s="118"/>
    </row>
    <row r="20">
      <c r="L20" s="38"/>
      <c r="M20" s="38"/>
    </row>
    <row r="21">
      <c r="C21" s="29"/>
      <c r="L21" s="29"/>
      <c r="M21" s="29"/>
    </row>
    <row r="22">
      <c r="C22" s="29"/>
      <c r="L22" s="29"/>
      <c r="M22" s="29"/>
    </row>
    <row r="23">
      <c r="C23" s="29"/>
      <c r="F23" s="52" t="s">
        <v>71</v>
      </c>
      <c r="I23" s="52" t="s">
        <v>72</v>
      </c>
      <c r="L23" s="4" t="s">
        <v>1697</v>
      </c>
      <c r="M23" s="3" t="s">
        <v>2325</v>
      </c>
      <c r="N23" s="3" t="s">
        <v>600</v>
      </c>
      <c r="O23" s="52" t="s">
        <v>1584</v>
      </c>
    </row>
    <row r="24">
      <c r="A24" s="52" t="s">
        <v>1929</v>
      </c>
      <c r="B24" s="2" t="s">
        <v>2391</v>
      </c>
      <c r="C24" s="8">
        <v>3.0</v>
      </c>
      <c r="D24" s="2">
        <v>1.0</v>
      </c>
      <c r="E24" s="2" t="s">
        <v>90</v>
      </c>
      <c r="F24" s="8">
        <f>D24*1/0.2*0.2</f>
        <v>1</v>
      </c>
      <c r="G24" s="2" t="s">
        <v>86</v>
      </c>
      <c r="I24">
        <f>F24*0.8</f>
        <v>0.8</v>
      </c>
      <c r="J24" s="2" t="s">
        <v>86</v>
      </c>
      <c r="L24" s="8">
        <v>4.0</v>
      </c>
      <c r="M24" s="8">
        <v>4.0</v>
      </c>
      <c r="N24" s="8">
        <f t="shared" ref="N24:N25" si="9">L24*M24*M24</f>
        <v>64</v>
      </c>
      <c r="O24" s="71">
        <f>D24/N24</f>
        <v>0.015625</v>
      </c>
      <c r="P24" s="2" t="s">
        <v>2395</v>
      </c>
      <c r="V24" s="179" t="s">
        <v>1389</v>
      </c>
    </row>
    <row r="25">
      <c r="A25" s="52" t="s">
        <v>2396</v>
      </c>
      <c r="B25" s="2" t="s">
        <v>2397</v>
      </c>
      <c r="C25" s="8">
        <v>4.0</v>
      </c>
      <c r="D25" s="2">
        <f>N25*O25</f>
        <v>5</v>
      </c>
      <c r="E25" s="2" t="s">
        <v>90</v>
      </c>
      <c r="F25" s="8">
        <f>D25</f>
        <v>5</v>
      </c>
      <c r="I25" s="2">
        <f>F25/5</f>
        <v>1</v>
      </c>
      <c r="L25" s="2">
        <v>20.0</v>
      </c>
      <c r="M25" s="2">
        <v>0.5</v>
      </c>
      <c r="N25" s="29">
        <f t="shared" si="9"/>
        <v>5</v>
      </c>
      <c r="O25" s="8">
        <v>1.0</v>
      </c>
    </row>
    <row r="26">
      <c r="A26" s="54"/>
      <c r="B26" s="2" t="s">
        <v>2401</v>
      </c>
      <c r="C26" s="8">
        <v>5.0</v>
      </c>
      <c r="D26" s="2">
        <v>10.0</v>
      </c>
      <c r="E26" s="2" t="s">
        <v>90</v>
      </c>
      <c r="F26" s="8">
        <v>5.0</v>
      </c>
      <c r="L26" s="2" t="s">
        <v>2402</v>
      </c>
      <c r="M26" s="2"/>
      <c r="N26" s="29">
        <f t="shared" ref="N26:N27" si="10">20*0.5*0.5</f>
        <v>5</v>
      </c>
      <c r="O26" s="8">
        <v>2.0</v>
      </c>
    </row>
    <row r="27">
      <c r="A27" s="54"/>
      <c r="B27" s="2" t="s">
        <v>2403</v>
      </c>
      <c r="C27" s="8">
        <v>4.0</v>
      </c>
      <c r="D27" s="2">
        <f t="shared" ref="D27:D29" si="11">N27*O27</f>
        <v>2</v>
      </c>
      <c r="E27" s="2" t="s">
        <v>90</v>
      </c>
      <c r="F27" s="8">
        <v>10.0</v>
      </c>
      <c r="I27" s="2">
        <f t="shared" ref="I27:I29" si="12">F27/5</f>
        <v>2</v>
      </c>
      <c r="L27" s="2" t="s">
        <v>2402</v>
      </c>
      <c r="M27" s="2"/>
      <c r="N27" s="29">
        <f t="shared" si="10"/>
        <v>5</v>
      </c>
      <c r="O27" s="8">
        <v>0.4</v>
      </c>
      <c r="P27" s="2" t="s">
        <v>2404</v>
      </c>
      <c r="Y27" s="2" t="s">
        <v>2405</v>
      </c>
    </row>
    <row r="28">
      <c r="A28" s="54"/>
      <c r="B28" s="2" t="s">
        <v>2406</v>
      </c>
      <c r="C28" s="29"/>
      <c r="D28" s="67">
        <f t="shared" si="11"/>
        <v>40</v>
      </c>
      <c r="E28" s="2" t="s">
        <v>90</v>
      </c>
      <c r="F28" s="56">
        <f>D28</f>
        <v>40</v>
      </c>
      <c r="I28" s="2">
        <f t="shared" si="12"/>
        <v>8</v>
      </c>
      <c r="L28" s="8">
        <v>40.0</v>
      </c>
      <c r="M28" s="29">
        <f t="shared" ref="M28:M29" si="13">L28/40</f>
        <v>1</v>
      </c>
      <c r="N28" s="39">
        <f t="shared" ref="N28:N29" si="14">L28*M28*M28</f>
        <v>40</v>
      </c>
      <c r="O28" s="8">
        <v>1.0</v>
      </c>
      <c r="P28" s="2" t="s">
        <v>2407</v>
      </c>
      <c r="Y28" s="52" t="s">
        <v>2408</v>
      </c>
    </row>
    <row r="29">
      <c r="B29" s="2" t="s">
        <v>2409</v>
      </c>
      <c r="D29" s="67">
        <f t="shared" si="11"/>
        <v>16</v>
      </c>
      <c r="E29" s="2" t="s">
        <v>90</v>
      </c>
      <c r="F29" s="8">
        <f>D29*5</f>
        <v>80</v>
      </c>
      <c r="I29" s="2">
        <f t="shared" si="12"/>
        <v>16</v>
      </c>
      <c r="L29" s="8">
        <v>40.0</v>
      </c>
      <c r="M29" s="29">
        <f t="shared" si="13"/>
        <v>1</v>
      </c>
      <c r="N29" s="39">
        <f t="shared" si="14"/>
        <v>40</v>
      </c>
      <c r="O29" s="8">
        <v>0.4</v>
      </c>
      <c r="P29" s="2" t="s">
        <v>2407</v>
      </c>
      <c r="Y29" s="54"/>
    </row>
    <row r="30">
      <c r="B30" s="2" t="s">
        <v>2411</v>
      </c>
      <c r="D30" s="87">
        <f>N30*O30/1000</f>
        <v>1.35</v>
      </c>
      <c r="E30" s="2" t="s">
        <v>1554</v>
      </c>
      <c r="F30" s="39">
        <f>5*D30</f>
        <v>6.75</v>
      </c>
      <c r="G30" s="2" t="s">
        <v>2412</v>
      </c>
      <c r="L30" s="2" t="s">
        <v>2413</v>
      </c>
      <c r="M30" s="2"/>
      <c r="N30">
        <f>150*3*3</f>
        <v>1350</v>
      </c>
      <c r="O30" s="8">
        <v>1.0</v>
      </c>
      <c r="P30" s="2" t="s">
        <v>2415</v>
      </c>
      <c r="Y30" s="2" t="s">
        <v>2417</v>
      </c>
    </row>
    <row r="31">
      <c r="Y31" s="2" t="s">
        <v>2418</v>
      </c>
    </row>
    <row r="32">
      <c r="A32" s="54"/>
      <c r="C32" s="29"/>
      <c r="G32" s="2"/>
      <c r="H32" s="2"/>
      <c r="I32" s="2" t="s">
        <v>2419</v>
      </c>
      <c r="J32" s="2" t="s">
        <v>2420</v>
      </c>
      <c r="Y32" s="2" t="s">
        <v>2421</v>
      </c>
    </row>
    <row r="33">
      <c r="B33" s="2" t="s">
        <v>2422</v>
      </c>
      <c r="C33" s="29"/>
      <c r="D33" s="2">
        <v>10.0</v>
      </c>
      <c r="Y33" s="52" t="s">
        <v>2423</v>
      </c>
    </row>
    <row r="34">
      <c r="A34" s="54"/>
      <c r="B34" s="2" t="s">
        <v>2424</v>
      </c>
      <c r="C34" s="29"/>
      <c r="G34" s="2"/>
      <c r="H34" s="2"/>
      <c r="I34" s="2" t="s">
        <v>2010</v>
      </c>
      <c r="J34" s="2" t="s">
        <v>2425</v>
      </c>
    </row>
    <row r="35">
      <c r="B35" s="2" t="s">
        <v>2426</v>
      </c>
      <c r="C35" s="29"/>
      <c r="D35" s="2">
        <v>14.0</v>
      </c>
      <c r="G35" s="2"/>
      <c r="H35" s="2"/>
      <c r="I35" s="2" t="s">
        <v>2427</v>
      </c>
      <c r="J35" s="2" t="s">
        <v>2428</v>
      </c>
      <c r="L35" s="29"/>
      <c r="M35" s="29"/>
    </row>
    <row r="36">
      <c r="B36" s="2" t="s">
        <v>2429</v>
      </c>
      <c r="C36" s="29"/>
      <c r="J36" s="2" t="s">
        <v>2428</v>
      </c>
      <c r="L36" s="29"/>
      <c r="M36" s="29"/>
    </row>
    <row r="37">
      <c r="B37" s="2" t="s">
        <v>2431</v>
      </c>
      <c r="C37" s="29"/>
      <c r="D37" s="2">
        <v>0.03</v>
      </c>
      <c r="J37" s="2" t="s">
        <v>2433</v>
      </c>
      <c r="L37" s="29"/>
      <c r="M37" s="29"/>
    </row>
    <row r="38">
      <c r="B38" s="2" t="s">
        <v>2435</v>
      </c>
      <c r="C38" s="29"/>
      <c r="D38" s="2">
        <v>0.04</v>
      </c>
      <c r="J38" s="2" t="s">
        <v>2436</v>
      </c>
      <c r="L38" s="29"/>
      <c r="M38" s="29"/>
    </row>
    <row r="39">
      <c r="B39" s="2" t="s">
        <v>2438</v>
      </c>
      <c r="C39" s="29"/>
      <c r="D39" s="2">
        <v>0.05</v>
      </c>
      <c r="J39" s="2" t="s">
        <v>2439</v>
      </c>
    </row>
    <row r="40">
      <c r="B40" s="2" t="s">
        <v>2441</v>
      </c>
      <c r="C40" s="29"/>
      <c r="D40" s="2">
        <v>0.25</v>
      </c>
      <c r="J40" s="2" t="s">
        <v>2443</v>
      </c>
    </row>
    <row r="41">
      <c r="B41" s="2" t="s">
        <v>2444</v>
      </c>
      <c r="C41" s="29"/>
      <c r="D41" s="2">
        <v>3.5</v>
      </c>
      <c r="J41" s="2" t="s">
        <v>2445</v>
      </c>
    </row>
    <row r="42">
      <c r="C42" s="29"/>
    </row>
    <row r="43">
      <c r="C43" s="29"/>
    </row>
    <row r="44">
      <c r="C44" s="29"/>
    </row>
    <row r="45">
      <c r="C45" s="29"/>
    </row>
    <row r="46">
      <c r="C46" s="29"/>
    </row>
    <row r="47">
      <c r="C47" s="29"/>
    </row>
    <row r="48">
      <c r="C48" s="29"/>
    </row>
    <row r="49">
      <c r="C49" s="29"/>
    </row>
    <row r="50">
      <c r="C50" s="29"/>
    </row>
  </sheetData>
  <mergeCells count="1">
    <mergeCell ref="G10:I10"/>
  </mergeCells>
  <hyperlinks>
    <hyperlink r:id="rId1" location="id--Laser_Cannon--Attack_Vector:_Tactical_Lasers" ref="V24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7.63"/>
    <col customWidth="1" min="3" max="3" width="4.75"/>
    <col customWidth="1" min="4" max="4" width="4.13"/>
    <col customWidth="1" min="5" max="5" width="3.38"/>
    <col customWidth="1" min="6" max="6" width="14.38"/>
    <col customWidth="1" min="7" max="7" width="3.75"/>
    <col customWidth="1" min="8" max="8" width="5.0"/>
    <col customWidth="1" min="9" max="9" width="3.75"/>
    <col customWidth="1" min="10" max="10" width="7.75"/>
    <col customWidth="1" min="11" max="11" width="2.75"/>
    <col customWidth="1" min="12" max="12" width="3.63"/>
    <col customWidth="1" min="13" max="14" width="3.13"/>
    <col customWidth="1" min="15" max="15" width="4.13"/>
    <col customWidth="1" min="16" max="16" width="7.25"/>
    <col customWidth="1" min="17" max="17" width="3.88"/>
    <col customWidth="1" min="18" max="18" width="4.88"/>
    <col customWidth="1" min="19" max="19" width="3.75"/>
    <col customWidth="1" min="20" max="20" width="2.5"/>
    <col customWidth="1" min="21" max="21" width="3.25"/>
    <col customWidth="1" min="22" max="27" width="2.5"/>
    <col customWidth="1" min="28" max="28" width="3.38"/>
    <col customWidth="1" min="29" max="29" width="5.75"/>
    <col customWidth="1" min="30" max="30" width="3.5"/>
    <col customWidth="1" min="31" max="31" width="5.13"/>
    <col customWidth="1" min="32" max="32" width="5.0"/>
    <col customWidth="1" min="34" max="34" width="4.63"/>
    <col customWidth="1" min="35" max="35" width="1.75"/>
    <col customWidth="1" min="36" max="36" width="3.63"/>
    <col customWidth="1" min="37" max="37" width="6.13"/>
    <col customWidth="1" min="39" max="39" width="3.38"/>
    <col customWidth="1" min="40" max="40" width="2.13"/>
    <col customWidth="1" min="41" max="41" width="4.0"/>
    <col customWidth="1" min="42" max="42" width="4.63"/>
    <col customWidth="1" min="43" max="43" width="4.25"/>
    <col customWidth="1" min="44" max="44" width="2.38"/>
    <col customWidth="1" min="45" max="46" width="4.5"/>
    <col customWidth="1" min="47" max="48" width="5.5"/>
    <col customWidth="1" min="51" max="51" width="5.63"/>
    <col customWidth="1" min="53" max="53" width="6.13"/>
  </cols>
  <sheetData>
    <row r="2">
      <c r="A2" s="52"/>
      <c r="B2" s="353" t="s">
        <v>2316</v>
      </c>
      <c r="C2" s="233"/>
      <c r="D2" s="354" t="s">
        <v>1642</v>
      </c>
      <c r="E2" s="106"/>
      <c r="F2" s="105" t="s">
        <v>2317</v>
      </c>
      <c r="G2" s="233" t="s">
        <v>2318</v>
      </c>
      <c r="H2" s="106"/>
      <c r="I2" s="355">
        <v>3.0</v>
      </c>
      <c r="J2" s="105" t="s">
        <v>1892</v>
      </c>
      <c r="K2" s="105"/>
      <c r="L2" s="106"/>
      <c r="M2" s="107"/>
      <c r="P2" s="353" t="s">
        <v>2321</v>
      </c>
      <c r="Q2" s="233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7"/>
      <c r="AG2" s="353" t="s">
        <v>2322</v>
      </c>
      <c r="AH2" s="106"/>
      <c r="AI2" s="106"/>
      <c r="AJ2" s="106"/>
      <c r="AK2" s="107"/>
      <c r="BA2" s="25">
        <f>sum(BA13:BA41)</f>
        <v>100</v>
      </c>
      <c r="BB2" s="2" t="s">
        <v>150</v>
      </c>
    </row>
    <row r="3">
      <c r="A3" s="2"/>
      <c r="B3" s="236"/>
      <c r="C3" s="2"/>
      <c r="D3" s="2"/>
      <c r="F3" s="52"/>
      <c r="H3" s="4" t="s">
        <v>2392</v>
      </c>
      <c r="I3" s="2" t="s">
        <v>2393</v>
      </c>
      <c r="M3" s="55"/>
      <c r="P3" s="241"/>
      <c r="R3" s="3" t="s">
        <v>207</v>
      </c>
      <c r="T3" s="3" t="s">
        <v>96</v>
      </c>
      <c r="V3" s="3" t="s">
        <v>294</v>
      </c>
      <c r="W3" s="52"/>
      <c r="Y3" s="3" t="s">
        <v>71</v>
      </c>
      <c r="Z3" s="52"/>
      <c r="AB3" s="52" t="s">
        <v>94</v>
      </c>
      <c r="AC3" s="52"/>
      <c r="AD3" s="52" t="s">
        <v>95</v>
      </c>
      <c r="AE3" s="55"/>
      <c r="AG3" s="236" t="s">
        <v>6</v>
      </c>
      <c r="AH3" s="356">
        <v>200.0</v>
      </c>
      <c r="AI3" s="2" t="s">
        <v>2238</v>
      </c>
      <c r="AJ3" s="377">
        <f>I20*min(K20,1)</f>
        <v>400</v>
      </c>
      <c r="AK3" s="51" t="s">
        <v>2324</v>
      </c>
      <c r="BA3" s="25">
        <f>max(100-sum(BA13:BA16)-sum(BA18:BA32)-sum(BA34:BA40) , 0)</f>
        <v>10.86247324</v>
      </c>
      <c r="BB3" s="2" t="s">
        <v>150</v>
      </c>
    </row>
    <row r="4">
      <c r="A4" s="2"/>
      <c r="B4" s="236" t="s">
        <v>2325</v>
      </c>
      <c r="C4" s="2"/>
      <c r="D4" s="102">
        <v>15.0</v>
      </c>
      <c r="E4" s="2" t="s">
        <v>189</v>
      </c>
      <c r="F4" s="52" t="s">
        <v>2326</v>
      </c>
      <c r="I4" s="52" t="s">
        <v>2327</v>
      </c>
      <c r="M4" s="55"/>
      <c r="N4" s="2"/>
      <c r="O4" s="2"/>
      <c r="P4" s="236" t="s">
        <v>2399</v>
      </c>
      <c r="Q4" s="2"/>
      <c r="R4" s="379">
        <f t="shared" ref="R4:R6" si="1">0.01*60*V4</f>
        <v>0</v>
      </c>
      <c r="S4" s="2" t="s">
        <v>143</v>
      </c>
      <c r="T4" s="102" t="s">
        <v>319</v>
      </c>
      <c r="V4" s="357">
        <f t="shared" ref="V4:V6" si="2">AD4/$K$5*100</f>
        <v>0</v>
      </c>
      <c r="W4" s="2" t="s">
        <v>93</v>
      </c>
      <c r="X4" s="221">
        <f>L12</f>
        <v>0</v>
      </c>
      <c r="Z4" s="2" t="s">
        <v>121</v>
      </c>
      <c r="AB4" s="2">
        <v>7.0</v>
      </c>
      <c r="AC4" s="2" t="s">
        <v>2331</v>
      </c>
      <c r="AD4" s="210">
        <f t="shared" ref="AD4:AD6" si="3">2*X4/AB4</f>
        <v>0</v>
      </c>
      <c r="AE4" s="51" t="s">
        <v>181</v>
      </c>
      <c r="AG4" s="236" t="s">
        <v>2333</v>
      </c>
      <c r="AH4" s="379">
        <f>sum(L15:L44)</f>
        <v>128</v>
      </c>
      <c r="AI4" s="51" t="s">
        <v>2241</v>
      </c>
      <c r="AJ4" s="8"/>
      <c r="AK4" s="55"/>
    </row>
    <row r="5">
      <c r="A5" s="2"/>
      <c r="B5" s="236" t="s">
        <v>1697</v>
      </c>
      <c r="C5" s="2"/>
      <c r="D5" s="102">
        <v>60.0</v>
      </c>
      <c r="E5" s="2" t="s">
        <v>189</v>
      </c>
      <c r="F5" s="2" t="s">
        <v>202</v>
      </c>
      <c r="G5" s="102">
        <v>300.0</v>
      </c>
      <c r="H5" s="2" t="s">
        <v>90</v>
      </c>
      <c r="I5" s="2" t="s">
        <v>202</v>
      </c>
      <c r="K5" s="210">
        <f>K7+K6</f>
        <v>300</v>
      </c>
      <c r="M5" s="51" t="s">
        <v>90</v>
      </c>
      <c r="N5" s="2"/>
      <c r="O5" s="2"/>
      <c r="P5" s="236" t="s">
        <v>2410</v>
      </c>
      <c r="Q5" s="2"/>
      <c r="R5" s="379">
        <f t="shared" si="1"/>
        <v>0</v>
      </c>
      <c r="S5" s="2" t="s">
        <v>143</v>
      </c>
      <c r="T5" s="102" t="s">
        <v>701</v>
      </c>
      <c r="V5" s="357">
        <f t="shared" si="2"/>
        <v>0</v>
      </c>
      <c r="W5" s="2" t="s">
        <v>93</v>
      </c>
      <c r="X5" s="221">
        <f t="shared" ref="X5:X6" si="4">L12</f>
        <v>0</v>
      </c>
      <c r="Z5" s="2" t="s">
        <v>121</v>
      </c>
      <c r="AB5" s="2">
        <v>20.0</v>
      </c>
      <c r="AC5" s="2" t="s">
        <v>2331</v>
      </c>
      <c r="AD5" s="210">
        <f t="shared" si="3"/>
        <v>0</v>
      </c>
      <c r="AE5" s="51" t="s">
        <v>181</v>
      </c>
      <c r="AG5" s="360" t="s">
        <v>2336</v>
      </c>
      <c r="AH5" s="361" t="str">
        <f>if(AH4&gt;=0,"∞", if(-AH3/(AH4) &lt; 1, 0 , ROUNDDOWN(-AH3/(AH4),0)))</f>
        <v>∞</v>
      </c>
      <c r="AI5" s="237" t="s">
        <v>85</v>
      </c>
      <c r="AJ5" s="362"/>
      <c r="AK5" s="363"/>
    </row>
    <row r="6">
      <c r="A6" s="2"/>
      <c r="B6" s="236" t="s">
        <v>2340</v>
      </c>
      <c r="C6" s="2"/>
      <c r="D6" s="222">
        <f>D5*D4*4+(D4^2)*2</f>
        <v>4050</v>
      </c>
      <c r="E6" s="2" t="s">
        <v>640</v>
      </c>
      <c r="F6" s="2" t="s">
        <v>2341</v>
      </c>
      <c r="G6" s="221">
        <f>round(G5-G7,0)</f>
        <v>100</v>
      </c>
      <c r="H6" s="2" t="s">
        <v>90</v>
      </c>
      <c r="I6" s="2" t="s">
        <v>2341</v>
      </c>
      <c r="K6" s="357">
        <f>G6*(R8+W8+AC8)/100</f>
        <v>100</v>
      </c>
      <c r="M6" s="51" t="s">
        <v>90</v>
      </c>
      <c r="P6" s="236" t="s">
        <v>2430</v>
      </c>
      <c r="R6" s="379">
        <f t="shared" si="1"/>
        <v>0</v>
      </c>
      <c r="S6" s="2" t="s">
        <v>143</v>
      </c>
      <c r="T6" s="102" t="s">
        <v>639</v>
      </c>
      <c r="V6" s="357">
        <f t="shared" si="2"/>
        <v>0</v>
      </c>
      <c r="W6" s="2" t="s">
        <v>93</v>
      </c>
      <c r="X6" s="221">
        <f t="shared" si="4"/>
        <v>0</v>
      </c>
      <c r="Z6" s="2" t="s">
        <v>121</v>
      </c>
      <c r="AB6" s="2">
        <v>50.0</v>
      </c>
      <c r="AC6" s="2" t="s">
        <v>2331</v>
      </c>
      <c r="AD6" s="210">
        <f t="shared" si="3"/>
        <v>0</v>
      </c>
      <c r="AE6" s="51" t="s">
        <v>2437</v>
      </c>
      <c r="AH6" s="29"/>
      <c r="AJ6" s="29"/>
    </row>
    <row r="7">
      <c r="A7" s="2"/>
      <c r="B7" s="236" t="s">
        <v>1684</v>
      </c>
      <c r="C7" s="2"/>
      <c r="D7" s="357">
        <f>(PI()*D4^2/4)*D5</f>
        <v>10602.87521</v>
      </c>
      <c r="E7" s="2" t="s">
        <v>600</v>
      </c>
      <c r="F7" s="2" t="s">
        <v>2342</v>
      </c>
      <c r="G7" s="221">
        <f>round(G5/G8,0)</f>
        <v>200</v>
      </c>
      <c r="H7" s="2" t="s">
        <v>90</v>
      </c>
      <c r="I7" s="2" t="s">
        <v>2342</v>
      </c>
      <c r="K7" s="210">
        <f>G7*D11/100-G25+S25</f>
        <v>200</v>
      </c>
      <c r="M7" s="51" t="s">
        <v>90</v>
      </c>
      <c r="P7" s="241"/>
      <c r="AE7" s="55"/>
      <c r="AG7" s="353" t="s">
        <v>2343</v>
      </c>
      <c r="AH7" s="365"/>
      <c r="AI7" s="106"/>
      <c r="AJ7" s="365"/>
      <c r="AK7" s="107"/>
    </row>
    <row r="8">
      <c r="A8" s="2"/>
      <c r="B8" s="360" t="s">
        <v>13</v>
      </c>
      <c r="C8" s="234"/>
      <c r="D8" s="366">
        <f>G5/D7</f>
        <v>0.02829421211</v>
      </c>
      <c r="E8" s="235"/>
      <c r="F8" s="234" t="s">
        <v>199</v>
      </c>
      <c r="G8" s="367">
        <v>1.5</v>
      </c>
      <c r="H8" s="234" t="s">
        <v>90</v>
      </c>
      <c r="I8" s="234" t="s">
        <v>199</v>
      </c>
      <c r="J8" s="235"/>
      <c r="K8" s="381">
        <f>K5/K7</f>
        <v>1.5</v>
      </c>
      <c r="L8" s="235"/>
      <c r="M8" s="237"/>
      <c r="P8" s="382" t="s">
        <v>2454</v>
      </c>
      <c r="Q8" s="5" t="s">
        <v>319</v>
      </c>
      <c r="R8" s="370">
        <v>40.0</v>
      </c>
      <c r="S8" s="2" t="s">
        <v>150</v>
      </c>
      <c r="V8" s="5" t="s">
        <v>701</v>
      </c>
      <c r="W8" s="370">
        <v>0.0</v>
      </c>
      <c r="Y8" s="2" t="s">
        <v>150</v>
      </c>
      <c r="AB8" s="5" t="s">
        <v>639</v>
      </c>
      <c r="AC8" s="370">
        <v>60.0</v>
      </c>
      <c r="AD8" s="2" t="s">
        <v>150</v>
      </c>
      <c r="AE8" s="55"/>
      <c r="AG8" s="236" t="s">
        <v>213</v>
      </c>
      <c r="AH8" s="370">
        <v>0.0</v>
      </c>
      <c r="AI8" s="2" t="s">
        <v>2238</v>
      </c>
      <c r="AJ8" s="297">
        <f>I19*min(K19,1)</f>
        <v>100</v>
      </c>
      <c r="AK8" s="51" t="s">
        <v>86</v>
      </c>
      <c r="AN8" s="3" t="s">
        <v>2458</v>
      </c>
    </row>
    <row r="9">
      <c r="E9" s="2"/>
      <c r="I9" s="52"/>
      <c r="L9" s="52"/>
      <c r="P9" s="369"/>
      <c r="Q9" s="383" t="s">
        <v>1502</v>
      </c>
      <c r="R9" s="384">
        <f>AB4*LN($K$8)*1000/864*R8/100*24</f>
        <v>31.53617508</v>
      </c>
      <c r="S9" s="385" t="s">
        <v>2462</v>
      </c>
      <c r="T9" s="235"/>
      <c r="U9" s="235"/>
      <c r="V9" s="235"/>
      <c r="W9" s="384">
        <f>AB5*LN($K$8)*1000/864*W8/100</f>
        <v>0</v>
      </c>
      <c r="X9" s="235"/>
      <c r="Y9" s="385" t="s">
        <v>2330</v>
      </c>
      <c r="Z9" s="235"/>
      <c r="AA9" s="235"/>
      <c r="AB9" s="235"/>
      <c r="AC9" s="387">
        <f>AB6*LN($K$8)*1000/864</f>
        <v>23.46441598</v>
      </c>
      <c r="AD9" s="385" t="s">
        <v>2330</v>
      </c>
      <c r="AE9" s="388"/>
      <c r="AG9" s="236" t="s">
        <v>2344</v>
      </c>
      <c r="AH9" s="379">
        <f>sum(O12:O36)</f>
        <v>-100</v>
      </c>
      <c r="AI9" s="51" t="s">
        <v>2241</v>
      </c>
      <c r="AJ9" s="8"/>
      <c r="AK9" s="55"/>
      <c r="AM9" s="2" t="s">
        <v>2467</v>
      </c>
      <c r="AO9" s="210">
        <f>round($AH$32*L23/100*4,0)</f>
        <v>2</v>
      </c>
      <c r="AR9" s="3" t="s">
        <v>2468</v>
      </c>
    </row>
    <row r="10">
      <c r="E10" s="2"/>
      <c r="I10" s="3" t="s">
        <v>71</v>
      </c>
      <c r="AG10" s="360" t="s">
        <v>2345</v>
      </c>
      <c r="AH10" s="361" t="str">
        <f>if(AH9&lt;=0,"∞", if(AH9/AJ8&gt;1 , 0, rounddown(AJ8/AH9,0)))</f>
        <v>∞</v>
      </c>
      <c r="AI10" s="237" t="s">
        <v>85</v>
      </c>
      <c r="AJ10" s="362"/>
      <c r="AK10" s="363"/>
      <c r="AM10" s="2" t="s">
        <v>2469</v>
      </c>
      <c r="AO10" s="210">
        <f>round($AH$32*M23/100*1,0)</f>
        <v>0</v>
      </c>
      <c r="AQ10" s="370">
        <v>20.0</v>
      </c>
      <c r="AR10" s="8" t="s">
        <v>2238</v>
      </c>
      <c r="AS10" s="301">
        <f>G22</f>
        <v>20</v>
      </c>
    </row>
    <row r="11">
      <c r="A11" s="2"/>
      <c r="B11" s="2" t="s">
        <v>2470</v>
      </c>
      <c r="C11" s="2"/>
      <c r="D11" s="210">
        <f>sum(D12:D26)</f>
        <v>100</v>
      </c>
      <c r="E11" s="2" t="s">
        <v>150</v>
      </c>
      <c r="F11" s="52" t="s">
        <v>917</v>
      </c>
      <c r="G11" s="52" t="s">
        <v>73</v>
      </c>
      <c r="I11" s="52" t="s">
        <v>1673</v>
      </c>
      <c r="K11" s="5" t="s">
        <v>2226</v>
      </c>
      <c r="L11" s="52" t="s">
        <v>2327</v>
      </c>
      <c r="O11" s="52" t="s">
        <v>72</v>
      </c>
      <c r="Q11" s="52" t="s">
        <v>1785</v>
      </c>
      <c r="AF11" s="52"/>
      <c r="AH11" s="29"/>
      <c r="AJ11" s="29"/>
      <c r="AM11" s="2" t="s">
        <v>2472</v>
      </c>
      <c r="AO11" s="357">
        <v>0.0</v>
      </c>
    </row>
    <row r="12">
      <c r="D12" s="357">
        <f t="shared" ref="D12:D13" si="5">round(100*G12/$G$7,1)</f>
        <v>20</v>
      </c>
      <c r="E12" s="2" t="s">
        <v>150</v>
      </c>
      <c r="F12" s="2" t="s">
        <v>2477</v>
      </c>
      <c r="G12" s="390">
        <v>40.0</v>
      </c>
      <c r="H12" s="2" t="s">
        <v>90</v>
      </c>
      <c r="I12" s="102">
        <v>100.0</v>
      </c>
      <c r="J12" s="2" t="s">
        <v>121</v>
      </c>
      <c r="K12" s="2"/>
      <c r="L12" s="206">
        <v>0.0</v>
      </c>
      <c r="M12" s="2" t="s">
        <v>121</v>
      </c>
      <c r="O12" s="391">
        <f t="shared" ref="O12:O13" si="6">L12</f>
        <v>0</v>
      </c>
      <c r="P12" s="2" t="s">
        <v>2241</v>
      </c>
      <c r="Q12" s="2" t="s">
        <v>2482</v>
      </c>
      <c r="AF12" s="2"/>
      <c r="AG12" s="353" t="s">
        <v>2348</v>
      </c>
      <c r="AH12" s="365"/>
      <c r="AI12" s="106"/>
      <c r="AJ12" s="365"/>
      <c r="AK12" s="107"/>
      <c r="AP12" s="4" t="s">
        <v>619</v>
      </c>
      <c r="AQ12" s="52" t="s">
        <v>2483</v>
      </c>
      <c r="AT12" s="52" t="s">
        <v>2484</v>
      </c>
    </row>
    <row r="13">
      <c r="D13" s="221">
        <f t="shared" si="5"/>
        <v>1</v>
      </c>
      <c r="E13" s="2" t="s">
        <v>150</v>
      </c>
      <c r="F13" s="2" t="s">
        <v>2485</v>
      </c>
      <c r="G13" s="390">
        <v>2.0</v>
      </c>
      <c r="H13" s="2" t="s">
        <v>90</v>
      </c>
      <c r="I13" s="102">
        <v>100.0</v>
      </c>
      <c r="J13" s="2" t="s">
        <v>121</v>
      </c>
      <c r="L13" s="206">
        <v>0.0</v>
      </c>
      <c r="M13" s="2" t="s">
        <v>121</v>
      </c>
      <c r="O13" s="391">
        <f t="shared" si="6"/>
        <v>0</v>
      </c>
      <c r="P13" s="2" t="s">
        <v>2241</v>
      </c>
      <c r="Q13" s="2" t="s">
        <v>2487</v>
      </c>
      <c r="AF13" s="2"/>
      <c r="AG13" s="236" t="s">
        <v>2351</v>
      </c>
      <c r="AH13" s="370">
        <v>5.0</v>
      </c>
      <c r="AI13" s="2" t="s">
        <v>2238</v>
      </c>
      <c r="AJ13" s="104">
        <f>4+K24</f>
        <v>5</v>
      </c>
      <c r="AK13" s="55"/>
      <c r="AM13" s="8">
        <v>1.0</v>
      </c>
      <c r="AN13" s="8" t="s">
        <v>183</v>
      </c>
      <c r="AO13" s="56">
        <f t="shared" ref="AO13:AO15" si="7">BA13+AO12</f>
        <v>1</v>
      </c>
      <c r="AP13" s="392" t="s">
        <v>2488</v>
      </c>
      <c r="AQ13" s="2" t="s">
        <v>626</v>
      </c>
      <c r="AR13" s="67"/>
      <c r="AT13" s="370"/>
      <c r="AU13" s="67"/>
      <c r="BA13" s="67">
        <v>1.0</v>
      </c>
      <c r="BB13" s="2" t="s">
        <v>150</v>
      </c>
    </row>
    <row r="14">
      <c r="D14" s="102">
        <v>1.0</v>
      </c>
      <c r="E14" s="2" t="s">
        <v>150</v>
      </c>
      <c r="F14" s="2" t="s">
        <v>2489</v>
      </c>
      <c r="G14" s="221">
        <f t="shared" ref="G14:G23" si="8">$G$7*D14/100</f>
        <v>2</v>
      </c>
      <c r="H14" s="2" t="s">
        <v>90</v>
      </c>
      <c r="I14" s="391">
        <v>1.0</v>
      </c>
      <c r="J14" s="2" t="s">
        <v>86</v>
      </c>
      <c r="L14" s="221">
        <f>if(AH13&gt;1,-1,0)</f>
        <v>-1</v>
      </c>
      <c r="M14" s="2" t="s">
        <v>86</v>
      </c>
      <c r="O14" s="391">
        <f>if(AH13&gt;1,AH13-1,0)</f>
        <v>4</v>
      </c>
      <c r="P14" s="2" t="s">
        <v>2241</v>
      </c>
      <c r="Q14" s="2" t="s">
        <v>2490</v>
      </c>
      <c r="AF14" s="2"/>
      <c r="AG14" s="236" t="s">
        <v>71</v>
      </c>
      <c r="AH14" s="370">
        <v>5.0</v>
      </c>
      <c r="AI14" s="2" t="s">
        <v>2238</v>
      </c>
      <c r="AJ14" s="104">
        <v>5.0</v>
      </c>
      <c r="AK14" s="55"/>
      <c r="AM14" s="56">
        <f t="shared" ref="AM14:AM18" si="9">AO13+1</f>
        <v>2</v>
      </c>
      <c r="AN14" s="8" t="s">
        <v>183</v>
      </c>
      <c r="AO14" s="56">
        <f t="shared" si="7"/>
        <v>2</v>
      </c>
      <c r="AQ14" s="393" t="s">
        <v>2432</v>
      </c>
      <c r="AR14" s="67"/>
      <c r="AT14" s="370"/>
      <c r="AU14" s="67"/>
      <c r="BA14" s="67">
        <v>1.0</v>
      </c>
      <c r="BB14" s="2" t="s">
        <v>150</v>
      </c>
    </row>
    <row r="15">
      <c r="D15" s="102">
        <v>5.0</v>
      </c>
      <c r="E15" s="2" t="s">
        <v>150</v>
      </c>
      <c r="F15" s="2" t="s">
        <v>71</v>
      </c>
      <c r="G15" s="221">
        <f t="shared" si="8"/>
        <v>10</v>
      </c>
      <c r="H15" s="2" t="s">
        <v>90</v>
      </c>
      <c r="I15" s="391">
        <f>G15*AJ14</f>
        <v>50</v>
      </c>
      <c r="J15" s="2" t="s">
        <v>86</v>
      </c>
      <c r="L15" s="221">
        <f>G15*AH14</f>
        <v>50</v>
      </c>
      <c r="M15" s="2" t="s">
        <v>86</v>
      </c>
      <c r="O15" s="391">
        <f>L15*6/AJ14-L15</f>
        <v>10</v>
      </c>
      <c r="P15" s="2" t="s">
        <v>2241</v>
      </c>
      <c r="Q15" s="2" t="s">
        <v>2491</v>
      </c>
      <c r="AF15" s="2"/>
      <c r="AG15" s="236" t="s">
        <v>387</v>
      </c>
      <c r="AH15" s="370">
        <v>5.0</v>
      </c>
      <c r="AI15" s="2" t="s">
        <v>2238</v>
      </c>
      <c r="AJ15" s="104">
        <v>5.0</v>
      </c>
      <c r="AK15" s="55"/>
      <c r="AM15" s="56">
        <f t="shared" si="9"/>
        <v>3</v>
      </c>
      <c r="AN15" s="8" t="s">
        <v>183</v>
      </c>
      <c r="AO15" s="56">
        <f t="shared" si="7"/>
        <v>4</v>
      </c>
      <c r="AP15" s="67"/>
      <c r="AQ15" s="393" t="s">
        <v>2398</v>
      </c>
      <c r="AR15" s="67"/>
      <c r="AT15" s="370"/>
      <c r="AU15" s="67"/>
      <c r="BA15" s="67">
        <f>AF29*D29/2</f>
        <v>2</v>
      </c>
      <c r="BB15" s="2" t="s">
        <v>150</v>
      </c>
    </row>
    <row r="16">
      <c r="D16" s="102">
        <v>5.0</v>
      </c>
      <c r="E16" s="2" t="s">
        <v>150</v>
      </c>
      <c r="F16" s="2" t="s">
        <v>387</v>
      </c>
      <c r="G16" s="221">
        <f t="shared" si="8"/>
        <v>10</v>
      </c>
      <c r="H16" s="2" t="s">
        <v>90</v>
      </c>
      <c r="I16" s="391">
        <f t="shared" ref="I16:I17" si="10">-round(G16*AH15/5,0)</f>
        <v>-10</v>
      </c>
      <c r="J16" s="2" t="s">
        <v>86</v>
      </c>
      <c r="K16" s="370">
        <v>1.0</v>
      </c>
      <c r="L16" s="221">
        <f t="shared" ref="L16:L17" si="11">-K16*G16*AH15/5</f>
        <v>-10</v>
      </c>
      <c r="M16" s="2" t="s">
        <v>2241</v>
      </c>
      <c r="O16" s="221">
        <f t="shared" ref="O16:O17" si="12">-round(L16*0.1,0)</f>
        <v>1</v>
      </c>
      <c r="P16" s="2" t="s">
        <v>2241</v>
      </c>
      <c r="Q16" s="2" t="s">
        <v>2494</v>
      </c>
      <c r="AG16" s="360" t="s">
        <v>626</v>
      </c>
      <c r="AH16" s="372">
        <v>4.0</v>
      </c>
      <c r="AI16" s="234" t="s">
        <v>2238</v>
      </c>
      <c r="AJ16" s="373">
        <v>4.0</v>
      </c>
      <c r="AK16" s="363"/>
      <c r="AM16" s="56">
        <f t="shared" si="9"/>
        <v>5</v>
      </c>
      <c r="AN16" s="8" t="s">
        <v>183</v>
      </c>
      <c r="AO16" s="56">
        <f>BA18+AO15</f>
        <v>6</v>
      </c>
      <c r="AP16" s="67"/>
      <c r="AQ16" s="393" t="s">
        <v>2489</v>
      </c>
      <c r="AR16" s="67"/>
      <c r="AT16" s="370"/>
      <c r="AU16" s="67"/>
      <c r="BA16" s="67">
        <v>1.0</v>
      </c>
      <c r="BB16" s="2" t="s">
        <v>150</v>
      </c>
    </row>
    <row r="17">
      <c r="D17" s="102">
        <v>5.0</v>
      </c>
      <c r="E17" s="2" t="s">
        <v>150</v>
      </c>
      <c r="F17" s="2" t="s">
        <v>626</v>
      </c>
      <c r="G17" s="221">
        <f t="shared" si="8"/>
        <v>10</v>
      </c>
      <c r="H17" s="2" t="s">
        <v>90</v>
      </c>
      <c r="I17" s="391">
        <f t="shared" si="10"/>
        <v>-8</v>
      </c>
      <c r="J17" s="2" t="s">
        <v>86</v>
      </c>
      <c r="K17" s="370">
        <v>1.0</v>
      </c>
      <c r="L17" s="221">
        <f t="shared" si="11"/>
        <v>-8</v>
      </c>
      <c r="M17" s="2" t="s">
        <v>2241</v>
      </c>
      <c r="O17" s="221">
        <f t="shared" si="12"/>
        <v>1</v>
      </c>
      <c r="P17" s="2" t="s">
        <v>2241</v>
      </c>
      <c r="Q17" s="2" t="s">
        <v>2357</v>
      </c>
      <c r="AB17" s="394"/>
      <c r="AF17" s="2"/>
      <c r="AM17" s="56">
        <f t="shared" si="9"/>
        <v>7</v>
      </c>
      <c r="AN17" s="8" t="s">
        <v>183</v>
      </c>
      <c r="AO17" s="56">
        <f t="shared" ref="AO17:AO18" si="13">BA16+AO16</f>
        <v>7</v>
      </c>
      <c r="AP17" s="392" t="s">
        <v>2488</v>
      </c>
      <c r="AQ17" s="393" t="s">
        <v>471</v>
      </c>
      <c r="AR17" s="67"/>
      <c r="AT17" s="370"/>
      <c r="AU17" s="67"/>
      <c r="BA17" s="67">
        <f>BA3/2</f>
        <v>5.431236621</v>
      </c>
      <c r="BB17" s="2" t="s">
        <v>150</v>
      </c>
    </row>
    <row r="18">
      <c r="D18" s="102">
        <v>11.0</v>
      </c>
      <c r="E18" s="2" t="s">
        <v>150</v>
      </c>
      <c r="F18" s="2" t="s">
        <v>611</v>
      </c>
      <c r="G18" s="221">
        <f t="shared" si="8"/>
        <v>22</v>
      </c>
      <c r="H18" s="2" t="s">
        <v>90</v>
      </c>
      <c r="K18" s="370">
        <v>2.0</v>
      </c>
      <c r="L18" s="8" t="s">
        <v>2238</v>
      </c>
      <c r="M18" s="104">
        <v>2.0</v>
      </c>
      <c r="O18" s="222">
        <f>-round(AH21*AH27/1000,0)*K18/M18</f>
        <v>-110</v>
      </c>
      <c r="P18" s="2" t="s">
        <v>2241</v>
      </c>
      <c r="Q18" s="2" t="s">
        <v>2509</v>
      </c>
      <c r="AA18" s="394"/>
      <c r="AD18" s="25"/>
      <c r="AF18" s="2"/>
      <c r="AG18" s="353" t="s">
        <v>2364</v>
      </c>
      <c r="AH18" s="106"/>
      <c r="AI18" s="106"/>
      <c r="AJ18" s="106"/>
      <c r="AK18" s="107"/>
      <c r="AM18" s="56">
        <f t="shared" si="9"/>
        <v>8</v>
      </c>
      <c r="AN18" s="8" t="s">
        <v>183</v>
      </c>
      <c r="AO18" s="56">
        <f t="shared" si="13"/>
        <v>12.43123662</v>
      </c>
      <c r="AP18" s="67"/>
      <c r="AQ18" s="393" t="s">
        <v>2510</v>
      </c>
      <c r="AR18" s="67"/>
      <c r="AT18" s="370"/>
      <c r="AU18" s="67"/>
      <c r="BA18" s="67">
        <f>AF30*D30/2</f>
        <v>2</v>
      </c>
      <c r="BB18" s="2" t="s">
        <v>150</v>
      </c>
    </row>
    <row r="19">
      <c r="D19" s="102">
        <v>5.0</v>
      </c>
      <c r="E19" s="2" t="s">
        <v>150</v>
      </c>
      <c r="F19" s="2" t="s">
        <v>213</v>
      </c>
      <c r="G19" s="221">
        <f t="shared" si="8"/>
        <v>10</v>
      </c>
      <c r="H19" s="2" t="s">
        <v>90</v>
      </c>
      <c r="I19" s="221">
        <f>5*G19*2</f>
        <v>100</v>
      </c>
      <c r="J19" s="2" t="s">
        <v>86</v>
      </c>
      <c r="K19" s="370">
        <v>1.0</v>
      </c>
      <c r="L19" s="221">
        <f>-G19*K19/10</f>
        <v>-1</v>
      </c>
      <c r="M19" s="2" t="s">
        <v>2241</v>
      </c>
      <c r="O19" s="221">
        <f>-L19</f>
        <v>1</v>
      </c>
      <c r="Q19" s="2" t="s">
        <v>2512</v>
      </c>
      <c r="AF19" s="2"/>
      <c r="AG19" s="236" t="s">
        <v>2370</v>
      </c>
      <c r="AH19" s="102" t="s">
        <v>2513</v>
      </c>
      <c r="AK19" s="55"/>
      <c r="AM19" s="56">
        <f>AO21+1</f>
        <v>14.43123662</v>
      </c>
      <c r="AN19" s="8" t="s">
        <v>183</v>
      </c>
      <c r="AO19" s="56">
        <f>BA19+AO21</f>
        <v>15.43123662</v>
      </c>
      <c r="AP19" s="67"/>
      <c r="AQ19" s="393" t="s">
        <v>2447</v>
      </c>
      <c r="AR19" s="67"/>
      <c r="AT19" s="370"/>
      <c r="AU19" s="67"/>
      <c r="BA19" s="67">
        <f>D33*AF33</f>
        <v>2</v>
      </c>
      <c r="BB19" s="2" t="s">
        <v>150</v>
      </c>
    </row>
    <row r="20">
      <c r="D20" s="102">
        <v>2.0</v>
      </c>
      <c r="E20" s="2" t="s">
        <v>150</v>
      </c>
      <c r="F20" s="2" t="s">
        <v>6</v>
      </c>
      <c r="G20" s="221">
        <f t="shared" si="8"/>
        <v>4</v>
      </c>
      <c r="H20" s="2" t="s">
        <v>90</v>
      </c>
      <c r="I20" s="395">
        <f>G20 * 100</f>
        <v>400</v>
      </c>
      <c r="J20" s="2" t="s">
        <v>2324</v>
      </c>
      <c r="K20" s="370">
        <v>1.0</v>
      </c>
      <c r="L20" s="396">
        <f>-round(AH3*0.01,0)</f>
        <v>-2</v>
      </c>
      <c r="O20" s="396">
        <f>round(AH3*0.01,0)</f>
        <v>2</v>
      </c>
      <c r="P20" s="2" t="s">
        <v>2241</v>
      </c>
      <c r="Q20" s="2" t="s">
        <v>2148</v>
      </c>
      <c r="AG20" s="236" t="s">
        <v>1989</v>
      </c>
      <c r="AH20" s="102">
        <v>40.0</v>
      </c>
      <c r="AI20" s="2" t="s">
        <v>781</v>
      </c>
      <c r="AK20" s="55"/>
      <c r="AM20" s="56">
        <f>AO19+1</f>
        <v>16.43123662</v>
      </c>
      <c r="AN20" s="8" t="s">
        <v>183</v>
      </c>
      <c r="AO20" s="56">
        <f>BA20+AO19</f>
        <v>16.83123662</v>
      </c>
      <c r="AP20" s="25"/>
      <c r="AQ20" s="393" t="s">
        <v>1938</v>
      </c>
      <c r="AR20" s="25"/>
      <c r="AT20" s="370"/>
      <c r="AU20" s="25"/>
      <c r="BA20" s="25">
        <f>(G34+G35)/K5*100</f>
        <v>1.4</v>
      </c>
      <c r="BB20" s="2" t="s">
        <v>150</v>
      </c>
    </row>
    <row r="21">
      <c r="D21" s="102">
        <v>5.0</v>
      </c>
      <c r="E21" s="2" t="s">
        <v>150</v>
      </c>
      <c r="F21" s="2" t="s">
        <v>617</v>
      </c>
      <c r="G21" s="221">
        <f t="shared" si="8"/>
        <v>10</v>
      </c>
      <c r="H21" s="2" t="s">
        <v>90</v>
      </c>
      <c r="I21" s="102">
        <f>G37/5</f>
        <v>1</v>
      </c>
      <c r="J21" s="2" t="s">
        <v>2241</v>
      </c>
      <c r="K21" s="370">
        <v>1.0</v>
      </c>
      <c r="L21" s="221">
        <f>-K21*I21</f>
        <v>-1</v>
      </c>
      <c r="M21" s="2" t="s">
        <v>2241</v>
      </c>
      <c r="O21" s="221">
        <f>-L21</f>
        <v>1</v>
      </c>
      <c r="P21" s="2" t="s">
        <v>2241</v>
      </c>
      <c r="AF21" s="2"/>
      <c r="AG21" s="236" t="s">
        <v>2340</v>
      </c>
      <c r="AH21" s="374">
        <f>1000*G18/AH20</f>
        <v>550</v>
      </c>
      <c r="AK21" s="51" t="s">
        <v>640</v>
      </c>
      <c r="AM21" s="56">
        <f>AO18+1</f>
        <v>13.43123662</v>
      </c>
      <c r="AN21" s="8" t="s">
        <v>183</v>
      </c>
      <c r="AO21" s="56">
        <f>BA21+AO18</f>
        <v>13.43123662</v>
      </c>
      <c r="AP21" s="25"/>
      <c r="AQ21" s="393" t="s">
        <v>2516</v>
      </c>
      <c r="AR21" s="25"/>
      <c r="AT21" s="370"/>
      <c r="AU21" s="25"/>
      <c r="BA21" s="25">
        <f>D25</f>
        <v>1</v>
      </c>
      <c r="BB21" s="2" t="s">
        <v>150</v>
      </c>
    </row>
    <row r="22">
      <c r="D22" s="102">
        <v>10.0</v>
      </c>
      <c r="E22" s="2" t="s">
        <v>150</v>
      </c>
      <c r="F22" s="2" t="s">
        <v>471</v>
      </c>
      <c r="G22" s="221">
        <f t="shared" si="8"/>
        <v>20</v>
      </c>
      <c r="H22" s="2" t="s">
        <v>90</v>
      </c>
      <c r="K22" s="29"/>
      <c r="O22" s="210">
        <f>-round(D6*0.0025,0)</f>
        <v>-10</v>
      </c>
      <c r="P22" s="2" t="s">
        <v>2241</v>
      </c>
      <c r="Q22" s="2" t="s">
        <v>2523</v>
      </c>
      <c r="AF22" s="2"/>
      <c r="AG22" s="236" t="s">
        <v>2382</v>
      </c>
      <c r="AH22" s="221">
        <v>2.0</v>
      </c>
      <c r="AK22" s="55"/>
      <c r="AM22" s="56">
        <f>AO20+1</f>
        <v>17.83123662</v>
      </c>
      <c r="AN22" s="8" t="s">
        <v>183</v>
      </c>
      <c r="AO22" s="56">
        <f>BA22+AO20</f>
        <v>19.83123662</v>
      </c>
      <c r="AP22" s="67"/>
      <c r="AQ22" s="393" t="s">
        <v>626</v>
      </c>
      <c r="AR22" s="67"/>
      <c r="AT22" s="370"/>
      <c r="AU22" s="67"/>
      <c r="AX22" s="38"/>
      <c r="BA22" s="67">
        <f>D17-2</f>
        <v>3</v>
      </c>
      <c r="BB22" s="2" t="s">
        <v>150</v>
      </c>
    </row>
    <row r="23">
      <c r="D23" s="102">
        <v>10.0</v>
      </c>
      <c r="E23" s="2" t="s">
        <v>150</v>
      </c>
      <c r="F23" s="2" t="s">
        <v>619</v>
      </c>
      <c r="G23" s="357">
        <f t="shared" si="8"/>
        <v>20</v>
      </c>
      <c r="H23" s="2" t="s">
        <v>90</v>
      </c>
      <c r="K23" s="5" t="s">
        <v>2541</v>
      </c>
      <c r="L23" s="104">
        <v>100.0</v>
      </c>
      <c r="M23" s="297">
        <f>100-L23</f>
        <v>0</v>
      </c>
      <c r="N23" s="2" t="s">
        <v>2542</v>
      </c>
      <c r="AF23" s="2"/>
      <c r="AG23" s="236" t="s">
        <v>1704</v>
      </c>
      <c r="AH23" s="102">
        <v>1.0</v>
      </c>
      <c r="AK23" s="55"/>
      <c r="AM23" s="56">
        <f t="shared" ref="AM23:AM37" si="14">AO22+1</f>
        <v>20.83123662</v>
      </c>
      <c r="AN23" s="8" t="s">
        <v>183</v>
      </c>
      <c r="AO23" s="56">
        <f t="shared" ref="AO23:AO37" si="15">BA23+AO22</f>
        <v>40.46595582</v>
      </c>
      <c r="AP23" s="392" t="s">
        <v>2488</v>
      </c>
      <c r="AQ23" s="393" t="s">
        <v>611</v>
      </c>
      <c r="AR23" s="25"/>
      <c r="AT23" s="370"/>
      <c r="AU23" s="25"/>
      <c r="BA23" s="25">
        <f>5*(1+AH25/D4*K18)</f>
        <v>20.6347192</v>
      </c>
      <c r="BB23" s="2" t="s">
        <v>150</v>
      </c>
    </row>
    <row r="24">
      <c r="D24" s="221">
        <f>round(100*G24/$G$7,1)</f>
        <v>1.5</v>
      </c>
      <c r="E24" s="2" t="s">
        <v>150</v>
      </c>
      <c r="F24" s="2" t="s">
        <v>2543</v>
      </c>
      <c r="G24" s="111">
        <f>round(2*AB24*PI()*0.5*0.04,0)</f>
        <v>3</v>
      </c>
      <c r="H24" s="2" t="s">
        <v>90</v>
      </c>
      <c r="I24" s="102">
        <f>G24/2</f>
        <v>1.5</v>
      </c>
      <c r="J24" s="2" t="s">
        <v>2241</v>
      </c>
      <c r="K24" s="370">
        <v>1.0</v>
      </c>
      <c r="L24" s="301">
        <f>if(K24&gt;0,K24-1,0)</f>
        <v>0</v>
      </c>
      <c r="O24" s="221">
        <f>-L24</f>
        <v>0</v>
      </c>
      <c r="Q24" s="2" t="s">
        <v>2544</v>
      </c>
      <c r="AA24" s="5" t="s">
        <v>733</v>
      </c>
      <c r="AB24" s="102">
        <v>20.0</v>
      </c>
      <c r="AC24" s="2" t="s">
        <v>189</v>
      </c>
      <c r="AD24" s="210">
        <f>2*PI()*AB24</f>
        <v>125.6637061</v>
      </c>
      <c r="AE24" s="2" t="s">
        <v>640</v>
      </c>
      <c r="AG24" s="236" t="s">
        <v>2387</v>
      </c>
      <c r="AH24" s="402" t="s">
        <v>2388</v>
      </c>
      <c r="AK24" s="55"/>
      <c r="AM24" s="56">
        <f t="shared" si="14"/>
        <v>41.46595582</v>
      </c>
      <c r="AN24" s="8" t="s">
        <v>183</v>
      </c>
      <c r="AO24" s="56">
        <f t="shared" si="15"/>
        <v>45.46595582</v>
      </c>
      <c r="AP24" s="25"/>
      <c r="AQ24" s="393" t="s">
        <v>617</v>
      </c>
      <c r="AR24" s="25"/>
      <c r="AT24" s="370"/>
      <c r="AU24" s="25"/>
      <c r="BA24" s="25">
        <f>D21</f>
        <v>5</v>
      </c>
      <c r="BB24" s="2" t="s">
        <v>150</v>
      </c>
    </row>
    <row r="25">
      <c r="D25" s="102">
        <v>1.0</v>
      </c>
      <c r="E25" s="2" t="s">
        <v>150</v>
      </c>
      <c r="F25" s="2" t="s">
        <v>2516</v>
      </c>
      <c r="G25" s="357">
        <f>$G$7*D25/100</f>
        <v>2</v>
      </c>
      <c r="H25" s="2" t="s">
        <v>90</v>
      </c>
      <c r="Q25" s="2" t="s">
        <v>2327</v>
      </c>
      <c r="S25" s="403">
        <v>2.0</v>
      </c>
      <c r="T25" s="2" t="s">
        <v>90</v>
      </c>
      <c r="AG25" s="236" t="s">
        <v>1697</v>
      </c>
      <c r="AH25" s="210">
        <f>sqrt(AH21/AH22*if(AH24="Triangle",2,1))*AH23</f>
        <v>23.4520788</v>
      </c>
      <c r="AK25" s="51" t="s">
        <v>189</v>
      </c>
      <c r="AM25" s="56">
        <f t="shared" si="14"/>
        <v>46.46595582</v>
      </c>
      <c r="AN25" s="8" t="s">
        <v>183</v>
      </c>
      <c r="AO25" s="56">
        <f t="shared" si="15"/>
        <v>46.46595582</v>
      </c>
      <c r="AP25" s="67"/>
      <c r="AQ25" s="393" t="s">
        <v>2545</v>
      </c>
      <c r="AR25" s="67"/>
      <c r="AT25" s="370"/>
      <c r="AU25" s="67"/>
      <c r="BA25" s="67">
        <v>1.0</v>
      </c>
      <c r="BB25" s="2" t="s">
        <v>150</v>
      </c>
    </row>
    <row r="26">
      <c r="A26" s="52"/>
      <c r="D26" s="357">
        <f>G26/G7*100</f>
        <v>17.5</v>
      </c>
      <c r="E26" s="2" t="s">
        <v>150</v>
      </c>
      <c r="F26" s="2" t="s">
        <v>1568</v>
      </c>
      <c r="G26" s="357">
        <f>sum(G37:G55)+G28</f>
        <v>35</v>
      </c>
      <c r="H26" s="2" t="s">
        <v>90</v>
      </c>
      <c r="K26" s="29"/>
      <c r="AG26" s="236" t="s">
        <v>2325</v>
      </c>
      <c r="AH26" s="210">
        <f>sqrt(AH21/AH22*if(AH24="Triangle",2,1))*1/AH23</f>
        <v>23.4520788</v>
      </c>
      <c r="AK26" s="51" t="s">
        <v>189</v>
      </c>
      <c r="AM26" s="56">
        <f t="shared" si="14"/>
        <v>47.46595582</v>
      </c>
      <c r="AN26" s="8" t="s">
        <v>183</v>
      </c>
      <c r="AO26" s="56">
        <f t="shared" si="15"/>
        <v>47.46595582</v>
      </c>
      <c r="AP26" s="25"/>
      <c r="AQ26" s="393" t="s">
        <v>2551</v>
      </c>
      <c r="AR26" s="25"/>
      <c r="AT26" s="370"/>
      <c r="AU26" s="25"/>
      <c r="BA26" s="25">
        <f>(G37+G39)/K5*100-1</f>
        <v>1</v>
      </c>
      <c r="BB26" s="2" t="s">
        <v>150</v>
      </c>
    </row>
    <row r="27">
      <c r="I27" s="3" t="s">
        <v>71</v>
      </c>
      <c r="AB27" s="52"/>
      <c r="AG27" s="360" t="s">
        <v>739</v>
      </c>
      <c r="AH27" s="367">
        <v>200.0</v>
      </c>
      <c r="AI27" s="234" t="s">
        <v>775</v>
      </c>
      <c r="AJ27" s="235"/>
      <c r="AK27" s="363"/>
      <c r="AM27" s="56">
        <f t="shared" si="14"/>
        <v>48.46595582</v>
      </c>
      <c r="AN27" s="8" t="s">
        <v>183</v>
      </c>
      <c r="AO27" s="56">
        <f t="shared" si="15"/>
        <v>52.46595582</v>
      </c>
      <c r="AP27" s="25"/>
      <c r="AQ27" s="393" t="s">
        <v>387</v>
      </c>
      <c r="AR27" s="25"/>
      <c r="AT27" s="370"/>
      <c r="AU27" s="25"/>
      <c r="BA27" s="25">
        <f>D16</f>
        <v>5</v>
      </c>
      <c r="BB27" s="2" t="s">
        <v>150</v>
      </c>
    </row>
    <row r="28">
      <c r="B28" s="52" t="s">
        <v>2389</v>
      </c>
      <c r="C28" s="52"/>
      <c r="D28" s="357">
        <f>G28/G7*100</f>
        <v>12.5</v>
      </c>
      <c r="E28" s="2" t="s">
        <v>150</v>
      </c>
      <c r="F28" s="52" t="s">
        <v>2390</v>
      </c>
      <c r="G28" s="210">
        <f>G29*D29+D30*G30+D31*G31*D32*G32+D33*G33+sum(G34:G35)</f>
        <v>25</v>
      </c>
      <c r="H28" s="2" t="s">
        <v>90</v>
      </c>
      <c r="I28" s="52" t="s">
        <v>1673</v>
      </c>
      <c r="K28" s="5" t="s">
        <v>2226</v>
      </c>
      <c r="L28" s="52" t="s">
        <v>2327</v>
      </c>
      <c r="O28" s="52" t="s">
        <v>72</v>
      </c>
      <c r="Q28" s="4" t="s">
        <v>2228</v>
      </c>
      <c r="R28" s="211" t="s">
        <v>1461</v>
      </c>
      <c r="S28" s="3"/>
      <c r="Y28" s="5" t="s">
        <v>1673</v>
      </c>
      <c r="AB28" s="52" t="s">
        <v>1832</v>
      </c>
      <c r="AD28" s="376"/>
      <c r="AF28" s="3" t="s">
        <v>1937</v>
      </c>
      <c r="AM28" s="56">
        <f t="shared" si="14"/>
        <v>53.46595582</v>
      </c>
      <c r="AN28" s="8" t="s">
        <v>183</v>
      </c>
      <c r="AO28" s="56">
        <f t="shared" si="15"/>
        <v>57.46595582</v>
      </c>
      <c r="AP28" s="25"/>
      <c r="AQ28" s="393" t="s">
        <v>213</v>
      </c>
      <c r="AR28" s="25"/>
      <c r="AT28" s="370"/>
      <c r="AU28" s="25"/>
      <c r="BA28" s="25">
        <f t="shared" ref="BA28:BA29" si="16">D19</f>
        <v>5</v>
      </c>
      <c r="BB28" s="2" t="s">
        <v>150</v>
      </c>
    </row>
    <row r="29">
      <c r="B29" s="378" t="s">
        <v>2398</v>
      </c>
      <c r="C29" s="378"/>
      <c r="D29" s="102">
        <v>1.0</v>
      </c>
      <c r="E29" s="2" t="s">
        <v>2236</v>
      </c>
      <c r="F29" s="102" t="s">
        <v>2604</v>
      </c>
      <c r="G29" s="102">
        <f>-I29</f>
        <v>8</v>
      </c>
      <c r="H29" s="2" t="s">
        <v>90</v>
      </c>
      <c r="I29" s="102">
        <f t="shared" ref="I29:I31" si="17">AF29^2*-0.5</f>
        <v>-8</v>
      </c>
      <c r="J29" s="2" t="s">
        <v>2241</v>
      </c>
      <c r="K29" s="370">
        <v>1.0</v>
      </c>
      <c r="L29" s="221">
        <f t="shared" ref="L29:L32" si="18">K29*I29*Q29</f>
        <v>0</v>
      </c>
      <c r="M29" s="2" t="s">
        <v>2241</v>
      </c>
      <c r="O29" s="221">
        <f t="shared" ref="O29:O30" si="19">-L29</f>
        <v>0</v>
      </c>
      <c r="P29" s="2" t="s">
        <v>2241</v>
      </c>
      <c r="Q29" s="370">
        <v>0.0</v>
      </c>
      <c r="R29" s="221">
        <f t="shared" ref="R29:R31" si="20">X29/10</f>
        <v>160</v>
      </c>
      <c r="S29" s="2" t="s">
        <v>295</v>
      </c>
      <c r="T29" s="2" t="s">
        <v>2236</v>
      </c>
      <c r="U29" s="2" t="s">
        <v>2622</v>
      </c>
      <c r="W29" s="8" t="s">
        <v>2238</v>
      </c>
      <c r="X29" s="222">
        <f>sqrt(-5000*I29*AF29^2)*2</f>
        <v>1600</v>
      </c>
      <c r="Z29" s="2" t="s">
        <v>295</v>
      </c>
      <c r="AB29" s="221">
        <v>5.0</v>
      </c>
      <c r="AC29" s="2" t="s">
        <v>1549</v>
      </c>
      <c r="AF29" s="104">
        <v>4.0</v>
      </c>
      <c r="AG29" s="353" t="s">
        <v>2446</v>
      </c>
      <c r="AH29" s="106"/>
      <c r="AI29" s="106"/>
      <c r="AJ29" s="106"/>
      <c r="AK29" s="107"/>
      <c r="AM29" s="56">
        <f t="shared" si="14"/>
        <v>58.46595582</v>
      </c>
      <c r="AN29" s="8" t="s">
        <v>183</v>
      </c>
      <c r="AO29" s="56">
        <f t="shared" si="15"/>
        <v>59.46595582</v>
      </c>
      <c r="AP29" s="25"/>
      <c r="AQ29" s="393" t="s">
        <v>6</v>
      </c>
      <c r="AR29" s="25"/>
      <c r="AT29" s="370"/>
      <c r="AU29" s="25"/>
      <c r="BA29" s="25">
        <f t="shared" si="16"/>
        <v>2</v>
      </c>
      <c r="BB29" s="2" t="s">
        <v>150</v>
      </c>
    </row>
    <row r="30">
      <c r="B30" s="2" t="s">
        <v>2635</v>
      </c>
      <c r="C30" s="2"/>
      <c r="D30" s="408">
        <v>2.0</v>
      </c>
      <c r="E30" s="2" t="s">
        <v>2236</v>
      </c>
      <c r="F30" s="102" t="s">
        <v>2636</v>
      </c>
      <c r="G30" s="102">
        <v>2.0</v>
      </c>
      <c r="H30" s="2" t="s">
        <v>90</v>
      </c>
      <c r="I30" s="102">
        <f t="shared" si="17"/>
        <v>-2</v>
      </c>
      <c r="J30" s="2" t="s">
        <v>2241</v>
      </c>
      <c r="K30" s="370">
        <v>2.0</v>
      </c>
      <c r="L30" s="221">
        <f t="shared" si="18"/>
        <v>0</v>
      </c>
      <c r="M30" s="2" t="s">
        <v>2241</v>
      </c>
      <c r="O30" s="221">
        <f t="shared" si="19"/>
        <v>0</v>
      </c>
      <c r="P30" s="2" t="s">
        <v>2241</v>
      </c>
      <c r="Q30" s="370">
        <v>0.0</v>
      </c>
      <c r="R30" s="221">
        <f t="shared" si="20"/>
        <v>20</v>
      </c>
      <c r="S30" s="2" t="s">
        <v>295</v>
      </c>
      <c r="T30" s="2" t="s">
        <v>2236</v>
      </c>
      <c r="U30" s="2" t="s">
        <v>2622</v>
      </c>
      <c r="W30" s="8" t="s">
        <v>2238</v>
      </c>
      <c r="X30" s="222">
        <f t="shared" ref="X30:X31" si="21">sqrt(-5000*I30*AF30^2)</f>
        <v>200</v>
      </c>
      <c r="Z30" s="2" t="s">
        <v>295</v>
      </c>
      <c r="AB30" s="221">
        <v>10.0</v>
      </c>
      <c r="AC30" s="2" t="s">
        <v>1549</v>
      </c>
      <c r="AF30" s="104">
        <v>2.0</v>
      </c>
      <c r="AG30" s="236" t="s">
        <v>2449</v>
      </c>
      <c r="AH30" s="102">
        <v>1.0</v>
      </c>
      <c r="AJ30" s="2" t="s">
        <v>2450</v>
      </c>
      <c r="AK30" s="55"/>
      <c r="AM30" s="56">
        <f t="shared" si="14"/>
        <v>60.46595582</v>
      </c>
      <c r="AN30" s="8" t="s">
        <v>183</v>
      </c>
      <c r="AO30" s="56">
        <f t="shared" si="15"/>
        <v>64.46595582</v>
      </c>
      <c r="AP30" s="25"/>
      <c r="AQ30" s="393" t="s">
        <v>71</v>
      </c>
      <c r="AR30" s="25"/>
      <c r="AT30" s="370"/>
      <c r="AU30" s="25"/>
      <c r="BA30" s="25">
        <f>D15</f>
        <v>5</v>
      </c>
      <c r="BB30" s="2" t="s">
        <v>150</v>
      </c>
    </row>
    <row r="31">
      <c r="A31" s="52"/>
      <c r="B31" s="2" t="s">
        <v>2637</v>
      </c>
      <c r="D31" s="408">
        <v>2.0</v>
      </c>
      <c r="E31" s="2" t="s">
        <v>2236</v>
      </c>
      <c r="F31" s="102" t="s">
        <v>2638</v>
      </c>
      <c r="G31" s="102">
        <v>2.0</v>
      </c>
      <c r="H31" s="2" t="s">
        <v>90</v>
      </c>
      <c r="I31" s="102">
        <f t="shared" si="17"/>
        <v>-2</v>
      </c>
      <c r="J31" s="2" t="s">
        <v>2241</v>
      </c>
      <c r="K31" s="370">
        <v>2.0</v>
      </c>
      <c r="L31" s="221">
        <f t="shared" si="18"/>
        <v>0</v>
      </c>
      <c r="M31" s="2" t="s">
        <v>2241</v>
      </c>
      <c r="O31" s="221">
        <f>-L31/2</f>
        <v>0</v>
      </c>
      <c r="P31" s="2" t="s">
        <v>2241</v>
      </c>
      <c r="Q31" s="370">
        <v>0.0</v>
      </c>
      <c r="R31" s="221">
        <f t="shared" si="20"/>
        <v>20</v>
      </c>
      <c r="S31" s="2" t="s">
        <v>295</v>
      </c>
      <c r="T31" s="2" t="s">
        <v>2236</v>
      </c>
      <c r="U31" s="2" t="s">
        <v>2622</v>
      </c>
      <c r="W31" s="8" t="s">
        <v>2238</v>
      </c>
      <c r="X31" s="222">
        <f t="shared" si="21"/>
        <v>200</v>
      </c>
      <c r="Z31" s="2" t="s">
        <v>295</v>
      </c>
      <c r="AB31" s="221">
        <v>5.0</v>
      </c>
      <c r="AC31" s="2" t="s">
        <v>2639</v>
      </c>
      <c r="AD31" s="5"/>
      <c r="AE31" s="5"/>
      <c r="AF31" s="104">
        <v>2.0</v>
      </c>
      <c r="AG31" s="236" t="s">
        <v>2453</v>
      </c>
      <c r="AH31" s="210">
        <f>G23/D6*1000*AH30</f>
        <v>4.938271605</v>
      </c>
      <c r="AI31" s="2" t="s">
        <v>781</v>
      </c>
      <c r="AK31" s="55"/>
      <c r="AM31" s="56">
        <f t="shared" si="14"/>
        <v>65.46595582</v>
      </c>
      <c r="AN31" s="8" t="s">
        <v>183</v>
      </c>
      <c r="AO31" s="56">
        <f t="shared" si="15"/>
        <v>67.56876338</v>
      </c>
      <c r="AP31" s="25"/>
      <c r="AQ31" s="393" t="s">
        <v>2543</v>
      </c>
      <c r="AR31" s="25"/>
      <c r="AT31" s="370"/>
      <c r="AU31" s="25"/>
      <c r="BA31" s="25">
        <f>AD24/D6*100</f>
        <v>3.102807559</v>
      </c>
      <c r="BB31" s="2" t="s">
        <v>150</v>
      </c>
    </row>
    <row r="32">
      <c r="A32" s="52"/>
      <c r="B32" s="378" t="s">
        <v>2432</v>
      </c>
      <c r="C32" s="378"/>
      <c r="D32" s="102">
        <v>1.0</v>
      </c>
      <c r="E32" s="2" t="s">
        <v>2236</v>
      </c>
      <c r="F32" s="102" t="s">
        <v>2434</v>
      </c>
      <c r="G32" s="102">
        <v>2.0</v>
      </c>
      <c r="H32" s="2" t="s">
        <v>90</v>
      </c>
      <c r="I32" s="102">
        <f>-G32</f>
        <v>-2</v>
      </c>
      <c r="J32" s="2" t="s">
        <v>2241</v>
      </c>
      <c r="K32" s="370">
        <v>1.0</v>
      </c>
      <c r="L32" s="221">
        <f t="shared" si="18"/>
        <v>0</v>
      </c>
      <c r="M32" s="2" t="s">
        <v>2241</v>
      </c>
      <c r="O32" s="221">
        <f>-L32</f>
        <v>0</v>
      </c>
      <c r="P32" s="2" t="s">
        <v>2241</v>
      </c>
      <c r="Q32" s="370">
        <v>0.0</v>
      </c>
      <c r="R32" s="221">
        <v>1.0</v>
      </c>
      <c r="S32" s="2" t="s">
        <v>93</v>
      </c>
      <c r="U32" s="2" t="s">
        <v>2440</v>
      </c>
      <c r="AB32" s="380" t="s">
        <v>2442</v>
      </c>
      <c r="AC32" s="2" t="s">
        <v>1979</v>
      </c>
      <c r="AD32" s="5"/>
      <c r="AE32" s="8"/>
      <c r="AF32" s="104">
        <v>48.0</v>
      </c>
      <c r="AG32" s="236" t="s">
        <v>2453</v>
      </c>
      <c r="AH32" s="213">
        <f>AH31*1000/10000</f>
        <v>0.4938271605</v>
      </c>
      <c r="AI32" s="2" t="s">
        <v>1803</v>
      </c>
      <c r="AK32" s="55"/>
      <c r="AM32" s="56">
        <f t="shared" si="14"/>
        <v>68.56876338</v>
      </c>
      <c r="AN32" s="8" t="s">
        <v>183</v>
      </c>
      <c r="AO32" s="56">
        <f t="shared" si="15"/>
        <v>69.56876338</v>
      </c>
      <c r="AP32" s="67"/>
      <c r="AQ32" s="393" t="s">
        <v>2641</v>
      </c>
      <c r="AR32" s="67"/>
      <c r="AT32" s="370"/>
      <c r="AU32" s="67"/>
      <c r="BA32" s="67">
        <f>AF31*D31/2</f>
        <v>2</v>
      </c>
      <c r="BB32" s="2" t="s">
        <v>150</v>
      </c>
    </row>
    <row r="33">
      <c r="A33" s="52"/>
      <c r="B33" s="378" t="s">
        <v>2642</v>
      </c>
      <c r="C33" s="378"/>
      <c r="D33" s="102">
        <v>2.0</v>
      </c>
      <c r="E33" s="2" t="s">
        <v>2236</v>
      </c>
      <c r="F33" s="102" t="s">
        <v>2376</v>
      </c>
      <c r="G33" s="102">
        <f>0.2*D33</f>
        <v>0.4</v>
      </c>
      <c r="H33" s="2" t="s">
        <v>90</v>
      </c>
      <c r="I33" s="102">
        <v>0.0</v>
      </c>
      <c r="J33" s="2" t="s">
        <v>2241</v>
      </c>
      <c r="K33" s="8"/>
      <c r="O33" s="221">
        <f>-round(L33*0.1,0)</f>
        <v>0</v>
      </c>
      <c r="P33" s="2" t="s">
        <v>2241</v>
      </c>
      <c r="Q33" s="2" t="s">
        <v>2448</v>
      </c>
      <c r="AB33" s="380" t="s">
        <v>2442</v>
      </c>
      <c r="AC33" s="2" t="s">
        <v>1979</v>
      </c>
      <c r="AF33" s="104">
        <v>1.0</v>
      </c>
      <c r="AG33" s="236" t="s">
        <v>1983</v>
      </c>
      <c r="AH33" s="102" t="s">
        <v>2002</v>
      </c>
      <c r="AI33" s="239"/>
      <c r="AJ33" s="239"/>
      <c r="AK33" s="55"/>
      <c r="AM33" s="56">
        <f t="shared" si="14"/>
        <v>70.56876338</v>
      </c>
      <c r="AN33" s="8" t="s">
        <v>183</v>
      </c>
      <c r="AO33" s="56">
        <f t="shared" si="15"/>
        <v>75</v>
      </c>
      <c r="AP33" s="392" t="s">
        <v>2488</v>
      </c>
      <c r="AQ33" s="393" t="s">
        <v>471</v>
      </c>
      <c r="AR33" s="67"/>
      <c r="AT33" s="370"/>
      <c r="AU33" s="67"/>
      <c r="BA33" s="67">
        <f>BA3/2</f>
        <v>5.431236621</v>
      </c>
      <c r="BB33" s="2" t="s">
        <v>150</v>
      </c>
    </row>
    <row r="34">
      <c r="B34" s="52" t="s">
        <v>1938</v>
      </c>
      <c r="C34" s="52"/>
      <c r="D34" s="206">
        <v>32.0</v>
      </c>
      <c r="F34" s="102" t="s">
        <v>2644</v>
      </c>
      <c r="G34" s="213">
        <f>0.1*D34</f>
        <v>3.2</v>
      </c>
      <c r="H34" s="2" t="s">
        <v>90</v>
      </c>
      <c r="I34" s="2" t="s">
        <v>2645</v>
      </c>
      <c r="AG34" s="236" t="s">
        <v>1396</v>
      </c>
      <c r="AH34" s="342">
        <v>0.5</v>
      </c>
      <c r="AI34" s="2" t="s">
        <v>1145</v>
      </c>
      <c r="AK34" s="55"/>
      <c r="AL34" s="95"/>
      <c r="AM34" s="56">
        <f t="shared" si="14"/>
        <v>76</v>
      </c>
      <c r="AN34" s="8" t="s">
        <v>183</v>
      </c>
      <c r="AO34" s="56">
        <f t="shared" si="15"/>
        <v>80</v>
      </c>
      <c r="AP34" s="67"/>
      <c r="AQ34" s="393" t="s">
        <v>96</v>
      </c>
      <c r="AR34" s="67"/>
      <c r="AT34" s="370"/>
      <c r="AU34" s="67"/>
      <c r="BA34" s="67">
        <v>5.0</v>
      </c>
      <c r="BB34" s="2" t="s">
        <v>150</v>
      </c>
    </row>
    <row r="35">
      <c r="B35" s="52"/>
      <c r="C35" s="52"/>
      <c r="D35" s="206">
        <v>1000.0</v>
      </c>
      <c r="F35" s="102" t="s">
        <v>2655</v>
      </c>
      <c r="G35" s="221">
        <f>10^-3*D35</f>
        <v>1</v>
      </c>
      <c r="H35" s="52" t="s">
        <v>90</v>
      </c>
      <c r="I35" s="2" t="s">
        <v>2663</v>
      </c>
      <c r="L35" s="3"/>
      <c r="M35" s="3"/>
      <c r="AG35" s="236" t="s">
        <v>2461</v>
      </c>
      <c r="AH35" s="102">
        <v>50.0</v>
      </c>
      <c r="AI35" s="2" t="s">
        <v>1134</v>
      </c>
      <c r="AK35" s="55"/>
      <c r="AM35" s="56">
        <f t="shared" si="14"/>
        <v>81</v>
      </c>
      <c r="AN35" s="8" t="s">
        <v>183</v>
      </c>
      <c r="AO35" s="56">
        <f t="shared" si="15"/>
        <v>81</v>
      </c>
      <c r="AP35" s="392" t="s">
        <v>2488</v>
      </c>
      <c r="AQ35" s="393" t="s">
        <v>626</v>
      </c>
      <c r="AR35" s="67"/>
      <c r="AT35" s="370"/>
      <c r="AU35" s="67"/>
      <c r="BA35" s="67">
        <v>1.0</v>
      </c>
      <c r="BB35" s="2" t="s">
        <v>150</v>
      </c>
    </row>
    <row r="36">
      <c r="B36" s="52"/>
      <c r="C36" s="52"/>
      <c r="Q36" s="2"/>
      <c r="AG36" s="236" t="s">
        <v>2463</v>
      </c>
      <c r="AH36" s="206">
        <v>9.0</v>
      </c>
      <c r="AI36" s="2" t="s">
        <v>2464</v>
      </c>
      <c r="AK36" s="55"/>
      <c r="AM36" s="56">
        <f t="shared" si="14"/>
        <v>82</v>
      </c>
      <c r="AN36" s="8" t="s">
        <v>183</v>
      </c>
      <c r="AO36" s="56">
        <f t="shared" si="15"/>
        <v>99</v>
      </c>
      <c r="AP36" s="392" t="s">
        <v>2488</v>
      </c>
      <c r="AQ36" s="393" t="s">
        <v>2349</v>
      </c>
      <c r="AR36" s="25"/>
      <c r="AT36" s="370"/>
      <c r="AU36" s="25"/>
      <c r="BA36" s="25">
        <f>D12-2</f>
        <v>18</v>
      </c>
      <c r="BB36" s="2" t="s">
        <v>150</v>
      </c>
    </row>
    <row r="37">
      <c r="B37" s="52" t="s">
        <v>2455</v>
      </c>
      <c r="C37" s="52"/>
      <c r="E37" s="102">
        <v>10.0</v>
      </c>
      <c r="F37" s="102" t="s">
        <v>2679</v>
      </c>
      <c r="G37" s="102">
        <f>0.5*E37</f>
        <v>5</v>
      </c>
      <c r="H37" s="2" t="s">
        <v>90</v>
      </c>
      <c r="I37" s="2" t="s">
        <v>2685</v>
      </c>
      <c r="AG37" s="236" t="s">
        <v>2180</v>
      </c>
      <c r="AH37" s="210">
        <f>AH34*AH32*AH36</f>
        <v>2.222222222</v>
      </c>
      <c r="AI37" s="2" t="s">
        <v>1145</v>
      </c>
      <c r="AK37" s="55"/>
      <c r="AM37" s="56">
        <f t="shared" si="14"/>
        <v>100</v>
      </c>
      <c r="AN37" s="8" t="s">
        <v>183</v>
      </c>
      <c r="AO37" s="56">
        <f t="shared" si="15"/>
        <v>100</v>
      </c>
      <c r="AP37" s="392" t="s">
        <v>2488</v>
      </c>
      <c r="AQ37" s="393" t="s">
        <v>2349</v>
      </c>
      <c r="AR37" s="25"/>
      <c r="AT37" s="370"/>
      <c r="AU37" s="25"/>
      <c r="BA37" s="25">
        <f>1</f>
        <v>1</v>
      </c>
      <c r="BB37" s="2" t="s">
        <v>150</v>
      </c>
    </row>
    <row r="38">
      <c r="F38" s="102" t="s">
        <v>2695</v>
      </c>
      <c r="G38" s="102">
        <v>0.0</v>
      </c>
      <c r="H38" s="2" t="s">
        <v>90</v>
      </c>
      <c r="I38" s="2" t="s">
        <v>2696</v>
      </c>
      <c r="AG38" s="360" t="s">
        <v>2697</v>
      </c>
      <c r="AH38" s="386">
        <f>AH35*AH32*AH36</f>
        <v>222.2222222</v>
      </c>
      <c r="AI38" s="234" t="s">
        <v>1145</v>
      </c>
      <c r="AJ38" s="235"/>
      <c r="AK38" s="363"/>
    </row>
    <row r="39">
      <c r="F39" s="102" t="s">
        <v>2699</v>
      </c>
      <c r="G39" s="239">
        <f>E37/10</f>
        <v>1</v>
      </c>
      <c r="H39" s="2" t="s">
        <v>90</v>
      </c>
    </row>
    <row r="40">
      <c r="F40" s="102" t="s">
        <v>2705</v>
      </c>
      <c r="G40" s="239"/>
      <c r="H40" s="2" t="s">
        <v>90</v>
      </c>
      <c r="I40" s="2" t="s">
        <v>2708</v>
      </c>
    </row>
    <row r="42">
      <c r="B42" s="52" t="s">
        <v>607</v>
      </c>
      <c r="C42" s="52"/>
      <c r="F42" s="102" t="s">
        <v>2459</v>
      </c>
      <c r="G42" s="391">
        <f>G7/100</f>
        <v>2</v>
      </c>
      <c r="H42" s="2" t="s">
        <v>90</v>
      </c>
      <c r="I42" s="207" t="s">
        <v>2716</v>
      </c>
    </row>
    <row r="43">
      <c r="E43" s="206">
        <v>5.0</v>
      </c>
      <c r="F43" s="102" t="s">
        <v>2723</v>
      </c>
      <c r="G43" s="239"/>
      <c r="I43" s="2" t="s">
        <v>2726</v>
      </c>
    </row>
    <row r="44">
      <c r="E44" s="206">
        <v>5.0</v>
      </c>
      <c r="F44" s="102" t="s">
        <v>2733</v>
      </c>
      <c r="G44" s="239"/>
    </row>
    <row r="45">
      <c r="F45" s="102" t="s">
        <v>2738</v>
      </c>
      <c r="G45" s="102">
        <v>1.0</v>
      </c>
      <c r="H45" s="2" t="s">
        <v>90</v>
      </c>
    </row>
    <row r="46">
      <c r="F46" s="102" t="s">
        <v>2742</v>
      </c>
      <c r="G46" s="102">
        <v>1.0</v>
      </c>
      <c r="H46" s="2" t="s">
        <v>90</v>
      </c>
      <c r="I46" s="2" t="s">
        <v>2743</v>
      </c>
    </row>
  </sheetData>
  <mergeCells count="23">
    <mergeCell ref="X4:Y4"/>
    <mergeCell ref="K5:L5"/>
    <mergeCell ref="X5:Y5"/>
    <mergeCell ref="K6:L6"/>
    <mergeCell ref="X6:Y6"/>
    <mergeCell ref="K7:L7"/>
    <mergeCell ref="K8:L8"/>
    <mergeCell ref="I10:M10"/>
    <mergeCell ref="AH25:AJ25"/>
    <mergeCell ref="AH26:AJ26"/>
    <mergeCell ref="I27:M27"/>
    <mergeCell ref="X29:Y29"/>
    <mergeCell ref="X30:Y30"/>
    <mergeCell ref="X31:Y31"/>
    <mergeCell ref="D34:E34"/>
    <mergeCell ref="D35:E35"/>
    <mergeCell ref="W8:X8"/>
    <mergeCell ref="W9:X9"/>
    <mergeCell ref="AH19:AK19"/>
    <mergeCell ref="AH21:AJ21"/>
    <mergeCell ref="AH22:AJ22"/>
    <mergeCell ref="AH23:AJ23"/>
    <mergeCell ref="AH24:AJ24"/>
  </mergeCells>
  <hyperlinks>
    <hyperlink r:id="rId2" ref="D2"/>
  </hyperlinks>
  <drawing r:id="rId3"/>
  <legacyDrawing r:id="rId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7.13"/>
    <col customWidth="1" min="4" max="4" width="7.63"/>
  </cols>
  <sheetData>
    <row r="4">
      <c r="B4" s="2" t="s">
        <v>2471</v>
      </c>
      <c r="C4" s="2">
        <v>1.0</v>
      </c>
      <c r="D4" s="2" t="s">
        <v>86</v>
      </c>
    </row>
    <row r="5">
      <c r="B5" s="2" t="s">
        <v>2473</v>
      </c>
      <c r="C5" s="2">
        <v>1.0</v>
      </c>
      <c r="D5" s="2" t="s">
        <v>86</v>
      </c>
    </row>
    <row r="6">
      <c r="B6" s="2" t="s">
        <v>2474</v>
      </c>
      <c r="C6" s="389">
        <v>25000.0</v>
      </c>
      <c r="D6" s="2" t="s">
        <v>2475</v>
      </c>
    </row>
    <row r="8">
      <c r="B8" s="2" t="s">
        <v>2476</v>
      </c>
      <c r="C8" s="2">
        <v>200.0</v>
      </c>
      <c r="D8" s="2" t="s">
        <v>496</v>
      </c>
    </row>
    <row r="9">
      <c r="B9" s="2" t="s">
        <v>2478</v>
      </c>
      <c r="C9" s="2">
        <v>5.0</v>
      </c>
      <c r="D9" s="2" t="s">
        <v>265</v>
      </c>
    </row>
    <row r="10">
      <c r="B10" s="169" t="s">
        <v>2479</v>
      </c>
      <c r="C10" s="169">
        <v>53.0</v>
      </c>
      <c r="D10" s="2" t="s">
        <v>265</v>
      </c>
    </row>
    <row r="11">
      <c r="B11" s="2" t="s">
        <v>2480</v>
      </c>
      <c r="C11" s="2">
        <v>1.0</v>
      </c>
      <c r="D11" s="2" t="s">
        <v>43</v>
      </c>
      <c r="E11" s="179" t="s">
        <v>2481</v>
      </c>
    </row>
    <row r="12">
      <c r="B12" s="2" t="s">
        <v>2486</v>
      </c>
      <c r="C12" s="2">
        <v>4.0</v>
      </c>
      <c r="D12" s="2" t="s">
        <v>43</v>
      </c>
    </row>
  </sheetData>
  <hyperlinks>
    <hyperlink r:id="rId1" ref="E11"/>
  </hyperlin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.75"/>
    <col customWidth="1" min="4" max="4" width="6.13"/>
    <col customWidth="1" min="5" max="5" width="4.25"/>
    <col customWidth="1" min="6" max="6" width="7.63"/>
    <col customWidth="1" min="7" max="7" width="4.38"/>
    <col customWidth="1" min="8" max="8" width="6.0"/>
    <col customWidth="1" min="9" max="9" width="5.5"/>
    <col customWidth="1" min="10" max="10" width="10.38"/>
    <col customWidth="1" min="11" max="11" width="5.25"/>
    <col customWidth="1" min="12" max="12" width="9.0"/>
    <col customWidth="1" min="13" max="13" width="5.38"/>
  </cols>
  <sheetData>
    <row r="5">
      <c r="C5" s="52" t="s">
        <v>73</v>
      </c>
      <c r="E5" s="52" t="s">
        <v>611</v>
      </c>
      <c r="G5" s="52" t="s">
        <v>2267</v>
      </c>
      <c r="H5" s="2"/>
      <c r="I5" s="52" t="s">
        <v>2492</v>
      </c>
      <c r="K5" s="52" t="s">
        <v>2493</v>
      </c>
    </row>
    <row r="6">
      <c r="A6" s="52" t="s">
        <v>257</v>
      </c>
      <c r="B6" s="2" t="s">
        <v>2198</v>
      </c>
      <c r="C6" s="67">
        <v>1.0</v>
      </c>
      <c r="D6" s="2" t="s">
        <v>90</v>
      </c>
      <c r="E6" s="67">
        <f t="shared" ref="E6:E10" si="1">G6*K6/1000</f>
        <v>15</v>
      </c>
      <c r="F6" s="2" t="s">
        <v>86</v>
      </c>
      <c r="G6" s="25">
        <f t="shared" ref="G6:G10" si="2">1000*C6/I6</f>
        <v>50</v>
      </c>
      <c r="H6" s="2" t="s">
        <v>640</v>
      </c>
      <c r="I6" s="2">
        <v>20.0</v>
      </c>
      <c r="J6" s="2" t="s">
        <v>592</v>
      </c>
      <c r="K6" s="2">
        <v>300.0</v>
      </c>
      <c r="L6" s="2" t="s">
        <v>2495</v>
      </c>
      <c r="O6" s="2" t="s">
        <v>2496</v>
      </c>
    </row>
    <row r="7">
      <c r="B7" s="2" t="s">
        <v>2497</v>
      </c>
      <c r="C7" s="2">
        <v>1.0</v>
      </c>
      <c r="D7" s="2" t="s">
        <v>90</v>
      </c>
      <c r="E7" s="67">
        <f t="shared" si="1"/>
        <v>10</v>
      </c>
      <c r="F7" s="2" t="s">
        <v>86</v>
      </c>
      <c r="G7" s="25">
        <f t="shared" si="2"/>
        <v>33.33333333</v>
      </c>
      <c r="H7" s="2" t="s">
        <v>640</v>
      </c>
      <c r="I7" s="2">
        <v>30.0</v>
      </c>
      <c r="J7" s="2" t="s">
        <v>781</v>
      </c>
      <c r="K7" s="2">
        <v>300.0</v>
      </c>
      <c r="L7" s="2" t="s">
        <v>2495</v>
      </c>
    </row>
    <row r="8">
      <c r="B8" s="2" t="s">
        <v>2371</v>
      </c>
      <c r="C8" s="2">
        <v>1.0</v>
      </c>
      <c r="D8" s="2" t="s">
        <v>90</v>
      </c>
      <c r="E8" s="67">
        <f t="shared" si="1"/>
        <v>5.047619048</v>
      </c>
      <c r="F8" s="2" t="s">
        <v>86</v>
      </c>
      <c r="G8" s="25">
        <f t="shared" si="2"/>
        <v>23.80952381</v>
      </c>
      <c r="H8" s="2" t="s">
        <v>640</v>
      </c>
      <c r="I8" s="2">
        <v>42.0</v>
      </c>
      <c r="J8" s="2" t="s">
        <v>781</v>
      </c>
      <c r="K8" s="2">
        <v>212.0</v>
      </c>
      <c r="L8" s="2" t="s">
        <v>2495</v>
      </c>
    </row>
    <row r="9">
      <c r="B9" s="2" t="s">
        <v>2498</v>
      </c>
      <c r="C9" s="2">
        <v>1.0</v>
      </c>
      <c r="D9" s="2" t="s">
        <v>90</v>
      </c>
      <c r="E9" s="67">
        <f t="shared" si="1"/>
        <v>7.211538462</v>
      </c>
      <c r="F9" s="2" t="s">
        <v>86</v>
      </c>
      <c r="G9" s="25">
        <f t="shared" si="2"/>
        <v>24.03846154</v>
      </c>
      <c r="H9" s="2" t="s">
        <v>640</v>
      </c>
      <c r="I9" s="2">
        <v>41.6</v>
      </c>
      <c r="J9" s="2" t="s">
        <v>781</v>
      </c>
      <c r="K9" s="2">
        <v>300.0</v>
      </c>
      <c r="L9" s="2" t="s">
        <v>2495</v>
      </c>
    </row>
    <row r="10">
      <c r="B10" s="2" t="s">
        <v>347</v>
      </c>
      <c r="C10" s="2">
        <v>1.0</v>
      </c>
      <c r="D10" s="2" t="s">
        <v>90</v>
      </c>
      <c r="E10" s="67">
        <f t="shared" si="1"/>
        <v>3.57</v>
      </c>
      <c r="F10" s="2" t="s">
        <v>86</v>
      </c>
      <c r="G10" s="25">
        <f t="shared" si="2"/>
        <v>10</v>
      </c>
      <c r="H10" s="2" t="s">
        <v>640</v>
      </c>
      <c r="I10" s="2">
        <v>100.0</v>
      </c>
      <c r="J10" s="2" t="s">
        <v>781</v>
      </c>
      <c r="K10" s="2">
        <v>357.0</v>
      </c>
      <c r="L10" s="2" t="s">
        <v>2495</v>
      </c>
    </row>
    <row r="12">
      <c r="A12" s="52" t="s">
        <v>607</v>
      </c>
      <c r="B12" s="2" t="s">
        <v>2499</v>
      </c>
      <c r="C12" s="2">
        <v>10.0</v>
      </c>
      <c r="D12" s="2" t="s">
        <v>150</v>
      </c>
      <c r="E12" s="67">
        <v>3.0</v>
      </c>
      <c r="F12" s="2" t="s">
        <v>775</v>
      </c>
      <c r="G12" s="2" t="s">
        <v>2500</v>
      </c>
      <c r="O12" s="2" t="s">
        <v>2496</v>
      </c>
    </row>
    <row r="13">
      <c r="B13" s="2" t="s">
        <v>2501</v>
      </c>
      <c r="C13" s="2">
        <v>15.0</v>
      </c>
      <c r="D13" s="2" t="s">
        <v>150</v>
      </c>
      <c r="E13" s="67">
        <v>2.0</v>
      </c>
      <c r="F13" s="2" t="s">
        <v>775</v>
      </c>
      <c r="G13" s="2" t="s">
        <v>2502</v>
      </c>
    </row>
    <row r="16">
      <c r="A16" s="52" t="s">
        <v>213</v>
      </c>
      <c r="B16" s="2" t="s">
        <v>2503</v>
      </c>
      <c r="C16" s="2">
        <v>2.0</v>
      </c>
      <c r="D16" s="2" t="s">
        <v>90</v>
      </c>
      <c r="E16" s="2" t="s">
        <v>2504</v>
      </c>
    </row>
    <row r="17">
      <c r="B17" s="2" t="s">
        <v>2505</v>
      </c>
      <c r="C17" s="2">
        <v>1.0</v>
      </c>
      <c r="D17" s="2" t="s">
        <v>90</v>
      </c>
      <c r="E17" s="2" t="s">
        <v>2506</v>
      </c>
    </row>
    <row r="18">
      <c r="B18" s="2" t="s">
        <v>2507</v>
      </c>
      <c r="C18" s="2">
        <v>1.0</v>
      </c>
      <c r="D18" s="2" t="s">
        <v>90</v>
      </c>
      <c r="E18" s="2" t="s">
        <v>2508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0"/>
    <col customWidth="1" min="3" max="3" width="3.5"/>
    <col customWidth="1" min="4" max="4" width="4.75"/>
    <col customWidth="1" min="5" max="5" width="4.63"/>
    <col customWidth="1" min="6" max="6" width="13.5"/>
    <col customWidth="1" min="7" max="7" width="3.75"/>
    <col customWidth="1" min="8" max="8" width="5.0"/>
    <col customWidth="1" min="9" max="9" width="4.38"/>
    <col customWidth="1" min="10" max="10" width="7.75"/>
    <col customWidth="1" min="11" max="11" width="2.75"/>
    <col customWidth="1" min="12" max="12" width="3.25"/>
    <col customWidth="1" min="13" max="13" width="2.75"/>
    <col customWidth="1" min="14" max="16" width="3.13"/>
    <col customWidth="1" min="17" max="17" width="7.25"/>
    <col customWidth="1" min="18" max="18" width="4.25"/>
    <col customWidth="1" min="19" max="21" width="2.5"/>
    <col customWidth="1" min="22" max="22" width="2.63"/>
    <col customWidth="1" min="23" max="29" width="2.5"/>
    <col customWidth="1" min="30" max="30" width="5.75"/>
    <col customWidth="1" min="31" max="31" width="3.5"/>
    <col customWidth="1" min="32" max="32" width="4.13"/>
    <col customWidth="1" min="33" max="33" width="5.0"/>
    <col customWidth="1" min="35" max="35" width="3.63"/>
    <col customWidth="1" min="36" max="36" width="1.75"/>
    <col customWidth="1" min="37" max="37" width="3.63"/>
    <col customWidth="1" min="38" max="38" width="6.13"/>
  </cols>
  <sheetData>
    <row r="2">
      <c r="A2" s="52"/>
      <c r="B2" s="353" t="s">
        <v>2316</v>
      </c>
      <c r="C2" s="233"/>
      <c r="D2" s="354" t="s">
        <v>1597</v>
      </c>
      <c r="E2" s="106"/>
      <c r="F2" s="105" t="s">
        <v>2317</v>
      </c>
      <c r="G2" s="233" t="s">
        <v>2318</v>
      </c>
      <c r="H2" s="106"/>
      <c r="I2" s="355">
        <v>6.0</v>
      </c>
      <c r="J2" s="105" t="s">
        <v>2511</v>
      </c>
      <c r="K2" s="105"/>
      <c r="L2" s="107"/>
      <c r="Q2" s="353" t="s">
        <v>2321</v>
      </c>
      <c r="R2" s="233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  <c r="AH2" s="353" t="s">
        <v>2322</v>
      </c>
      <c r="AI2" s="106"/>
      <c r="AJ2" s="106"/>
      <c r="AK2" s="106"/>
      <c r="AL2" s="107"/>
    </row>
    <row r="3">
      <c r="A3" s="2"/>
      <c r="B3" s="236"/>
      <c r="C3" s="2"/>
      <c r="D3" s="2"/>
      <c r="F3" s="52"/>
      <c r="I3" s="52"/>
      <c r="L3" s="55"/>
      <c r="Q3" s="241"/>
      <c r="S3" s="3" t="s">
        <v>71</v>
      </c>
      <c r="T3" s="52"/>
      <c r="V3" s="3" t="s">
        <v>95</v>
      </c>
      <c r="W3" s="52"/>
      <c r="X3" s="52"/>
      <c r="Y3" s="3" t="s">
        <v>1502</v>
      </c>
      <c r="Z3" s="52"/>
      <c r="AA3" s="52"/>
      <c r="AB3" s="52"/>
      <c r="AC3" s="52" t="s">
        <v>94</v>
      </c>
      <c r="AD3" s="52"/>
      <c r="AE3" s="52" t="s">
        <v>635</v>
      </c>
      <c r="AF3" s="55"/>
      <c r="AH3" s="236" t="s">
        <v>6</v>
      </c>
      <c r="AI3" s="356">
        <v>355.0</v>
      </c>
      <c r="AJ3" s="2" t="s">
        <v>2238</v>
      </c>
      <c r="AK3" s="297">
        <f>I19*min(K19,1)</f>
        <v>355</v>
      </c>
      <c r="AL3" s="51" t="s">
        <v>2324</v>
      </c>
    </row>
    <row r="4">
      <c r="A4" s="2"/>
      <c r="B4" s="236" t="s">
        <v>2325</v>
      </c>
      <c r="C4" s="2"/>
      <c r="D4" s="102">
        <v>110.0</v>
      </c>
      <c r="E4" s="2" t="s">
        <v>189</v>
      </c>
      <c r="F4" s="52" t="s">
        <v>2326</v>
      </c>
      <c r="I4" s="52" t="s">
        <v>2327</v>
      </c>
      <c r="L4" s="55"/>
      <c r="N4" s="2"/>
      <c r="O4" s="2"/>
      <c r="P4" s="2"/>
      <c r="Q4" s="236" t="s">
        <v>2514</v>
      </c>
      <c r="R4" s="2"/>
      <c r="S4" s="221">
        <f>L12</f>
        <v>18</v>
      </c>
      <c r="T4" s="2" t="s">
        <v>2515</v>
      </c>
      <c r="U4" s="2"/>
      <c r="V4" s="357">
        <f>AE4/$L$5*100</f>
        <v>1.891596791</v>
      </c>
      <c r="W4" s="2" t="s">
        <v>93</v>
      </c>
      <c r="X4" s="2"/>
      <c r="Y4" s="358">
        <f>AC4*LN($L$8)*1000/864</f>
        <v>7.516734995</v>
      </c>
      <c r="Z4" s="250" t="s">
        <v>2330</v>
      </c>
      <c r="AA4" s="2"/>
      <c r="AB4" s="2"/>
      <c r="AC4" s="2">
        <v>19.0</v>
      </c>
      <c r="AD4" s="2" t="s">
        <v>2331</v>
      </c>
      <c r="AE4" s="213">
        <f>2*S4 /AC4</f>
        <v>1.894736842</v>
      </c>
      <c r="AF4" s="51" t="s">
        <v>2437</v>
      </c>
      <c r="AH4" s="236" t="s">
        <v>2333</v>
      </c>
      <c r="AI4" s="379">
        <f>sum(L14:L41)</f>
        <v>-6.0844</v>
      </c>
      <c r="AJ4" s="51" t="s">
        <v>86</v>
      </c>
      <c r="AK4" s="8"/>
      <c r="AL4" s="55"/>
    </row>
    <row r="5">
      <c r="A5" s="2"/>
      <c r="B5" s="236" t="s">
        <v>1697</v>
      </c>
      <c r="C5" s="2"/>
      <c r="D5" s="102">
        <v>376.0</v>
      </c>
      <c r="E5" s="2" t="s">
        <v>189</v>
      </c>
      <c r="F5" s="2" t="s">
        <v>202</v>
      </c>
      <c r="G5" s="102">
        <v>100.0</v>
      </c>
      <c r="H5" s="2" t="s">
        <v>1554</v>
      </c>
      <c r="I5" s="2" t="s">
        <v>202</v>
      </c>
      <c r="L5" s="359">
        <f>L7+L6</f>
        <v>100.166</v>
      </c>
      <c r="N5" s="2"/>
      <c r="O5" s="2"/>
      <c r="P5" s="2"/>
      <c r="Q5" s="236"/>
      <c r="S5" s="393"/>
      <c r="T5" s="397"/>
      <c r="U5" s="397"/>
      <c r="V5" s="398"/>
      <c r="W5" s="397"/>
      <c r="X5" s="397"/>
      <c r="Y5" s="399"/>
      <c r="Z5" s="400"/>
      <c r="AA5" s="397"/>
      <c r="AB5" s="397"/>
      <c r="AC5" s="397"/>
      <c r="AD5" s="397"/>
      <c r="AE5" s="401"/>
      <c r="AF5" s="51"/>
      <c r="AH5" s="360" t="s">
        <v>2336</v>
      </c>
      <c r="AI5" s="361">
        <f>if(AI4&gt;=0,"∞", if(-AI3/(AI4) &lt; 1, 0 , ROUNDDOWN(-AI3/(AI4),0)))</f>
        <v>58</v>
      </c>
      <c r="AJ5" s="237" t="s">
        <v>85</v>
      </c>
      <c r="AK5" s="362"/>
      <c r="AL5" s="363"/>
    </row>
    <row r="6">
      <c r="A6" s="2"/>
      <c r="B6" s="236" t="s">
        <v>2340</v>
      </c>
      <c r="C6" s="374">
        <f>( D5*D4*4 + 2*D4^2 )   </f>
        <v>189640</v>
      </c>
      <c r="E6" s="2" t="s">
        <v>640</v>
      </c>
      <c r="F6" s="2" t="s">
        <v>2341</v>
      </c>
      <c r="G6" s="221">
        <f>round(G5-G7,0)</f>
        <v>29</v>
      </c>
      <c r="H6" s="2" t="s">
        <v>1554</v>
      </c>
      <c r="I6" s="2" t="s">
        <v>2341</v>
      </c>
      <c r="L6" s="364">
        <f>G6</f>
        <v>29</v>
      </c>
      <c r="Q6" s="236" t="s">
        <v>2430</v>
      </c>
      <c r="S6" s="221">
        <f>L13</f>
        <v>0</v>
      </c>
      <c r="T6" s="2" t="s">
        <v>2515</v>
      </c>
      <c r="V6" s="357">
        <f>AE6/$L$5*100</f>
        <v>0</v>
      </c>
      <c r="W6" s="2" t="s">
        <v>93</v>
      </c>
      <c r="Y6" s="358">
        <f>AC6*LN($L$8)*1000/864</f>
        <v>19.78088156</v>
      </c>
      <c r="Z6" s="250" t="s">
        <v>2330</v>
      </c>
      <c r="AC6" s="2">
        <v>50.0</v>
      </c>
      <c r="AD6" s="2" t="s">
        <v>2331</v>
      </c>
      <c r="AE6" s="213">
        <f>2*S6/AC6</f>
        <v>0</v>
      </c>
      <c r="AF6" s="51" t="s">
        <v>2437</v>
      </c>
      <c r="AI6" s="29"/>
      <c r="AK6" s="29"/>
    </row>
    <row r="7">
      <c r="A7" s="2"/>
      <c r="B7" s="236" t="s">
        <v>1684</v>
      </c>
      <c r="C7" s="337">
        <f>(PI()*D4^2/4)*D5 </f>
        <v>3573247.484</v>
      </c>
      <c r="E7" s="2" t="s">
        <v>600</v>
      </c>
      <c r="F7" s="2" t="s">
        <v>2342</v>
      </c>
      <c r="G7" s="221">
        <f>round(G5/G8,0)</f>
        <v>71</v>
      </c>
      <c r="H7" s="2" t="s">
        <v>1554</v>
      </c>
      <c r="I7" s="2" t="s">
        <v>2342</v>
      </c>
      <c r="L7" s="359">
        <f>G7*D11/100</f>
        <v>71.166</v>
      </c>
      <c r="Q7" s="241"/>
      <c r="AF7" s="55"/>
      <c r="AH7" s="353" t="s">
        <v>2343</v>
      </c>
      <c r="AI7" s="365"/>
      <c r="AJ7" s="106"/>
      <c r="AK7" s="365"/>
      <c r="AL7" s="107"/>
    </row>
    <row r="8">
      <c r="A8" s="2"/>
      <c r="B8" s="360" t="s">
        <v>13</v>
      </c>
      <c r="C8" s="234"/>
      <c r="D8" s="366">
        <f>G5*1000/C7</f>
        <v>0.02798574698</v>
      </c>
      <c r="E8" s="234" t="s">
        <v>1683</v>
      </c>
      <c r="F8" s="234" t="s">
        <v>199</v>
      </c>
      <c r="G8" s="367">
        <v>1.4</v>
      </c>
      <c r="H8" s="2" t="s">
        <v>1554</v>
      </c>
      <c r="I8" s="234" t="s">
        <v>199</v>
      </c>
      <c r="J8" s="235"/>
      <c r="K8" s="235"/>
      <c r="L8" s="368">
        <f>L5/L7</f>
        <v>1.407497963</v>
      </c>
      <c r="Q8" s="369"/>
      <c r="R8" s="235"/>
      <c r="S8" s="235"/>
      <c r="T8" s="23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363"/>
      <c r="AH8" s="236" t="s">
        <v>213</v>
      </c>
      <c r="AI8" s="370">
        <v>36.0</v>
      </c>
      <c r="AJ8" s="2" t="s">
        <v>2238</v>
      </c>
      <c r="AK8" s="297">
        <f>I18*min(K18,1)</f>
        <v>36</v>
      </c>
      <c r="AL8" s="51" t="s">
        <v>2241</v>
      </c>
    </row>
    <row r="9">
      <c r="E9" s="2"/>
      <c r="I9" s="52"/>
      <c r="L9" s="52"/>
      <c r="AH9" s="236" t="s">
        <v>2344</v>
      </c>
      <c r="AI9" s="379">
        <f>sum(P12:P34)</f>
        <v>5.7216</v>
      </c>
      <c r="AJ9" s="51" t="s">
        <v>86</v>
      </c>
      <c r="AK9" s="8"/>
      <c r="AL9" s="55"/>
    </row>
    <row r="10">
      <c r="E10" s="2"/>
      <c r="I10" s="3" t="s">
        <v>71</v>
      </c>
      <c r="AH10" s="360" t="s">
        <v>2345</v>
      </c>
      <c r="AI10" s="361">
        <f>if(AI9&lt;=0,"∞", if(AI8/AI9&gt;1, rounddown(AI8/AI9,0) , 0))</f>
        <v>6</v>
      </c>
      <c r="AJ10" s="237" t="s">
        <v>2346</v>
      </c>
      <c r="AK10" s="362"/>
      <c r="AL10" s="363"/>
    </row>
    <row r="11">
      <c r="A11" s="2"/>
      <c r="B11" s="2" t="s">
        <v>2347</v>
      </c>
      <c r="C11" s="2"/>
      <c r="D11" s="210">
        <f>sum(D12:D24)</f>
        <v>100.2338028</v>
      </c>
      <c r="E11" s="2" t="s">
        <v>150</v>
      </c>
      <c r="F11" s="52" t="s">
        <v>917</v>
      </c>
      <c r="G11" s="52" t="s">
        <v>73</v>
      </c>
      <c r="I11" s="52" t="s">
        <v>1673</v>
      </c>
      <c r="K11" s="5" t="s">
        <v>2226</v>
      </c>
      <c r="L11" s="52" t="s">
        <v>2327</v>
      </c>
      <c r="P11" s="52" t="s">
        <v>72</v>
      </c>
      <c r="R11" s="52" t="s">
        <v>1785</v>
      </c>
      <c r="AG11" s="52"/>
      <c r="AI11" s="29"/>
      <c r="AK11" s="29"/>
    </row>
    <row r="12">
      <c r="D12" s="357">
        <f t="shared" ref="D12:D13" si="1">round($G$7*G12/100,1)</f>
        <v>7.1</v>
      </c>
      <c r="E12" s="2" t="s">
        <v>150</v>
      </c>
      <c r="F12" s="2" t="s">
        <v>2349</v>
      </c>
      <c r="G12" s="371">
        <f>I12/2</f>
        <v>10</v>
      </c>
      <c r="H12" s="2" t="s">
        <v>1554</v>
      </c>
      <c r="I12" s="102">
        <v>20.0</v>
      </c>
      <c r="J12" s="2" t="s">
        <v>2515</v>
      </c>
      <c r="K12" s="2"/>
      <c r="L12" s="206">
        <v>18.0</v>
      </c>
      <c r="M12" s="2" t="s">
        <v>2515</v>
      </c>
      <c r="P12" s="152">
        <f t="shared" ref="P12:P13" si="2">L12</f>
        <v>18</v>
      </c>
      <c r="Q12" s="2" t="s">
        <v>2599</v>
      </c>
      <c r="R12" s="2" t="s">
        <v>2600</v>
      </c>
      <c r="AG12" s="2"/>
      <c r="AH12" s="353" t="s">
        <v>2348</v>
      </c>
      <c r="AI12" s="365"/>
      <c r="AJ12" s="106"/>
      <c r="AK12" s="365"/>
      <c r="AL12" s="107"/>
    </row>
    <row r="13">
      <c r="D13" s="221">
        <f t="shared" si="1"/>
        <v>0.1</v>
      </c>
      <c r="E13" s="2" t="s">
        <v>150</v>
      </c>
      <c r="F13" s="2" t="s">
        <v>2349</v>
      </c>
      <c r="G13" s="405">
        <f>I13/250</f>
        <v>0.072</v>
      </c>
      <c r="H13" s="2" t="s">
        <v>1554</v>
      </c>
      <c r="I13" s="102">
        <v>18.0</v>
      </c>
      <c r="J13" s="2" t="s">
        <v>2515</v>
      </c>
      <c r="L13" s="206">
        <v>0.0</v>
      </c>
      <c r="M13" s="2" t="s">
        <v>2515</v>
      </c>
      <c r="P13" s="152">
        <f t="shared" si="2"/>
        <v>0</v>
      </c>
      <c r="Q13" s="2" t="s">
        <v>2599</v>
      </c>
      <c r="R13" s="2" t="s">
        <v>2614</v>
      </c>
      <c r="AG13" s="2"/>
      <c r="AH13" s="236" t="s">
        <v>2351</v>
      </c>
      <c r="AI13" s="370">
        <v>2.0</v>
      </c>
      <c r="AJ13" s="2" t="s">
        <v>2238</v>
      </c>
      <c r="AK13" s="104">
        <v>2.0</v>
      </c>
      <c r="AL13" s="55"/>
      <c r="AM13" s="2" t="s">
        <v>2618</v>
      </c>
    </row>
    <row r="14">
      <c r="D14" s="102">
        <v>5.0</v>
      </c>
      <c r="E14" s="2" t="s">
        <v>150</v>
      </c>
      <c r="F14" s="2" t="s">
        <v>71</v>
      </c>
      <c r="G14" s="405">
        <f t="shared" ref="G14:G23" si="3">$G$7*D14/100</f>
        <v>3.55</v>
      </c>
      <c r="H14" s="2" t="s">
        <v>1554</v>
      </c>
      <c r="I14" s="221">
        <f>round(G14*AI14,0)</f>
        <v>18</v>
      </c>
      <c r="J14" s="2" t="s">
        <v>2412</v>
      </c>
      <c r="K14" s="2"/>
      <c r="L14" s="206">
        <v>1.0</v>
      </c>
      <c r="M14" s="2" t="s">
        <v>2412</v>
      </c>
      <c r="P14" s="357">
        <f>L14*6/AI15</f>
        <v>1.2</v>
      </c>
      <c r="Q14" s="2" t="s">
        <v>2599</v>
      </c>
      <c r="R14" s="2" t="s">
        <v>2353</v>
      </c>
      <c r="AG14" s="2"/>
      <c r="AH14" s="236" t="s">
        <v>71</v>
      </c>
      <c r="AI14" s="370">
        <v>5.0</v>
      </c>
      <c r="AJ14" s="2" t="s">
        <v>2238</v>
      </c>
      <c r="AK14" s="104">
        <v>5.0</v>
      </c>
      <c r="AL14" s="55"/>
      <c r="AM14" s="2" t="s">
        <v>2354</v>
      </c>
    </row>
    <row r="15">
      <c r="D15" s="102">
        <v>5.0</v>
      </c>
      <c r="E15" s="2" t="s">
        <v>150</v>
      </c>
      <c r="F15" s="2" t="s">
        <v>387</v>
      </c>
      <c r="G15" s="405">
        <f t="shared" si="3"/>
        <v>3.55</v>
      </c>
      <c r="H15" s="2" t="s">
        <v>1554</v>
      </c>
      <c r="I15" s="221">
        <f t="shared" ref="I15:I16" si="4">-round(1*G15,0)</f>
        <v>-4</v>
      </c>
      <c r="J15" s="2" t="s">
        <v>2412</v>
      </c>
      <c r="K15" s="370">
        <v>1.0</v>
      </c>
      <c r="L15" s="152">
        <f t="shared" ref="L15:L16" si="5">K15*I15</f>
        <v>-4</v>
      </c>
      <c r="M15" s="2" t="s">
        <v>2599</v>
      </c>
      <c r="P15" s="152">
        <f t="shared" ref="P15:P16" si="6">-round(I15*0.1,0)</f>
        <v>0</v>
      </c>
      <c r="Q15" s="2" t="s">
        <v>2599</v>
      </c>
      <c r="AG15" s="2"/>
      <c r="AH15" s="236" t="s">
        <v>387</v>
      </c>
      <c r="AI15" s="370">
        <v>5.0</v>
      </c>
      <c r="AJ15" s="2" t="s">
        <v>2238</v>
      </c>
      <c r="AK15" s="104">
        <v>5.0</v>
      </c>
      <c r="AL15" s="55"/>
      <c r="AM15" s="2" t="s">
        <v>2356</v>
      </c>
    </row>
    <row r="16">
      <c r="D16" s="102">
        <v>5.0</v>
      </c>
      <c r="E16" s="2" t="s">
        <v>150</v>
      </c>
      <c r="F16" s="2" t="s">
        <v>626</v>
      </c>
      <c r="G16" s="405">
        <f t="shared" si="3"/>
        <v>3.55</v>
      </c>
      <c r="H16" s="2" t="s">
        <v>1554</v>
      </c>
      <c r="I16" s="221">
        <f t="shared" si="4"/>
        <v>-4</v>
      </c>
      <c r="J16" s="2" t="s">
        <v>2412</v>
      </c>
      <c r="K16" s="370">
        <v>1.0</v>
      </c>
      <c r="L16" s="152">
        <f t="shared" si="5"/>
        <v>-4</v>
      </c>
      <c r="M16" s="2" t="s">
        <v>2599</v>
      </c>
      <c r="P16" s="152">
        <f t="shared" si="6"/>
        <v>0</v>
      </c>
      <c r="Q16" s="2" t="s">
        <v>2599</v>
      </c>
      <c r="AH16" s="360" t="s">
        <v>626</v>
      </c>
      <c r="AI16" s="372">
        <v>5.0</v>
      </c>
      <c r="AJ16" s="234" t="s">
        <v>2238</v>
      </c>
      <c r="AK16" s="373">
        <v>5.0</v>
      </c>
      <c r="AL16" s="363"/>
      <c r="AM16" s="2" t="s">
        <v>2640</v>
      </c>
    </row>
    <row r="17">
      <c r="D17" s="102">
        <v>5.0</v>
      </c>
      <c r="E17" s="2" t="s">
        <v>150</v>
      </c>
      <c r="F17" s="2" t="s">
        <v>611</v>
      </c>
      <c r="G17" s="405">
        <f t="shared" si="3"/>
        <v>3.55</v>
      </c>
      <c r="H17" s="2" t="s">
        <v>1554</v>
      </c>
      <c r="K17" s="370">
        <v>4.0</v>
      </c>
      <c r="L17" s="8" t="s">
        <v>2238</v>
      </c>
      <c r="M17" s="104">
        <v>4.0</v>
      </c>
      <c r="P17" s="210">
        <f>-G17*5*K17/M17</f>
        <v>-17.75</v>
      </c>
      <c r="Q17" s="2" t="s">
        <v>2599</v>
      </c>
      <c r="R17" s="2" t="s">
        <v>2643</v>
      </c>
      <c r="AE17" s="409"/>
      <c r="AG17" s="410"/>
    </row>
    <row r="18">
      <c r="D18" s="102">
        <v>5.0</v>
      </c>
      <c r="E18" s="2" t="s">
        <v>150</v>
      </c>
      <c r="F18" s="2" t="s">
        <v>213</v>
      </c>
      <c r="G18" s="405">
        <f t="shared" si="3"/>
        <v>3.55</v>
      </c>
      <c r="H18" s="2" t="s">
        <v>1554</v>
      </c>
      <c r="I18" s="221">
        <f>round(5*G18*2,0)</f>
        <v>36</v>
      </c>
      <c r="J18" s="2" t="s">
        <v>86</v>
      </c>
      <c r="K18" s="29"/>
      <c r="P18" s="2"/>
      <c r="R18" s="2" t="s">
        <v>2363</v>
      </c>
      <c r="AG18" s="2"/>
    </row>
    <row r="19">
      <c r="D19" s="102">
        <v>5.0</v>
      </c>
      <c r="E19" s="2" t="s">
        <v>150</v>
      </c>
      <c r="F19" s="2" t="s">
        <v>6</v>
      </c>
      <c r="G19" s="405">
        <f t="shared" si="3"/>
        <v>3.55</v>
      </c>
      <c r="H19" s="2" t="s">
        <v>1554</v>
      </c>
      <c r="I19" s="154">
        <f>G19 * 100</f>
        <v>355</v>
      </c>
      <c r="J19" s="2" t="s">
        <v>2324</v>
      </c>
      <c r="K19" s="370">
        <v>1.0</v>
      </c>
      <c r="L19" s="153">
        <f>round(AI3*0.01,0)</f>
        <v>4</v>
      </c>
      <c r="P19" s="153">
        <f>round(AI3*0.01,0)</f>
        <v>4</v>
      </c>
      <c r="Q19" s="2" t="s">
        <v>2599</v>
      </c>
      <c r="R19" s="2" t="s">
        <v>2368</v>
      </c>
      <c r="AG19" s="2"/>
      <c r="AH19" s="52" t="s">
        <v>2364</v>
      </c>
    </row>
    <row r="20">
      <c r="D20" s="102">
        <v>5.0</v>
      </c>
      <c r="E20" s="2" t="s">
        <v>150</v>
      </c>
      <c r="F20" s="2" t="s">
        <v>617</v>
      </c>
      <c r="G20" s="405">
        <f t="shared" si="3"/>
        <v>3.55</v>
      </c>
      <c r="H20" s="2" t="s">
        <v>1554</v>
      </c>
      <c r="K20" s="29"/>
      <c r="AH20" s="2" t="s">
        <v>2682</v>
      </c>
      <c r="AI20" s="374">
        <f>G17*1000*AK27</f>
        <v>532500</v>
      </c>
      <c r="AL20" s="2" t="s">
        <v>640</v>
      </c>
    </row>
    <row r="21">
      <c r="D21" s="102">
        <v>15.0</v>
      </c>
      <c r="E21" s="2" t="s">
        <v>150</v>
      </c>
      <c r="F21" s="2" t="s">
        <v>471</v>
      </c>
      <c r="G21" s="405">
        <f t="shared" si="3"/>
        <v>10.65</v>
      </c>
      <c r="H21" s="2" t="s">
        <v>1554</v>
      </c>
      <c r="K21" s="29"/>
      <c r="R21" s="2" t="s">
        <v>2692</v>
      </c>
      <c r="AH21" s="2" t="s">
        <v>2694</v>
      </c>
      <c r="AK21" s="222">
        <f>M17</f>
        <v>4</v>
      </c>
    </row>
    <row r="22">
      <c r="D22" s="102">
        <v>24.0</v>
      </c>
      <c r="E22" s="2" t="s">
        <v>150</v>
      </c>
      <c r="F22" s="2" t="s">
        <v>619</v>
      </c>
      <c r="G22" s="405">
        <f t="shared" si="3"/>
        <v>17.04</v>
      </c>
      <c r="H22" s="2" t="s">
        <v>1554</v>
      </c>
      <c r="K22" s="288"/>
      <c r="L22" s="397"/>
      <c r="O22" s="397"/>
      <c r="P22" s="393"/>
      <c r="Q22" s="411"/>
      <c r="R22" s="2" t="s">
        <v>2698</v>
      </c>
      <c r="AE22" s="210">
        <f>G22/C6 *1000 *1000</f>
        <v>89.85446108</v>
      </c>
      <c r="AF22" s="2" t="s">
        <v>781</v>
      </c>
      <c r="AH22" s="2" t="s">
        <v>2700</v>
      </c>
      <c r="AK22" s="102">
        <v>1.0</v>
      </c>
    </row>
    <row r="23">
      <c r="D23" s="102">
        <v>7.0</v>
      </c>
      <c r="E23" s="2" t="s">
        <v>150</v>
      </c>
      <c r="F23" s="2" t="s">
        <v>2516</v>
      </c>
      <c r="G23" s="405">
        <f t="shared" si="3"/>
        <v>4.97</v>
      </c>
      <c r="H23" s="2" t="s">
        <v>1554</v>
      </c>
      <c r="K23" s="29"/>
      <c r="AE23" s="25">
        <f>AE22*1000/10000</f>
        <v>8.985446108</v>
      </c>
      <c r="AF23" s="2" t="s">
        <v>1803</v>
      </c>
      <c r="AH23" s="2" t="s">
        <v>2387</v>
      </c>
      <c r="AI23" s="102" t="s">
        <v>2710</v>
      </c>
    </row>
    <row r="24">
      <c r="D24" s="357">
        <f>G24/G7*100</f>
        <v>12.03380282</v>
      </c>
      <c r="E24" s="2" t="s">
        <v>150</v>
      </c>
      <c r="F24" s="2" t="s">
        <v>1568</v>
      </c>
      <c r="G24" s="405">
        <f>sum(G27:G51)</f>
        <v>8.544</v>
      </c>
      <c r="H24" s="2" t="s">
        <v>1554</v>
      </c>
      <c r="AH24" s="2" t="s">
        <v>1697</v>
      </c>
      <c r="AI24" s="210">
        <f>sqrt(AI20/4)*AK22</f>
        <v>364.862988</v>
      </c>
      <c r="AL24" s="2" t="s">
        <v>189</v>
      </c>
    </row>
    <row r="25">
      <c r="A25" s="52"/>
      <c r="I25" s="3" t="s">
        <v>71</v>
      </c>
      <c r="AH25" s="2" t="s">
        <v>2325</v>
      </c>
      <c r="AI25" s="210">
        <f>sqrt(AI20/4)*1/AK22</f>
        <v>364.862988</v>
      </c>
      <c r="AL25" s="2" t="s">
        <v>189</v>
      </c>
    </row>
    <row r="26">
      <c r="B26" s="52" t="s">
        <v>2389</v>
      </c>
      <c r="C26" s="52"/>
      <c r="D26" s="412"/>
      <c r="I26" s="52" t="s">
        <v>1673</v>
      </c>
      <c r="K26" s="5" t="s">
        <v>2226</v>
      </c>
      <c r="L26" s="52" t="s">
        <v>2327</v>
      </c>
      <c r="P26" s="52" t="s">
        <v>72</v>
      </c>
      <c r="AH26" s="2" t="s">
        <v>739</v>
      </c>
      <c r="AK26" s="102">
        <v>33.0</v>
      </c>
      <c r="AL26" s="2" t="s">
        <v>775</v>
      </c>
    </row>
    <row r="27">
      <c r="B27" s="378" t="s">
        <v>2744</v>
      </c>
      <c r="C27" s="378"/>
      <c r="D27" s="102">
        <v>42.0</v>
      </c>
      <c r="E27" s="2" t="s">
        <v>2236</v>
      </c>
      <c r="F27" s="2" t="s">
        <v>2746</v>
      </c>
      <c r="G27" s="342">
        <f>2*D27/1000</f>
        <v>0.084</v>
      </c>
      <c r="H27" s="2" t="s">
        <v>1554</v>
      </c>
      <c r="I27" s="342">
        <f>-G27/10</f>
        <v>-0.0084</v>
      </c>
      <c r="J27" s="2" t="s">
        <v>2599</v>
      </c>
      <c r="K27" s="370">
        <v>1.0</v>
      </c>
      <c r="L27" s="357">
        <f t="shared" ref="L27:L30" si="7">K27*I27</f>
        <v>-0.0084</v>
      </c>
      <c r="M27" s="2" t="s">
        <v>2599</v>
      </c>
      <c r="P27" s="357">
        <f>L27</f>
        <v>-0.0084</v>
      </c>
      <c r="Q27" s="2" t="s">
        <v>2599</v>
      </c>
      <c r="AH27" s="2" t="s">
        <v>2756</v>
      </c>
      <c r="AK27" s="102">
        <v>150.0</v>
      </c>
      <c r="AL27" s="2" t="s">
        <v>2757</v>
      </c>
    </row>
    <row r="28">
      <c r="B28" s="378" t="s">
        <v>2758</v>
      </c>
      <c r="C28" s="378"/>
      <c r="D28" s="102">
        <v>2.0</v>
      </c>
      <c r="E28" s="2" t="s">
        <v>2236</v>
      </c>
      <c r="F28" s="2" t="s">
        <v>2759</v>
      </c>
      <c r="G28" s="102">
        <f>1.4*D28</f>
        <v>2.8</v>
      </c>
      <c r="H28" s="2" t="s">
        <v>1554</v>
      </c>
      <c r="I28" s="102">
        <f>-G28</f>
        <v>-2.8</v>
      </c>
      <c r="J28" s="2" t="s">
        <v>2599</v>
      </c>
      <c r="K28" s="370">
        <v>1.0</v>
      </c>
      <c r="L28" s="357">
        <f t="shared" si="7"/>
        <v>-2.8</v>
      </c>
      <c r="M28" s="2" t="s">
        <v>2599</v>
      </c>
      <c r="P28" s="405">
        <f>-L28/10</f>
        <v>0.28</v>
      </c>
      <c r="Q28" s="2" t="s">
        <v>2599</v>
      </c>
      <c r="R28" s="2" t="s">
        <v>2760</v>
      </c>
    </row>
    <row r="29">
      <c r="B29" s="378" t="s">
        <v>2761</v>
      </c>
      <c r="C29" s="378"/>
      <c r="D29" s="102">
        <v>15.0</v>
      </c>
      <c r="E29" s="2" t="s">
        <v>2236</v>
      </c>
      <c r="F29" s="2" t="s">
        <v>2762</v>
      </c>
      <c r="G29" s="342">
        <f>10*D29/1000</f>
        <v>0.15</v>
      </c>
      <c r="H29" s="2" t="s">
        <v>1554</v>
      </c>
      <c r="I29" s="342">
        <f>-10*D29/1000</f>
        <v>-0.15</v>
      </c>
      <c r="J29" s="2" t="s">
        <v>2599</v>
      </c>
      <c r="K29" s="370">
        <v>1.0</v>
      </c>
      <c r="L29" s="357">
        <f t="shared" si="7"/>
        <v>-0.15</v>
      </c>
      <c r="M29" s="2" t="s">
        <v>2599</v>
      </c>
      <c r="P29" s="221">
        <f t="shared" ref="P29:P30" si="8">-round(L29*0.1,0)</f>
        <v>0</v>
      </c>
      <c r="Q29" s="2" t="s">
        <v>2599</v>
      </c>
      <c r="R29" s="2" t="s">
        <v>2448</v>
      </c>
    </row>
    <row r="30">
      <c r="A30" s="52"/>
      <c r="D30" s="102">
        <v>21.0</v>
      </c>
      <c r="E30" s="2" t="s">
        <v>2236</v>
      </c>
      <c r="F30" s="2" t="s">
        <v>2763</v>
      </c>
      <c r="G30" s="342">
        <f>D30*60/1000</f>
        <v>1.26</v>
      </c>
      <c r="H30" s="2" t="s">
        <v>1554</v>
      </c>
      <c r="I30" s="342">
        <f>-6*D30/1000</f>
        <v>-0.126</v>
      </c>
      <c r="J30" s="2" t="s">
        <v>2599</v>
      </c>
      <c r="K30" s="370">
        <v>1.0</v>
      </c>
      <c r="L30" s="357">
        <f t="shared" si="7"/>
        <v>-0.126</v>
      </c>
      <c r="M30" s="2" t="s">
        <v>2599</v>
      </c>
      <c r="P30" s="221">
        <f t="shared" si="8"/>
        <v>0</v>
      </c>
      <c r="Q30" s="2" t="s">
        <v>2599</v>
      </c>
      <c r="R30" s="2" t="s">
        <v>2448</v>
      </c>
    </row>
    <row r="31">
      <c r="A31" s="52"/>
    </row>
    <row r="32">
      <c r="A32" s="52"/>
      <c r="B32" s="52" t="s">
        <v>1938</v>
      </c>
      <c r="C32" s="52"/>
      <c r="D32" s="206">
        <v>300.0</v>
      </c>
      <c r="E32" s="2" t="s">
        <v>2236</v>
      </c>
      <c r="F32" s="2" t="s">
        <v>2764</v>
      </c>
      <c r="G32" s="213">
        <f>D32*40*20/1000 /1000</f>
        <v>0.24</v>
      </c>
      <c r="H32" s="2" t="s">
        <v>1554</v>
      </c>
      <c r="I32" s="2" t="s">
        <v>2765</v>
      </c>
      <c r="K32" s="29"/>
    </row>
    <row r="33">
      <c r="D33" s="206">
        <v>210.0</v>
      </c>
      <c r="E33" s="2" t="s">
        <v>2236</v>
      </c>
      <c r="F33" s="2" t="s">
        <v>2766</v>
      </c>
      <c r="G33" s="213">
        <f>D33 *12*500 /1000 /1000</f>
        <v>1.26</v>
      </c>
      <c r="H33" s="2" t="s">
        <v>1554</v>
      </c>
      <c r="I33" s="2" t="s">
        <v>2767</v>
      </c>
    </row>
    <row r="34">
      <c r="B34" s="52" t="s">
        <v>2455</v>
      </c>
      <c r="C34" s="52"/>
      <c r="D34" s="206">
        <v>2000.0</v>
      </c>
      <c r="E34" s="2" t="s">
        <v>2236</v>
      </c>
      <c r="F34" s="2" t="s">
        <v>2768</v>
      </c>
      <c r="G34" s="102">
        <f>D34/1000</f>
        <v>2</v>
      </c>
      <c r="H34" s="2" t="s">
        <v>1554</v>
      </c>
      <c r="I34" s="102">
        <f>-G34</f>
        <v>-2</v>
      </c>
      <c r="J34" s="2" t="s">
        <v>2241</v>
      </c>
      <c r="K34" s="8"/>
      <c r="M34" s="2" t="s">
        <v>2241</v>
      </c>
      <c r="P34" s="221">
        <f>-round(L34*0.1,0)</f>
        <v>0</v>
      </c>
      <c r="Q34" s="2" t="s">
        <v>2241</v>
      </c>
      <c r="R34" s="2" t="s">
        <v>2769</v>
      </c>
      <c r="AE34" s="210">
        <f>C7*G34/G5 / (D34)</f>
        <v>35.73247484</v>
      </c>
      <c r="AF34" s="2" t="s">
        <v>2770</v>
      </c>
    </row>
    <row r="35">
      <c r="B35" s="52" t="s">
        <v>607</v>
      </c>
      <c r="C35" s="52"/>
      <c r="D35" s="206">
        <v>6.0</v>
      </c>
      <c r="E35" s="2" t="s">
        <v>2236</v>
      </c>
      <c r="F35" s="2" t="s">
        <v>2771</v>
      </c>
      <c r="G35" s="102">
        <f>D35*100/1000</f>
        <v>0.6</v>
      </c>
      <c r="H35" s="2" t="s">
        <v>1554</v>
      </c>
      <c r="K35" s="29"/>
      <c r="R35" s="207" t="s">
        <v>2772</v>
      </c>
    </row>
    <row r="36">
      <c r="D36" s="206">
        <v>3.0</v>
      </c>
      <c r="E36" s="2" t="s">
        <v>2236</v>
      </c>
      <c r="F36" s="2" t="s">
        <v>2773</v>
      </c>
      <c r="G36" s="342">
        <f>D36*50/1000</f>
        <v>0.15</v>
      </c>
      <c r="H36" s="2" t="s">
        <v>1554</v>
      </c>
      <c r="R36" s="2" t="s">
        <v>2774</v>
      </c>
    </row>
  </sheetData>
  <mergeCells count="8">
    <mergeCell ref="C6:D6"/>
    <mergeCell ref="C7:D7"/>
    <mergeCell ref="I10:M10"/>
    <mergeCell ref="AI20:AK20"/>
    <mergeCell ref="AI23:AK23"/>
    <mergeCell ref="AI24:AK24"/>
    <mergeCell ref="I25:M25"/>
    <mergeCell ref="AI25:AK25"/>
  </mergeCells>
  <hyperlinks>
    <hyperlink r:id="rId2" ref="D2"/>
  </hyperlinks>
  <drawing r:id="rId3"/>
  <legacy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88"/>
  </cols>
  <sheetData>
    <row r="2">
      <c r="A2" s="52" t="s">
        <v>2517</v>
      </c>
      <c r="B2" s="52" t="s">
        <v>2518</v>
      </c>
      <c r="C2" s="52" t="s">
        <v>2519</v>
      </c>
      <c r="D2" s="52" t="s">
        <v>2520</v>
      </c>
      <c r="E2" s="52" t="s">
        <v>2521</v>
      </c>
      <c r="F2" s="52" t="s">
        <v>2522</v>
      </c>
    </row>
    <row r="3">
      <c r="A3" s="2" t="s">
        <v>1270</v>
      </c>
      <c r="B3" s="2" t="s">
        <v>2524</v>
      </c>
      <c r="C3" s="2" t="s">
        <v>2525</v>
      </c>
      <c r="E3" s="2" t="s">
        <v>2524</v>
      </c>
      <c r="F3" s="2" t="s">
        <v>2526</v>
      </c>
    </row>
    <row r="4">
      <c r="B4" s="2" t="s">
        <v>2527</v>
      </c>
      <c r="C4" s="2" t="s">
        <v>2525</v>
      </c>
      <c r="E4" s="2" t="s">
        <v>2528</v>
      </c>
      <c r="F4" s="2" t="s">
        <v>2529</v>
      </c>
    </row>
    <row r="5">
      <c r="B5" s="2" t="s">
        <v>2530</v>
      </c>
      <c r="C5" s="2" t="s">
        <v>2525</v>
      </c>
      <c r="E5" s="2" t="s">
        <v>2528</v>
      </c>
      <c r="F5" s="2" t="s">
        <v>2531</v>
      </c>
    </row>
    <row r="8">
      <c r="B8" s="2" t="s">
        <v>2532</v>
      </c>
      <c r="C8" s="2" t="s">
        <v>2533</v>
      </c>
    </row>
    <row r="17">
      <c r="A17" s="52" t="s">
        <v>2517</v>
      </c>
      <c r="B17" s="52" t="s">
        <v>2518</v>
      </c>
      <c r="C17" s="52" t="s">
        <v>2519</v>
      </c>
      <c r="D17" s="52" t="s">
        <v>2520</v>
      </c>
      <c r="E17" s="52" t="s">
        <v>2521</v>
      </c>
      <c r="F17" s="52" t="s">
        <v>2522</v>
      </c>
    </row>
    <row r="18">
      <c r="A18" s="2" t="s">
        <v>2534</v>
      </c>
      <c r="B18" s="2" t="s">
        <v>2524</v>
      </c>
      <c r="C18" s="2" t="s">
        <v>2535</v>
      </c>
      <c r="D18" s="2" t="s">
        <v>2536</v>
      </c>
      <c r="E18" s="2" t="s">
        <v>2528</v>
      </c>
    </row>
    <row r="19">
      <c r="B19" s="2" t="s">
        <v>2537</v>
      </c>
      <c r="C19" s="2" t="s">
        <v>2535</v>
      </c>
      <c r="D19" s="2" t="s">
        <v>2538</v>
      </c>
      <c r="E19" s="2" t="s">
        <v>2539</v>
      </c>
    </row>
    <row r="20">
      <c r="B20" s="2" t="s">
        <v>2540</v>
      </c>
      <c r="C20" s="2" t="s">
        <v>2535</v>
      </c>
      <c r="D20" s="2" t="s">
        <v>2538</v>
      </c>
      <c r="E20" s="2" t="s">
        <v>2539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7.88"/>
    <col customWidth="1" min="3" max="3" width="6.63"/>
    <col customWidth="1" min="4" max="4" width="8.88"/>
    <col customWidth="1" min="5" max="5" width="33.25"/>
    <col customWidth="1" min="6" max="6" width="46.5"/>
    <col customWidth="1" min="7" max="7" width="7.38"/>
  </cols>
  <sheetData>
    <row r="1">
      <c r="A1" s="52" t="s">
        <v>2518</v>
      </c>
      <c r="B1" s="52" t="s">
        <v>2519</v>
      </c>
      <c r="C1" s="52" t="s">
        <v>2520</v>
      </c>
      <c r="D1" s="52" t="s">
        <v>2521</v>
      </c>
      <c r="E1" s="52" t="s">
        <v>2546</v>
      </c>
    </row>
    <row r="2">
      <c r="A2" s="2" t="s">
        <v>2547</v>
      </c>
      <c r="B2" s="2" t="s">
        <v>2548</v>
      </c>
      <c r="C2" s="2" t="s">
        <v>2536</v>
      </c>
      <c r="D2" s="2" t="s">
        <v>2549</v>
      </c>
      <c r="E2" s="404" t="s">
        <v>2550</v>
      </c>
    </row>
    <row r="3">
      <c r="A3" s="2" t="s">
        <v>2552</v>
      </c>
      <c r="B3" s="2" t="s">
        <v>2553</v>
      </c>
      <c r="C3" s="2" t="s">
        <v>2536</v>
      </c>
      <c r="D3" s="2" t="s">
        <v>2529</v>
      </c>
      <c r="E3" s="2" t="s">
        <v>2554</v>
      </c>
    </row>
    <row r="4">
      <c r="A4" s="2" t="s">
        <v>2556</v>
      </c>
      <c r="B4" s="2" t="s">
        <v>2533</v>
      </c>
      <c r="C4" s="2" t="s">
        <v>2536</v>
      </c>
      <c r="D4" s="2" t="s">
        <v>2557</v>
      </c>
      <c r="E4" s="2" t="s">
        <v>2558</v>
      </c>
    </row>
    <row r="5">
      <c r="A5" s="2" t="s">
        <v>2559</v>
      </c>
      <c r="C5" s="2" t="s">
        <v>2536</v>
      </c>
      <c r="D5" s="2" t="s">
        <v>2560</v>
      </c>
      <c r="E5" s="2" t="s">
        <v>2561</v>
      </c>
    </row>
    <row r="7">
      <c r="A7" s="2" t="s">
        <v>2566</v>
      </c>
    </row>
    <row r="8">
      <c r="A8" s="2" t="s">
        <v>2568</v>
      </c>
    </row>
    <row r="9">
      <c r="A9" s="2" t="s">
        <v>2571</v>
      </c>
    </row>
    <row r="10">
      <c r="A10" s="2" t="s">
        <v>2575</v>
      </c>
    </row>
    <row r="12">
      <c r="A12" s="2" t="s">
        <v>2578</v>
      </c>
      <c r="B12" s="2" t="s">
        <v>2579</v>
      </c>
    </row>
    <row r="13">
      <c r="A13" s="2" t="s">
        <v>2580</v>
      </c>
      <c r="B13" s="6" t="s">
        <v>2581</v>
      </c>
    </row>
    <row r="14">
      <c r="A14" s="2" t="s">
        <v>2584</v>
      </c>
      <c r="B14" s="6" t="s">
        <v>2586</v>
      </c>
    </row>
    <row r="15">
      <c r="A15" s="2" t="s">
        <v>2590</v>
      </c>
      <c r="B15" s="6" t="s">
        <v>2591</v>
      </c>
    </row>
    <row r="16">
      <c r="A16" s="2" t="s">
        <v>2592</v>
      </c>
      <c r="B16" s="6" t="s">
        <v>2593</v>
      </c>
    </row>
    <row r="17">
      <c r="A17" s="2" t="s">
        <v>2594</v>
      </c>
      <c r="B17" s="6" t="s">
        <v>2595</v>
      </c>
    </row>
    <row r="18">
      <c r="A18" s="2" t="s">
        <v>2596</v>
      </c>
      <c r="B18" s="2" t="s">
        <v>2597</v>
      </c>
    </row>
    <row r="20">
      <c r="A20" s="2" t="s">
        <v>2598</v>
      </c>
    </row>
    <row r="22">
      <c r="A22" s="52" t="s">
        <v>2518</v>
      </c>
      <c r="B22" s="52" t="s">
        <v>2519</v>
      </c>
      <c r="C22" s="52" t="s">
        <v>2520</v>
      </c>
      <c r="D22" s="52" t="s">
        <v>2521</v>
      </c>
      <c r="E22" s="52" t="s">
        <v>2546</v>
      </c>
      <c r="F22" s="52" t="s">
        <v>2601</v>
      </c>
      <c r="G22" s="52" t="s">
        <v>2602</v>
      </c>
      <c r="H22" s="52" t="s">
        <v>2603</v>
      </c>
      <c r="T22">
        <f>T23/24/60</f>
        <v>0.1205632716</v>
      </c>
    </row>
    <row r="23">
      <c r="A23" s="2" t="s">
        <v>2562</v>
      </c>
      <c r="B23" s="2" t="s">
        <v>2553</v>
      </c>
      <c r="C23" s="2" t="s">
        <v>2563</v>
      </c>
      <c r="D23" s="2" t="s">
        <v>2564</v>
      </c>
      <c r="E23" s="2" t="s">
        <v>2565</v>
      </c>
      <c r="F23" s="2" t="s">
        <v>2605</v>
      </c>
      <c r="G23" s="8" t="s">
        <v>2606</v>
      </c>
      <c r="H23" s="2" t="s">
        <v>2607</v>
      </c>
      <c r="T23">
        <f>T24/12/30 * 1000</f>
        <v>173.6111111</v>
      </c>
    </row>
    <row r="24">
      <c r="A24" s="2" t="s">
        <v>2567</v>
      </c>
      <c r="B24" s="2" t="s">
        <v>2525</v>
      </c>
      <c r="C24" s="2" t="s">
        <v>2536</v>
      </c>
      <c r="D24" s="2" t="s">
        <v>2528</v>
      </c>
      <c r="E24" s="2" t="s">
        <v>2610</v>
      </c>
      <c r="F24" s="2" t="s">
        <v>2611</v>
      </c>
      <c r="G24" s="8" t="s">
        <v>2612</v>
      </c>
      <c r="H24" s="2" t="s">
        <v>2613</v>
      </c>
      <c r="T24" s="2">
        <v>62.5</v>
      </c>
    </row>
    <row r="25">
      <c r="A25" s="2" t="s">
        <v>2572</v>
      </c>
      <c r="B25" s="2" t="s">
        <v>2573</v>
      </c>
      <c r="C25" s="2" t="s">
        <v>2536</v>
      </c>
      <c r="D25" s="2" t="s">
        <v>2528</v>
      </c>
      <c r="E25" s="2" t="s">
        <v>2574</v>
      </c>
      <c r="F25" s="2" t="s">
        <v>2615</v>
      </c>
      <c r="G25" s="406" t="s">
        <v>2616</v>
      </c>
      <c r="H25" s="2" t="s">
        <v>2617</v>
      </c>
    </row>
    <row r="26">
      <c r="A26" s="2" t="s">
        <v>2576</v>
      </c>
      <c r="B26" s="2" t="s">
        <v>2548</v>
      </c>
      <c r="D26" s="2" t="s">
        <v>2529</v>
      </c>
      <c r="E26" s="2" t="s">
        <v>2577</v>
      </c>
      <c r="F26" s="407" t="s">
        <v>2619</v>
      </c>
      <c r="G26" s="8" t="s">
        <v>2620</v>
      </c>
      <c r="H26" s="2" t="s">
        <v>2621</v>
      </c>
    </row>
    <row r="27">
      <c r="A27" s="2" t="s">
        <v>2623</v>
      </c>
      <c r="B27" s="2" t="s">
        <v>2533</v>
      </c>
      <c r="C27" s="2" t="s">
        <v>1199</v>
      </c>
      <c r="D27" s="2" t="s">
        <v>2560</v>
      </c>
      <c r="E27" s="2" t="s">
        <v>2624</v>
      </c>
      <c r="F27" s="2" t="s">
        <v>2625</v>
      </c>
      <c r="G27" s="8" t="s">
        <v>2626</v>
      </c>
      <c r="H27" s="2" t="s">
        <v>2627</v>
      </c>
    </row>
    <row r="28">
      <c r="G28" s="3" t="s">
        <v>2628</v>
      </c>
    </row>
    <row r="29">
      <c r="A29" s="2" t="s">
        <v>2629</v>
      </c>
    </row>
    <row r="33">
      <c r="A33" s="2" t="s">
        <v>2630</v>
      </c>
      <c r="B33" s="2" t="s">
        <v>2533</v>
      </c>
      <c r="C33" s="2" t="s">
        <v>1199</v>
      </c>
      <c r="D33" s="2" t="s">
        <v>2631</v>
      </c>
    </row>
    <row r="37">
      <c r="A37" s="2" t="s">
        <v>2632</v>
      </c>
      <c r="E37" s="2" t="s">
        <v>2633</v>
      </c>
    </row>
    <row r="38">
      <c r="A38" s="2" t="s">
        <v>2634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7.25"/>
    <col customWidth="1" min="4" max="4" width="10.5"/>
    <col customWidth="1" min="5" max="5" width="6.25"/>
    <col customWidth="1" min="6" max="7" width="7.75"/>
  </cols>
  <sheetData>
    <row r="1">
      <c r="A1" s="52" t="s">
        <v>2518</v>
      </c>
      <c r="B1" s="52" t="s">
        <v>2519</v>
      </c>
      <c r="C1" s="52" t="s">
        <v>2520</v>
      </c>
      <c r="D1" s="52" t="s">
        <v>2521</v>
      </c>
      <c r="E1" s="52" t="s">
        <v>2546</v>
      </c>
    </row>
    <row r="2">
      <c r="A2" s="2" t="s">
        <v>2547</v>
      </c>
      <c r="B2" s="2" t="s">
        <v>2548</v>
      </c>
      <c r="C2" s="2" t="s">
        <v>2536</v>
      </c>
      <c r="D2" s="2" t="s">
        <v>2549</v>
      </c>
      <c r="E2" s="404" t="s">
        <v>2550</v>
      </c>
    </row>
    <row r="3">
      <c r="A3" s="2" t="s">
        <v>2552</v>
      </c>
      <c r="B3" s="2" t="s">
        <v>2553</v>
      </c>
      <c r="C3" s="2" t="s">
        <v>2536</v>
      </c>
      <c r="D3" s="2" t="s">
        <v>2529</v>
      </c>
      <c r="E3" s="2" t="s">
        <v>2555</v>
      </c>
    </row>
    <row r="4">
      <c r="A4" s="2"/>
      <c r="B4" s="2"/>
      <c r="C4" s="2"/>
      <c r="D4" s="2"/>
      <c r="E4" s="2"/>
    </row>
    <row r="5">
      <c r="A5" s="52" t="s">
        <v>2518</v>
      </c>
      <c r="B5" s="52" t="s">
        <v>2519</v>
      </c>
      <c r="C5" s="52" t="s">
        <v>2520</v>
      </c>
      <c r="D5" s="52" t="s">
        <v>2521</v>
      </c>
      <c r="E5" s="52" t="s">
        <v>2546</v>
      </c>
    </row>
    <row r="6">
      <c r="A6" s="2" t="s">
        <v>2562</v>
      </c>
      <c r="B6" s="2" t="s">
        <v>2553</v>
      </c>
      <c r="C6" s="2" t="s">
        <v>2563</v>
      </c>
      <c r="D6" s="2" t="s">
        <v>2564</v>
      </c>
      <c r="E6" s="2" t="s">
        <v>2565</v>
      </c>
    </row>
    <row r="7">
      <c r="A7" s="2" t="s">
        <v>2567</v>
      </c>
      <c r="B7" s="2" t="s">
        <v>2525</v>
      </c>
      <c r="C7" s="2" t="s">
        <v>2536</v>
      </c>
      <c r="D7" s="2" t="s">
        <v>2569</v>
      </c>
      <c r="E7" s="2" t="s">
        <v>2570</v>
      </c>
    </row>
    <row r="8">
      <c r="A8" s="2" t="s">
        <v>2572</v>
      </c>
      <c r="B8" s="2" t="s">
        <v>2573</v>
      </c>
      <c r="C8" s="2" t="s">
        <v>2536</v>
      </c>
      <c r="D8" s="2" t="s">
        <v>2569</v>
      </c>
      <c r="E8" s="2" t="s">
        <v>2574</v>
      </c>
    </row>
    <row r="9">
      <c r="A9" s="2" t="s">
        <v>2576</v>
      </c>
      <c r="B9" s="2" t="s">
        <v>2548</v>
      </c>
      <c r="D9" s="2" t="s">
        <v>2529</v>
      </c>
      <c r="E9" s="2" t="s">
        <v>2577</v>
      </c>
    </row>
    <row r="10">
      <c r="A10" s="2"/>
      <c r="B10" s="6"/>
    </row>
    <row r="11">
      <c r="A11" s="2"/>
      <c r="B11" s="2"/>
    </row>
    <row r="16">
      <c r="B16" s="2" t="s">
        <v>2582</v>
      </c>
    </row>
    <row r="17">
      <c r="B17" s="2" t="s">
        <v>2583</v>
      </c>
    </row>
    <row r="18">
      <c r="C18" s="2" t="s">
        <v>2585</v>
      </c>
      <c r="D18" s="2" t="s">
        <v>2587</v>
      </c>
      <c r="E18" s="2" t="s">
        <v>2588</v>
      </c>
      <c r="F18" s="2" t="s">
        <v>2589</v>
      </c>
      <c r="G18" s="2" t="s">
        <v>1366</v>
      </c>
    </row>
    <row r="19">
      <c r="C19" s="2">
        <v>5.0</v>
      </c>
      <c r="D19" s="2">
        <f>(C19*E19)^(1/2)</f>
        <v>8.94427191</v>
      </c>
      <c r="E19" s="2">
        <v>16.0</v>
      </c>
      <c r="F19" s="2">
        <f>2*PI()*E19</f>
        <v>100.5309649</v>
      </c>
      <c r="G19">
        <f>D19*60/F19</f>
        <v>5.338219076</v>
      </c>
    </row>
    <row r="21">
      <c r="C21" s="2">
        <v>5.0</v>
      </c>
      <c r="D21" s="2">
        <f>(C21*E21)^(1/2)</f>
        <v>200</v>
      </c>
      <c r="E21" s="2">
        <v>8000.0</v>
      </c>
      <c r="F21" s="2">
        <f>2*PI()*E21</f>
        <v>50265.48246</v>
      </c>
      <c r="G21">
        <f>D21*60/F21</f>
        <v>0.2387324146</v>
      </c>
    </row>
    <row r="23">
      <c r="C23" s="2" t="s">
        <v>2585</v>
      </c>
      <c r="D23" s="2" t="s">
        <v>2608</v>
      </c>
      <c r="E23" s="2" t="s">
        <v>2588</v>
      </c>
      <c r="G23" s="2" t="s">
        <v>1366</v>
      </c>
    </row>
    <row r="24">
      <c r="B24" s="2" t="s">
        <v>2609</v>
      </c>
      <c r="C24" s="2">
        <v>5.5</v>
      </c>
      <c r="D24" s="2">
        <f>60/G24</f>
        <v>240</v>
      </c>
      <c r="E24">
        <f>C24*(D24/(2*pi()))^2</f>
        <v>8024.637744</v>
      </c>
      <c r="G24" s="2">
        <v>0.25</v>
      </c>
    </row>
    <row r="26">
      <c r="C26">
        <f>5.5/9.8</f>
        <v>0.5612244898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8.5"/>
    <col customWidth="1" min="3" max="3" width="7.38"/>
    <col customWidth="1" min="4" max="4" width="11.75"/>
    <col customWidth="1" min="5" max="5" width="31.13"/>
    <col customWidth="1" min="6" max="6" width="42.88"/>
    <col customWidth="1" min="7" max="7" width="7.38"/>
    <col customWidth="1" min="9" max="9" width="10.0"/>
  </cols>
  <sheetData>
    <row r="1">
      <c r="A1" s="52" t="s">
        <v>2518</v>
      </c>
      <c r="B1" s="52" t="s">
        <v>2519</v>
      </c>
      <c r="C1" s="52" t="s">
        <v>2521</v>
      </c>
      <c r="D1" s="52" t="s">
        <v>2646</v>
      </c>
      <c r="F1" s="52" t="s">
        <v>2647</v>
      </c>
    </row>
    <row r="2">
      <c r="A2" s="2" t="s">
        <v>2648</v>
      </c>
      <c r="B2" s="2" t="s">
        <v>2649</v>
      </c>
      <c r="C2" s="2" t="s">
        <v>2650</v>
      </c>
      <c r="D2" s="2" t="s">
        <v>2651</v>
      </c>
      <c r="F2" s="2" t="s">
        <v>2652</v>
      </c>
    </row>
    <row r="3">
      <c r="A3" s="2" t="s">
        <v>2653</v>
      </c>
      <c r="B3" s="2" t="s">
        <v>2654</v>
      </c>
      <c r="C3" s="2" t="s">
        <v>2529</v>
      </c>
      <c r="D3" s="2" t="s">
        <v>2656</v>
      </c>
      <c r="F3" s="2" t="s">
        <v>2657</v>
      </c>
    </row>
    <row r="4">
      <c r="A4" s="2" t="s">
        <v>2658</v>
      </c>
      <c r="B4" s="2" t="s">
        <v>2659</v>
      </c>
      <c r="C4" s="2" t="s">
        <v>2660</v>
      </c>
      <c r="D4" s="2" t="s">
        <v>2661</v>
      </c>
      <c r="F4" s="2" t="s">
        <v>2662</v>
      </c>
    </row>
    <row r="5">
      <c r="F5" s="2" t="s">
        <v>2664</v>
      </c>
    </row>
    <row r="6">
      <c r="A6" s="2" t="s">
        <v>2665</v>
      </c>
      <c r="F6" s="2" t="s">
        <v>2666</v>
      </c>
    </row>
    <row r="7">
      <c r="A7" s="2" t="s">
        <v>2667</v>
      </c>
    </row>
    <row r="8">
      <c r="A8" s="2" t="s">
        <v>2668</v>
      </c>
    </row>
    <row r="10">
      <c r="A10" s="2" t="s">
        <v>2669</v>
      </c>
    </row>
    <row r="11">
      <c r="A11" s="2" t="s">
        <v>2670</v>
      </c>
    </row>
    <row r="12">
      <c r="A12" s="2" t="s">
        <v>2671</v>
      </c>
    </row>
    <row r="14">
      <c r="A14" s="52" t="s">
        <v>2518</v>
      </c>
      <c r="B14" s="52" t="s">
        <v>2519</v>
      </c>
      <c r="C14" s="52" t="s">
        <v>2521</v>
      </c>
      <c r="D14" s="52" t="s">
        <v>2646</v>
      </c>
    </row>
    <row r="15">
      <c r="A15" s="2" t="s">
        <v>2672</v>
      </c>
      <c r="B15" s="2" t="s">
        <v>2548</v>
      </c>
      <c r="C15" s="2" t="s">
        <v>2557</v>
      </c>
      <c r="D15" s="2" t="s">
        <v>2673</v>
      </c>
      <c r="I15" s="52" t="s">
        <v>2674</v>
      </c>
      <c r="J15" s="2" t="s">
        <v>110</v>
      </c>
    </row>
    <row r="16">
      <c r="A16" s="2" t="s">
        <v>2675</v>
      </c>
      <c r="B16" s="2" t="s">
        <v>2548</v>
      </c>
      <c r="C16" s="2" t="s">
        <v>2549</v>
      </c>
      <c r="D16" s="2" t="s">
        <v>2676</v>
      </c>
      <c r="J16" s="2" t="s">
        <v>2677</v>
      </c>
    </row>
    <row r="17">
      <c r="A17" s="2" t="s">
        <v>2678</v>
      </c>
      <c r="B17" s="2" t="s">
        <v>2548</v>
      </c>
      <c r="C17" s="2" t="s">
        <v>2549</v>
      </c>
      <c r="D17" s="2" t="s">
        <v>2680</v>
      </c>
      <c r="J17" s="2" t="s">
        <v>2681</v>
      </c>
    </row>
    <row r="18">
      <c r="A18" s="2" t="s">
        <v>2683</v>
      </c>
      <c r="B18" s="2" t="s">
        <v>2573</v>
      </c>
      <c r="C18" s="2" t="s">
        <v>2684</v>
      </c>
      <c r="D18" s="2" t="s">
        <v>2686</v>
      </c>
      <c r="J18" s="2" t="s">
        <v>2662</v>
      </c>
    </row>
    <row r="19">
      <c r="A19" s="2" t="s">
        <v>2687</v>
      </c>
      <c r="B19" s="2" t="s">
        <v>2548</v>
      </c>
      <c r="C19" s="2" t="s">
        <v>2560</v>
      </c>
      <c r="D19" s="2" t="s">
        <v>2688</v>
      </c>
    </row>
    <row r="21">
      <c r="A21" s="2" t="s">
        <v>2689</v>
      </c>
    </row>
    <row r="22">
      <c r="A22" s="2" t="s">
        <v>2690</v>
      </c>
    </row>
    <row r="23">
      <c r="A23" s="2" t="s">
        <v>2691</v>
      </c>
    </row>
    <row r="29">
      <c r="A29" s="179" t="s">
        <v>2693</v>
      </c>
    </row>
    <row r="31">
      <c r="A31" s="52" t="s">
        <v>2518</v>
      </c>
      <c r="B31" s="52" t="s">
        <v>2519</v>
      </c>
      <c r="C31" s="52" t="s">
        <v>2520</v>
      </c>
      <c r="D31" s="52" t="s">
        <v>2521</v>
      </c>
      <c r="E31" s="52" t="s">
        <v>2546</v>
      </c>
      <c r="F31" s="52" t="s">
        <v>2601</v>
      </c>
      <c r="G31" s="52" t="s">
        <v>2602</v>
      </c>
      <c r="H31" s="52" t="s">
        <v>2603</v>
      </c>
    </row>
    <row r="32">
      <c r="A32" s="2" t="s">
        <v>2701</v>
      </c>
      <c r="B32" s="2" t="s">
        <v>2533</v>
      </c>
      <c r="C32" s="2" t="s">
        <v>1199</v>
      </c>
      <c r="D32" s="2" t="s">
        <v>2560</v>
      </c>
      <c r="E32" s="2" t="s">
        <v>2624</v>
      </c>
      <c r="G32" s="8" t="s">
        <v>2626</v>
      </c>
      <c r="H32" s="2" t="s">
        <v>2702</v>
      </c>
    </row>
    <row r="33">
      <c r="A33" s="2" t="s">
        <v>2703</v>
      </c>
      <c r="B33" s="2" t="s">
        <v>2704</v>
      </c>
      <c r="D33" s="2" t="s">
        <v>161</v>
      </c>
      <c r="E33" s="2" t="s">
        <v>2706</v>
      </c>
      <c r="F33" s="2" t="s">
        <v>2707</v>
      </c>
      <c r="G33" s="8" t="s">
        <v>2626</v>
      </c>
      <c r="H33" s="2" t="s">
        <v>2709</v>
      </c>
    </row>
    <row r="34">
      <c r="A34" s="2"/>
      <c r="B34" s="2"/>
      <c r="C34" s="2"/>
      <c r="D34" s="2"/>
      <c r="E34" s="2"/>
    </row>
    <row r="35">
      <c r="A35" s="2" t="s">
        <v>2711</v>
      </c>
      <c r="B35" s="2" t="s">
        <v>2712</v>
      </c>
      <c r="C35" s="2" t="s">
        <v>2649</v>
      </c>
      <c r="D35" s="2" t="s">
        <v>2713</v>
      </c>
      <c r="E35" s="2" t="s">
        <v>2714</v>
      </c>
    </row>
    <row r="36">
      <c r="A36" s="2"/>
      <c r="B36" s="2"/>
      <c r="C36" s="2"/>
      <c r="D36" s="2"/>
      <c r="E36" s="2"/>
      <c r="F36" s="2"/>
    </row>
    <row r="37">
      <c r="A37" s="2" t="s">
        <v>2717</v>
      </c>
      <c r="B37" s="2" t="s">
        <v>2525</v>
      </c>
      <c r="C37" s="2" t="s">
        <v>2536</v>
      </c>
      <c r="D37" s="2" t="s">
        <v>2719</v>
      </c>
      <c r="E37" s="2" t="s">
        <v>2720</v>
      </c>
      <c r="F37" s="2" t="s">
        <v>2721</v>
      </c>
    </row>
    <row r="38">
      <c r="A38" s="2" t="s">
        <v>2722</v>
      </c>
      <c r="B38" s="2" t="s">
        <v>2533</v>
      </c>
      <c r="C38" s="2" t="s">
        <v>2725</v>
      </c>
      <c r="D38" s="2" t="s">
        <v>2713</v>
      </c>
      <c r="E38" s="2" t="s">
        <v>2727</v>
      </c>
    </row>
    <row r="39">
      <c r="A39" s="2" t="s">
        <v>2728</v>
      </c>
      <c r="B39" s="2" t="s">
        <v>2533</v>
      </c>
      <c r="C39" s="2" t="s">
        <v>2563</v>
      </c>
      <c r="D39" s="2" t="s">
        <v>2730</v>
      </c>
      <c r="E39" s="2" t="s">
        <v>2731</v>
      </c>
    </row>
    <row r="43">
      <c r="A43" s="2" t="s">
        <v>2732</v>
      </c>
    </row>
    <row r="44">
      <c r="A44" s="2" t="s">
        <v>2734</v>
      </c>
      <c r="H44" s="2" t="s">
        <v>2735</v>
      </c>
    </row>
    <row r="45">
      <c r="A45" s="2" t="s">
        <v>2736</v>
      </c>
    </row>
    <row r="46">
      <c r="A46" s="2" t="s">
        <v>2737</v>
      </c>
    </row>
    <row r="47">
      <c r="A47" s="2" t="s">
        <v>2739</v>
      </c>
    </row>
    <row r="49">
      <c r="A49" s="2" t="s">
        <v>2740</v>
      </c>
      <c r="F49" s="179" t="s">
        <v>2741</v>
      </c>
    </row>
    <row r="50">
      <c r="A50" s="2" t="s">
        <v>2745</v>
      </c>
    </row>
    <row r="51">
      <c r="A51" s="2" t="s">
        <v>2747</v>
      </c>
    </row>
    <row r="52" ht="15.0" customHeight="1"/>
    <row r="55">
      <c r="A55" s="2" t="s">
        <v>2748</v>
      </c>
      <c r="B55" s="2" t="s">
        <v>2749</v>
      </c>
    </row>
    <row r="56">
      <c r="B56" s="2" t="s">
        <v>2750</v>
      </c>
    </row>
    <row r="57">
      <c r="B57" s="2" t="s">
        <v>2751</v>
      </c>
    </row>
    <row r="58">
      <c r="B58" s="2" t="s">
        <v>2752</v>
      </c>
    </row>
    <row r="59">
      <c r="B59" s="2" t="s">
        <v>2753</v>
      </c>
    </row>
    <row r="66">
      <c r="A66" s="2" t="s">
        <v>2754</v>
      </c>
      <c r="B66" s="2" t="s">
        <v>2755</v>
      </c>
    </row>
  </sheetData>
  <hyperlinks>
    <hyperlink r:id="rId1" ref="A29"/>
    <hyperlink r:id="rId2" ref="F49"/>
  </hyperlinks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5"/>
    <col customWidth="1" min="3" max="3" width="9.25"/>
    <col customWidth="1" min="6" max="6" width="22.88"/>
  </cols>
  <sheetData>
    <row r="2">
      <c r="B2" s="52" t="s">
        <v>2518</v>
      </c>
      <c r="C2" s="52" t="s">
        <v>2519</v>
      </c>
      <c r="D2" s="52" t="s">
        <v>2520</v>
      </c>
      <c r="E2" s="52" t="s">
        <v>2521</v>
      </c>
      <c r="F2" s="52" t="s">
        <v>2546</v>
      </c>
      <c r="G2" s="52" t="s">
        <v>2601</v>
      </c>
      <c r="H2" s="52"/>
      <c r="I2" s="2"/>
    </row>
    <row r="3">
      <c r="B3" s="2" t="s">
        <v>2567</v>
      </c>
      <c r="C3" s="2" t="s">
        <v>2525</v>
      </c>
      <c r="D3" s="2" t="s">
        <v>2536</v>
      </c>
      <c r="E3" s="2" t="s">
        <v>2528</v>
      </c>
      <c r="F3" s="2" t="s">
        <v>2610</v>
      </c>
      <c r="G3" s="2"/>
      <c r="I3" s="2"/>
    </row>
    <row r="4">
      <c r="B4" s="2" t="s">
        <v>2572</v>
      </c>
      <c r="C4" s="2" t="s">
        <v>2573</v>
      </c>
      <c r="D4" s="2" t="s">
        <v>2536</v>
      </c>
      <c r="E4" s="2" t="s">
        <v>2528</v>
      </c>
      <c r="F4" s="2" t="s">
        <v>2574</v>
      </c>
      <c r="G4" s="2"/>
      <c r="I4" s="2"/>
    </row>
    <row r="5">
      <c r="B5" s="2" t="s">
        <v>2576</v>
      </c>
      <c r="C5" s="2" t="s">
        <v>2548</v>
      </c>
      <c r="E5" s="2" t="s">
        <v>2529</v>
      </c>
      <c r="F5" s="2" t="s">
        <v>2577</v>
      </c>
      <c r="G5" s="407"/>
      <c r="I5" s="2"/>
    </row>
    <row r="6">
      <c r="B6" s="2" t="s">
        <v>2701</v>
      </c>
      <c r="C6" s="2" t="s">
        <v>2533</v>
      </c>
      <c r="D6" s="2" t="s">
        <v>1199</v>
      </c>
      <c r="E6" s="2" t="s">
        <v>2560</v>
      </c>
      <c r="F6" s="2" t="s">
        <v>2624</v>
      </c>
      <c r="G6" s="2"/>
    </row>
    <row r="7">
      <c r="B7" s="52"/>
      <c r="C7" s="52"/>
      <c r="D7" s="52"/>
      <c r="E7" s="52"/>
    </row>
    <row r="8">
      <c r="B8" s="2" t="s">
        <v>2715</v>
      </c>
      <c r="C8" s="2"/>
      <c r="D8" s="2"/>
      <c r="E8" s="2"/>
    </row>
    <row r="9">
      <c r="B9" s="2" t="s">
        <v>2718</v>
      </c>
      <c r="C9" s="2"/>
      <c r="D9" s="2"/>
      <c r="E9" s="2"/>
    </row>
    <row r="10">
      <c r="B10" s="2" t="s">
        <v>2724</v>
      </c>
      <c r="C10" s="2"/>
      <c r="D10" s="2"/>
      <c r="E10" s="2"/>
    </row>
    <row r="11">
      <c r="B11" s="2" t="s">
        <v>2729</v>
      </c>
      <c r="C11" s="2"/>
      <c r="D11" s="2"/>
      <c r="E11" s="2"/>
    </row>
  </sheetData>
  <drawing r:id="rId1"/>
</worksheet>
</file>