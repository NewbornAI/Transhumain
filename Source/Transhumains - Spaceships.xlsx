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tios Patrol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7">
      <text>
        <t xml:space="preserve">cd = combat distance = 20 km
( 18 km = distance moved in 1 min at 1g)</t>
      </text>
    </comment>
    <comment authorId="0" ref="O11">
      <text>
        <t xml:space="preserve">Antimatter
Used in AM drive 
Low thrust but high fuel economy</t>
      </text>
    </comment>
    <comment authorId="0" ref="Z17">
      <text>
        <t xml:space="preserve">cd = combat distance = 20 km
( 18 km = distance moved in 1 min at 1g)</t>
      </text>
    </comment>
    <comment authorId="0" ref="V11">
      <text>
        <t xml:space="preserve">1 gd = 1g during 24h = 864 km/s = 0.003c</t>
      </text>
    </comment>
    <comment authorId="0" ref="AZ8">
      <text>
        <t xml:space="preserve">Green = OK
Orange = damaged
Red = destroyed</t>
      </text>
    </comment>
    <comment authorId="0" ref="W11">
      <text>
        <t xml:space="preserve">1 gd = 1g during 24h = 864 km/s = 0.003c</t>
      </text>
    </comment>
    <comment authorId="0" ref="G26">
      <text>
        <t xml:space="preserve">0 = off / destroyed
1 = on
2 = overclock</t>
      </text>
    </comment>
    <comment authorId="0" ref="T5">
      <text>
        <t xml:space="preserve">Initiative
Manoeuver
Evasion
Turn rate = Agility x 30° / min
Default = 7 - class</t>
      </text>
    </comment>
    <comment authorId="0" ref="BC8">
      <text>
        <t xml:space="preserve">Green = OK
Orange = damaged
Red = destroyed</t>
      </text>
    </comment>
    <comment authorId="0" ref="T3">
      <text>
        <t xml:space="preserve">Power generated
System tuning</t>
      </text>
    </comment>
    <comment authorId="0" ref="G43">
      <text>
        <t xml:space="preserve">Mass allowance</t>
      </text>
    </comment>
    <comment authorId="0" ref="AZ54">
      <text>
        <t xml:space="preserve">1/2th of the surface &gt; 2 times the density</t>
      </text>
    </comment>
    <comment authorId="0" ref="AO104">
      <text>
        <t xml:space="preserve">Fuel exhaust velocity</t>
      </text>
    </comment>
    <comment authorId="0" ref="T18">
      <text>
        <t xml:space="preserve">cd = combat distance = 20 km
( 18 km = distance moved in 1 min at 1g)</t>
      </text>
    </comment>
    <comment authorId="0" ref="O12">
      <text>
        <t xml:space="preserve">Antimatter
Used in AM drive 
Low thrust but high fuel economy</t>
      </text>
    </comment>
    <comment authorId="0" ref="N10">
      <text>
        <t xml:space="preserve">1g = 10 m/s²</t>
      </text>
    </comment>
    <comment authorId="0" ref="T16">
      <text>
        <t xml:space="preserve">cd = combat distance = 20 km
( 18 km = distance moved in 1 min at 1g)</t>
      </text>
    </comment>
    <comment authorId="0" ref="O10">
      <text>
        <t xml:space="preserve">Antimatter
Used in AM drive 
Low thrust but high fuel economy</t>
      </text>
    </comment>
    <comment authorId="0" ref="Z18">
      <text>
        <t xml:space="preserve">cd = combat distance = 20 km
( 18 km = distance moved in 1 min at 1g)</t>
      </text>
    </comment>
    <comment authorId="0" ref="G31">
      <text>
        <t xml:space="preserve">Number of panels deployed
Radiators are fragile and make you easier to hit when deployed</t>
      </text>
    </comment>
    <comment authorId="0" ref="G62">
      <text>
        <t xml:space="preserve">Laser : Lens radius (m)
Gun : Barrel length (m)
Rack : number of tubes</t>
      </text>
    </comment>
    <comment authorId="0" ref="V12">
      <text>
        <t xml:space="preserve">1 gd = 1g during 24h = 864 km/s = 0.003c</t>
      </text>
    </comment>
    <comment authorId="0" ref="Z16">
      <text>
        <t xml:space="preserve">cd = combat distance = 20 km
( 18 km = distance moved in 1 min at 1g)</t>
      </text>
    </comment>
    <comment authorId="0" ref="W12">
      <text>
        <t xml:space="preserve">1 gd = 1g during 24h = 864 km/s = 0.003c</t>
      </text>
    </comment>
    <comment authorId="0" ref="V10">
      <text>
        <t xml:space="preserve">1 gh = 1g during 1h = 36 km/s</t>
      </text>
    </comment>
    <comment authorId="0" ref="W10">
      <text>
        <t xml:space="preserve">1 gh = 1g during 1h = 36 km/s</t>
      </text>
    </comment>
    <comment authorId="0" ref="I60">
      <text>
        <t xml:space="preserve">Laser : Lens radius (m)
Gun : Barrel length (m)
Rack : number of tubes</t>
      </text>
    </comment>
    <comment authorId="0" ref="T6">
      <text>
        <t xml:space="preserve">Accuracy 
Scan</t>
      </text>
    </comment>
    <comment authorId="0" ref="G25">
      <text>
        <t xml:space="preserve">0 = off / destroyed
1 = on
2 = overclock</t>
      </text>
    </comment>
    <comment authorId="0" ref="T4">
      <text>
        <t xml:space="preserve">Initiative
Course plot
Acquisition</t>
      </text>
    </comment>
    <comment authorId="0" ref="AW59">
      <text>
        <t xml:space="preserve">Fuel exhaust velocity</t>
      </text>
    </comment>
    <comment authorId="0" ref="G15">
      <text>
        <t xml:space="preserve">Number of weapons online</t>
      </text>
    </comment>
    <comment authorId="0" ref="AZ55">
      <text>
        <t xml:space="preserve">1/4th of the surface, but harder to armor because of the engines &gt; 2 times the density</t>
      </text>
    </comment>
    <comment authorId="0" ref="AZ53">
      <text>
        <t xml:space="preserve">1/4th of the surface &gt; 4 times the density</t>
      </text>
    </comment>
  </commentList>
</comments>
</file>

<file path=xl/sharedStrings.xml><?xml version="1.0" encoding="utf-8"?>
<sst xmlns="http://schemas.openxmlformats.org/spreadsheetml/2006/main" count="500" uniqueCount="200">
  <si>
    <t>CHASSIS</t>
  </si>
  <si>
    <t>Stratios</t>
  </si>
  <si>
    <t>Patrol</t>
  </si>
  <si>
    <t>CLASS</t>
  </si>
  <si>
    <t>ATTRIBUTES</t>
  </si>
  <si>
    <t>Dmg</t>
  </si>
  <si>
    <t>POWER</t>
  </si>
  <si>
    <t>HEAT</t>
  </si>
  <si>
    <t>DAMAGE</t>
  </si>
  <si>
    <t>Armor layers</t>
  </si>
  <si>
    <t>Role</t>
  </si>
  <si>
    <t>Escort and patrol</t>
  </si>
  <si>
    <t>Frigate</t>
  </si>
  <si>
    <t>Power</t>
  </si>
  <si>
    <t>/</t>
  </si>
  <si>
    <t>Battery</t>
  </si>
  <si>
    <t>GWm</t>
  </si>
  <si>
    <t>Heat sink</t>
  </si>
  <si>
    <t>GW</t>
  </si>
  <si>
    <t>Thermal</t>
  </si>
  <si>
    <t>Kinetic</t>
  </si>
  <si>
    <t>CPU</t>
  </si>
  <si>
    <t>Hull points</t>
  </si>
  <si>
    <t>Front</t>
  </si>
  <si>
    <t>Width</t>
  </si>
  <si>
    <t>m</t>
  </si>
  <si>
    <t>Wet mass</t>
  </si>
  <si>
    <t>t</t>
  </si>
  <si>
    <t>Agility</t>
  </si>
  <si>
    <t>Balance</t>
  </si>
  <si>
    <t>Side</t>
  </si>
  <si>
    <t>Length</t>
  </si>
  <si>
    <t>Dry mass</t>
  </si>
  <si>
    <t>Sensors</t>
  </si>
  <si>
    <t>Budget</t>
  </si>
  <si>
    <t>min</t>
  </si>
  <si>
    <t>Back</t>
  </si>
  <si>
    <t>PROPULSION</t>
  </si>
  <si>
    <t>INTERPLANETARY</t>
  </si>
  <si>
    <t>INTERSTELLAR</t>
  </si>
  <si>
    <t>Armor ?</t>
  </si>
  <si>
    <t>Localisation</t>
  </si>
  <si>
    <t>Status</t>
  </si>
  <si>
    <t>Engines</t>
  </si>
  <si>
    <t>Accel</t>
  </si>
  <si>
    <t>Fuel</t>
  </si>
  <si>
    <t>deltaV</t>
  </si>
  <si>
    <t>Distance</t>
  </si>
  <si>
    <t>Time</t>
  </si>
  <si>
    <t>-</t>
  </si>
  <si>
    <t>No</t>
  </si>
  <si>
    <t>%</t>
  </si>
  <si>
    <t>Fusion - Combat</t>
  </si>
  <si>
    <t>g</t>
  </si>
  <si>
    <t>D</t>
  </si>
  <si>
    <t>gh</t>
  </si>
  <si>
    <t>AU</t>
  </si>
  <si>
    <t>h</t>
  </si>
  <si>
    <t>=</t>
  </si>
  <si>
    <t>c</t>
  </si>
  <si>
    <t>Spine</t>
  </si>
  <si>
    <t>Fusion - Cruise</t>
  </si>
  <si>
    <t>H</t>
  </si>
  <si>
    <t>gd</t>
  </si>
  <si>
    <t>d</t>
  </si>
  <si>
    <t>Turret (front)</t>
  </si>
  <si>
    <t>Antimatter drive</t>
  </si>
  <si>
    <t>D+A</t>
  </si>
  <si>
    <t>Thrusters</t>
  </si>
  <si>
    <t>Structure</t>
  </si>
  <si>
    <t>WEAPONRY</t>
  </si>
  <si>
    <t>Turret (side)</t>
  </si>
  <si>
    <t>Hardpoint</t>
  </si>
  <si>
    <t>State</t>
  </si>
  <si>
    <t>Weapon</t>
  </si>
  <si>
    <t>Cycles</t>
  </si>
  <si>
    <t>Min</t>
  </si>
  <si>
    <t>Range</t>
  </si>
  <si>
    <t>Max</t>
  </si>
  <si>
    <t>Damage</t>
  </si>
  <si>
    <t>Heat</t>
  </si>
  <si>
    <t>Rack</t>
  </si>
  <si>
    <t>100 ms UV Laser</t>
  </si>
  <si>
    <t>cd</t>
  </si>
  <si>
    <t>x</t>
  </si>
  <si>
    <t>hits</t>
  </si>
  <si>
    <t>Ammo</t>
  </si>
  <si>
    <t>Turret (side, 2)</t>
  </si>
  <si>
    <t>Cargo</t>
  </si>
  <si>
    <t>Turret (wheel, 2)</t>
  </si>
  <si>
    <t>200ms  IR Laser</t>
  </si>
  <si>
    <t>Light Coilgun</t>
  </si>
  <si>
    <t>Radiators</t>
  </si>
  <si>
    <t>Rack (side, 2)</t>
  </si>
  <si>
    <t>Falaq 1x100kg</t>
  </si>
  <si>
    <t>1 launch/min</t>
  </si>
  <si>
    <t>Heat pump</t>
  </si>
  <si>
    <t>Life support</t>
  </si>
  <si>
    <t>Railgun rods</t>
  </si>
  <si>
    <t>1 kg semi-guided rod (1m long, titanium). Agility 1</t>
  </si>
  <si>
    <t>Deck</t>
  </si>
  <si>
    <t>Falaq</t>
  </si>
  <si>
    <t>100kg guided slug. 40g, 60gm, Agility 5</t>
  </si>
  <si>
    <t>Quarters</t>
  </si>
  <si>
    <t>SYSTEMS</t>
  </si>
  <si>
    <t>CARGO</t>
  </si>
  <si>
    <t>System</t>
  </si>
  <si>
    <t>Qty</t>
  </si>
  <si>
    <t>Mass</t>
  </si>
  <si>
    <t>Repair spider</t>
  </si>
  <si>
    <t>Small g-resistant drone fitted with tools</t>
  </si>
  <si>
    <t>Gyroscope</t>
  </si>
  <si>
    <t>Recon drones</t>
  </si>
  <si>
    <t>Turret (wheel)</t>
  </si>
  <si>
    <t>Laser sail</t>
  </si>
  <si>
    <t>Foldable sail, attached for the laser highway</t>
  </si>
  <si>
    <t>wings</t>
  </si>
  <si>
    <t>Basic supplies</t>
  </si>
  <si>
    <t>Food, meds, ...</t>
  </si>
  <si>
    <t>Rover</t>
  </si>
  <si>
    <t>Main engine</t>
  </si>
  <si>
    <t>3D printer (large)</t>
  </si>
  <si>
    <t>Auxiliary engine</t>
  </si>
  <si>
    <t>MASS DETAIL</t>
  </si>
  <si>
    <t>Target</t>
  </si>
  <si>
    <t>Current</t>
  </si>
  <si>
    <t>Notes</t>
  </si>
  <si>
    <t>Surface</t>
  </si>
  <si>
    <t>m²</t>
  </si>
  <si>
    <t>Fuel mass</t>
  </si>
  <si>
    <t>ICF (Inertial Confinement Fusion), Cixing™ magnetic nozzle</t>
  </si>
  <si>
    <t>Volume</t>
  </si>
  <si>
    <t>m3</t>
  </si>
  <si>
    <t>AM Beam drive (for long distance)</t>
  </si>
  <si>
    <t>Density</t>
  </si>
  <si>
    <t>t/m3</t>
  </si>
  <si>
    <t>Mass ratio</t>
  </si>
  <si>
    <t>Gimbaled engine, powerful side thrusters</t>
  </si>
  <si>
    <t>Brayton cycle fusion core</t>
  </si>
  <si>
    <t>Radiator profile</t>
  </si>
  <si>
    <t>Armor profile</t>
  </si>
  <si>
    <t>Military grade CPU</t>
  </si>
  <si>
    <t>Tech</t>
  </si>
  <si>
    <t>Ether dust</t>
  </si>
  <si>
    <t>Carbon layer</t>
  </si>
  <si>
    <t>Sensor suite, comms array</t>
  </si>
  <si>
    <t>Area mass</t>
  </si>
  <si>
    <t>kg/m²</t>
  </si>
  <si>
    <t>Heat resistance</t>
  </si>
  <si>
    <t>MW/cm²</t>
  </si>
  <si>
    <t>Cooling</t>
  </si>
  <si>
    <t>2x foldable wing</t>
  </si>
  <si>
    <t>Compress. yield</t>
  </si>
  <si>
    <t>MJ/cm²</t>
  </si>
  <si>
    <t>Lithium+™ (twice the heat capacity)</t>
  </si>
  <si>
    <t>Panels</t>
  </si>
  <si>
    <t>Layer mass</t>
  </si>
  <si>
    <t>g/cm²</t>
  </si>
  <si>
    <t>Metallic hydrogen (100 kWh / kg)</t>
  </si>
  <si>
    <t>L/W ratio</t>
  </si>
  <si>
    <t>Global density</t>
  </si>
  <si>
    <t>Shape</t>
  </si>
  <si>
    <t>Triangle</t>
  </si>
  <si>
    <t>RadX™ (lightweight hull with Ether cooling)</t>
  </si>
  <si>
    <t>Armor</t>
  </si>
  <si>
    <t>Radius</t>
  </si>
  <si>
    <t>Increases agility (included)</t>
  </si>
  <si>
    <t>Efficiency</t>
  </si>
  <si>
    <t>kW/m²</t>
  </si>
  <si>
    <t>Payload</t>
  </si>
  <si>
    <t>Engines profile</t>
  </si>
  <si>
    <t>Power max</t>
  </si>
  <si>
    <t>Speed</t>
  </si>
  <si>
    <t>Ve</t>
  </si>
  <si>
    <t>Thrust</t>
  </si>
  <si>
    <t>Hardpoints</t>
  </si>
  <si>
    <t>Size</t>
  </si>
  <si>
    <t>TW</t>
  </si>
  <si>
    <t>Combat</t>
  </si>
  <si>
    <t>kms</t>
  </si>
  <si>
    <t>Mm/s</t>
  </si>
  <si>
    <t>MN</t>
  </si>
  <si>
    <t>Cruise</t>
  </si>
  <si>
    <t>AM drive</t>
  </si>
  <si>
    <t>GN</t>
  </si>
  <si>
    <t>Rods</t>
  </si>
  <si>
    <t>70mm semi-guided rod (1 kg, 1m long, titanium). Agility 1</t>
  </si>
  <si>
    <t>Crew</t>
  </si>
  <si>
    <t>Military quarters</t>
  </si>
  <si>
    <t>Deck, small lounge, medbay, 5 cabins and cramped corridors</t>
  </si>
  <si>
    <t>High-G deck</t>
  </si>
  <si>
    <t>Decreases damage from high-g manoeuvers (gyroscopic seats + drugs)</t>
  </si>
  <si>
    <t>Hibernation pods</t>
  </si>
  <si>
    <t>Autopilot</t>
  </si>
  <si>
    <t>Fully autonomous, sentient AI owned by the corporate overlords</t>
  </si>
  <si>
    <t>Inflatable habitat</t>
  </si>
  <si>
    <t>0.8g at 5 RPM, deployed on the gyro wheel (untrained users might experience dizziness)</t>
  </si>
  <si>
    <t>Others</t>
  </si>
  <si>
    <t>Atmospheric</t>
  </si>
  <si>
    <t>Landing struts, atmospheric cooling, ?. RadX hull mitigates friction heat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</si>
</sst>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1155CC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2" fillId="0" fontId="4" numFmtId="0" xfId="0" applyBorder="1" applyFont="1"/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4" fontId="1" numFmtId="1" xfId="0" applyAlignment="1" applyFill="1" applyFont="1" applyNumberForma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0" fontId="2" numFmtId="0" xfId="0" applyAlignment="1" applyFont="1">
      <alignment horizontal="center" shrinkToFit="0" vertical="bottom" wrapText="0"/>
    </xf>
    <xf borderId="2" fillId="0" fontId="1" numFmtId="0" xfId="0" applyAlignment="1" applyBorder="1" applyFont="1">
      <alignment vertical="bottom"/>
    </xf>
    <xf borderId="0" fillId="2" fontId="1" numFmtId="0" xfId="0" applyAlignment="1" applyFill="1" applyFont="1">
      <alignment horizontal="center" vertical="bottom"/>
    </xf>
    <xf borderId="0" fillId="2" fontId="1" numFmtId="1" xfId="0" applyAlignment="1" applyFill="1" applyFont="1" applyNumberFormat="1">
      <alignment horizontal="right" vertical="bottom"/>
    </xf>
    <xf borderId="2" fillId="0" fontId="1" numFmtId="1" xfId="0" applyAlignment="1" applyBorder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0" fillId="2" fontId="1" numFmtId="1" xfId="0" applyAlignment="1" applyFill="1" applyFont="1" applyNumberFormat="1">
      <alignment horizontal="center" vertical="bottom"/>
    </xf>
    <xf borderId="1" fillId="0" fontId="1" numFmtId="0" xfId="0" applyAlignment="1" applyBorder="1" applyFont="1">
      <alignment shrinkToFit="0" vertical="bottom" wrapText="0"/>
    </xf>
    <xf borderId="1" fillId="3" fontId="1" numFmtId="0" xfId="0" applyAlignment="1" applyBorder="1" applyFill="1" applyFont="1">
      <alignment horizontal="right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1" fillId="2" fontId="1" numFmtId="1" xfId="0" applyAlignment="1" applyBorder="1" applyFill="1" applyFont="1" applyNumberFormat="1">
      <alignment horizontal="right" vertical="bottom"/>
    </xf>
    <xf borderId="3" fillId="0" fontId="1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0" fontId="1" numFmtId="0" xfId="0" applyAlignment="1" applyBorder="1" applyFont="1">
      <alignment shrinkToFit="0" vertical="bottom" wrapText="0"/>
    </xf>
    <xf borderId="1" fillId="2" fontId="1" numFmtId="1" xfId="0" applyAlignment="1" applyBorder="1" applyFill="1" applyFont="1" applyNumberFormat="1">
      <alignment horizontal="center" vertical="bottom"/>
    </xf>
    <xf borderId="3" fillId="0" fontId="1" numFmtId="0" xfId="0" applyAlignment="1" applyBorder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0"/>
    </xf>
    <xf borderId="0" fillId="0" fontId="1" numFmtId="1" xfId="0" applyAlignment="1" applyFont="1" applyNumberFormat="1">
      <alignment horizontal="center" vertical="bottom"/>
    </xf>
    <xf borderId="0" fillId="5" fontId="1" numFmtId="1" xfId="0" applyAlignment="1" applyFill="1" applyFont="1" applyNumberFormat="1">
      <alignment horizontal="center" vertical="bottom"/>
    </xf>
    <xf borderId="0" fillId="0" fontId="1" numFmtId="1" xfId="0" applyAlignment="1" applyFont="1" applyNumberFormat="1">
      <alignment vertical="bottom"/>
    </xf>
    <xf borderId="0" fillId="4" fontId="1" numFmtId="0" xfId="0" applyAlignment="1" applyFill="1" applyFont="1">
      <alignment vertical="bottom"/>
    </xf>
    <xf borderId="0" fillId="0" fontId="1" numFmtId="1" xfId="0" applyAlignment="1" applyFont="1" applyNumberFormat="1">
      <alignment horizontal="right" vertical="bottom"/>
    </xf>
    <xf borderId="0" fillId="4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0" fontId="1" numFmtId="1" xfId="0" applyAlignment="1" applyFont="1" applyNumberFormat="1">
      <alignment vertical="bottom"/>
    </xf>
    <xf borderId="0" fillId="4" fontId="1" numFmtId="2" xfId="0" applyAlignment="1" applyFill="1" applyFont="1" applyNumberFormat="1">
      <alignment horizontal="right" vertical="bottom"/>
    </xf>
    <xf quotePrefix="1" borderId="0" fillId="0" fontId="1" numFmtId="0" xfId="0" applyAlignment="1" applyFont="1">
      <alignment horizontal="center" vertical="bottom"/>
    </xf>
    <xf borderId="0" fillId="2" fontId="1" numFmtId="164" xfId="0" applyAlignment="1" applyFill="1" applyFont="1" applyNumberFormat="1">
      <alignment vertical="bottom"/>
    </xf>
    <xf borderId="0" fillId="6" fontId="1" numFmtId="0" xfId="0" applyAlignment="1" applyFill="1" applyFont="1">
      <alignment shrinkToFit="0" vertical="bottom" wrapText="0"/>
    </xf>
    <xf borderId="0" fillId="4" fontId="1" numFmtId="2" xfId="0" applyAlignment="1" applyFill="1" applyFont="1" applyNumberFormat="1">
      <alignment vertical="bottom"/>
    </xf>
    <xf borderId="0" fillId="2" fontId="1" numFmtId="1" xfId="0" applyAlignment="1" applyFill="1" applyFont="1" applyNumberFormat="1">
      <alignment vertical="bottom"/>
    </xf>
    <xf borderId="0" fillId="2" fontId="1" numFmtId="164" xfId="0" applyAlignment="1" applyFill="1" applyFont="1" applyNumberFormat="1">
      <alignment horizontal="right" vertical="bottom"/>
    </xf>
    <xf borderId="1" fillId="4" fontId="1" numFmtId="0" xfId="0" applyAlignment="1" applyBorder="1" applyFill="1" applyFont="1">
      <alignment horizontal="right" readingOrder="0" vertical="bottom"/>
    </xf>
    <xf borderId="1" fillId="0" fontId="1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0" fontId="1" numFmtId="1" xfId="0" applyAlignment="1" applyBorder="1" applyFont="1" applyNumberFormat="1">
      <alignment vertical="bottom"/>
    </xf>
    <xf borderId="1" fillId="4" fontId="1" numFmtId="2" xfId="0" applyAlignment="1" applyBorder="1" applyFill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1" fillId="2" fontId="1" numFmtId="164" xfId="0" applyAlignment="1" applyBorder="1" applyFill="1" applyFont="1" applyNumberFormat="1">
      <alignment horizontal="center" vertical="bottom"/>
    </xf>
    <xf quotePrefix="1" borderId="1" fillId="0" fontId="1" numFmtId="0" xfId="0" applyAlignment="1" applyBorder="1" applyFont="1">
      <alignment horizontal="center" vertical="bottom"/>
    </xf>
    <xf borderId="1" fillId="2" fontId="1" numFmtId="1" xfId="0" applyAlignment="1" applyBorder="1" applyFill="1" applyFont="1" applyNumberFormat="1">
      <alignment horizontal="center" vertical="bottom"/>
    </xf>
    <xf borderId="1" fillId="0" fontId="1" numFmtId="1" xfId="0" applyAlignment="1" applyBorder="1" applyFont="1" applyNumberFormat="1">
      <alignment vertical="bottom"/>
    </xf>
    <xf borderId="3" fillId="0" fontId="1" numFmtId="0" xfId="0" applyAlignment="1" applyBorder="1" applyFont="1">
      <alignment vertical="bottom"/>
    </xf>
    <xf borderId="1" fillId="2" fontId="1" numFmtId="164" xfId="0" applyAlignment="1" applyBorder="1" applyFill="1" applyFont="1" applyNumberFormat="1">
      <alignment horizontal="right" vertical="bottom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3" fontId="1" numFmtId="0" xfId="0" applyAlignment="1" applyFill="1" applyFont="1">
      <alignment shrinkToFit="0" vertical="bottom" wrapText="0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horizontal="center" readingOrder="0" vertical="bottom"/>
    </xf>
    <xf borderId="0" fillId="0" fontId="1" numFmtId="0" xfId="0" applyAlignment="1" applyFont="1">
      <alignment vertical="bottom"/>
    </xf>
    <xf borderId="0" fillId="6" fontId="1" numFmtId="0" xfId="0" applyAlignment="1" applyFill="1" applyFont="1">
      <alignment vertical="bottom"/>
    </xf>
    <xf borderId="0" fillId="4" fontId="1" numFmtId="0" xfId="0" applyAlignment="1" applyFill="1" applyFont="1">
      <alignment horizontal="right" vertical="bottom"/>
    </xf>
    <xf borderId="1" fillId="4" fontId="1" numFmtId="0" xfId="0" applyAlignment="1" applyBorder="1" applyFill="1" applyFont="1">
      <alignment horizontal="right" vertical="bottom"/>
    </xf>
    <xf borderId="1" fillId="3" fontId="1" numFmtId="0" xfId="0" applyAlignment="1" applyBorder="1" applyFill="1" applyFont="1">
      <alignment shrinkToFit="0" vertical="bottom" wrapText="0"/>
    </xf>
    <xf borderId="1" fillId="3" fontId="1" numFmtId="0" xfId="0" applyAlignment="1" applyBorder="1" applyFill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shrinkToFit="0" vertical="bottom" wrapText="0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4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horizontal="right" vertical="bottom"/>
    </xf>
    <xf borderId="0" fillId="4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3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1" fillId="0" fontId="1" numFmtId="1" xfId="0" applyAlignment="1" applyBorder="1" applyFont="1" applyNumberFormat="1">
      <alignment horizontal="center" vertical="bottom"/>
    </xf>
    <xf borderId="1" fillId="5" fontId="1" numFmtId="1" xfId="0" applyAlignment="1" applyBorder="1" applyFill="1" applyFont="1" applyNumberFormat="1">
      <alignment horizontal="center" vertical="bottom"/>
    </xf>
    <xf borderId="1" fillId="6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vertical="bottom"/>
    </xf>
    <xf borderId="1" fillId="0" fontId="1" numFmtId="1" xfId="0" applyAlignment="1" applyBorder="1" applyFont="1" applyNumberFormat="1">
      <alignment horizontal="right" vertical="bottom"/>
    </xf>
    <xf borderId="0" fillId="3" fontId="1" numFmtId="0" xfId="0" applyAlignment="1" applyFill="1" applyFont="1">
      <alignment horizontal="right" readingOrder="0" vertical="bottom"/>
    </xf>
    <xf borderId="0" fillId="7" fontId="1" numFmtId="1" xfId="0" applyAlignment="1" applyFill="1" applyFont="1" applyNumberFormat="1">
      <alignment horizontal="right" readingOrder="0" vertical="bottom"/>
    </xf>
    <xf borderId="0" fillId="7" fontId="1" numFmtId="1" xfId="0" applyAlignment="1" applyFill="1" applyFont="1" applyNumberFormat="1">
      <alignment horizontal="right" vertical="bottom"/>
    </xf>
    <xf borderId="1" fillId="2" fontId="1" numFmtId="2" xfId="0" applyAlignment="1" applyBorder="1" applyFill="1" applyFont="1" applyNumberFormat="1">
      <alignment horizontal="right" vertical="bottom"/>
    </xf>
    <xf borderId="1" fillId="3" fontId="1" numFmtId="0" xfId="0" applyAlignment="1" applyBorder="1" applyFill="1" applyFont="1">
      <alignment horizontal="right" readingOrder="0" vertical="bottom"/>
    </xf>
    <xf borderId="1" fillId="2" fontId="1" numFmtId="164" xfId="0" applyAlignment="1" applyBorder="1" applyFill="1" applyFont="1" applyNumberFormat="1">
      <alignment horizontal="right" vertical="bottom"/>
    </xf>
    <xf borderId="0" fillId="3" fontId="1" numFmtId="0" xfId="0" applyAlignment="1" applyFill="1" applyFont="1">
      <alignment vertical="bottom"/>
    </xf>
    <xf borderId="0" fillId="0" fontId="1" numFmtId="3" xfId="0" applyAlignment="1" applyFont="1" applyNumberFormat="1">
      <alignment vertical="bottom"/>
    </xf>
    <xf borderId="0" fillId="3" fontId="1" numFmtId="164" xfId="0" applyAlignment="1" applyFill="1" applyFont="1" applyNumberFormat="1">
      <alignment horizontal="right" vertical="bottom"/>
    </xf>
    <xf borderId="0" fillId="2" fontId="1" numFmtId="3" xfId="0" applyAlignment="1" applyFill="1" applyFont="1" applyNumberFormat="1">
      <alignment horizontal="right" vertical="bottom"/>
    </xf>
    <xf borderId="0" fillId="0" fontId="1" numFmtId="1" xfId="0" applyAlignment="1" applyFont="1" applyNumberFormat="1">
      <alignment shrinkToFit="0" vertical="bottom" wrapText="0"/>
    </xf>
    <xf borderId="0" fillId="2" fontId="1" numFmtId="164" xfId="0" applyAlignment="1" applyFill="1" applyFont="1" applyNumberFormat="1">
      <alignment horizontal="right" vertical="bottom"/>
    </xf>
    <xf borderId="0" fillId="3" fontId="1" numFmtId="1" xfId="0" applyAlignment="1" applyFill="1" applyFont="1" applyNumberFormat="1">
      <alignment horizontal="center" vertical="bottom"/>
    </xf>
    <xf quotePrefix="1" borderId="0" fillId="0" fontId="1" numFmtId="1" xfId="0" applyAlignment="1" applyFont="1" applyNumberFormat="1">
      <alignment horizontal="center" vertical="bottom"/>
    </xf>
    <xf borderId="0" fillId="2" fontId="1" numFmtId="1" xfId="0" applyAlignment="1" applyFill="1" applyFont="1" applyNumberFormat="1">
      <alignment horizontal="right" vertical="bottom"/>
    </xf>
    <xf borderId="0" fillId="3" fontId="1" numFmtId="1" xfId="0" applyAlignment="1" applyFill="1" applyFont="1" applyNumberFormat="1">
      <alignment horizontal="right" vertical="bottom"/>
    </xf>
    <xf borderId="1" fillId="0" fontId="1" numFmtId="1" xfId="0" applyAlignment="1" applyBorder="1" applyFont="1" applyNumberFormat="1">
      <alignment shrinkToFit="0" vertical="bottom" wrapText="0"/>
    </xf>
    <xf borderId="0" fillId="0" fontId="2" numFmtId="0" xfId="0" applyAlignment="1" applyFont="1">
      <alignment vertical="bottom"/>
    </xf>
    <xf borderId="0" fillId="3" fontId="1" numFmtId="1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transhumain.rf.gd/transhumains_wiki/images/9/9d/Ares_Stratios.jpg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9" width="2.75"/>
    <col customWidth="1" min="20" max="20" width="3.38"/>
    <col customWidth="1" min="21" max="21" width="2.75"/>
    <col customWidth="1" min="22" max="22" width="3.38"/>
    <col customWidth="1" min="23" max="26" width="2.75"/>
    <col customWidth="1" min="27" max="27" width="3.5"/>
    <col customWidth="1" min="28" max="41" width="2.75"/>
    <col customWidth="1" min="42" max="42" width="3.25"/>
    <col customWidth="1" min="43" max="80" width="2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2"/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2"/>
      <c r="AG1" s="2"/>
      <c r="AH1" s="1"/>
      <c r="AI1" s="2"/>
      <c r="AJ1" s="2"/>
      <c r="AK1" s="2"/>
      <c r="AL1" s="2"/>
      <c r="AM1" s="2"/>
      <c r="AN1" s="2"/>
      <c r="AO1" s="2"/>
      <c r="AP1" s="1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>
      <c r="A2" s="3"/>
      <c r="B2" s="4" t="s">
        <v>0</v>
      </c>
      <c r="C2" s="1"/>
      <c r="D2" s="1"/>
      <c r="E2" s="1"/>
      <c r="F2" s="5" t="s">
        <v>1</v>
      </c>
      <c r="G2" s="1"/>
      <c r="H2" s="1"/>
      <c r="I2" s="6" t="s">
        <v>2</v>
      </c>
      <c r="J2" s="1"/>
      <c r="K2" s="1"/>
      <c r="L2" s="4" t="s">
        <v>3</v>
      </c>
      <c r="M2" s="1"/>
      <c r="N2" s="1"/>
      <c r="O2" s="7">
        <v>3.0</v>
      </c>
      <c r="P2" s="3"/>
      <c r="Q2" s="3"/>
      <c r="R2" s="4" t="s">
        <v>4</v>
      </c>
      <c r="S2" s="1"/>
      <c r="T2" s="1"/>
      <c r="U2" s="1"/>
      <c r="V2" s="1"/>
      <c r="W2" s="1"/>
      <c r="X2" s="8" t="s">
        <v>5</v>
      </c>
      <c r="Y2" s="9"/>
      <c r="Z2" s="3"/>
      <c r="AA2" s="4" t="s">
        <v>6</v>
      </c>
      <c r="AB2" s="1"/>
      <c r="AC2" s="1"/>
      <c r="AD2" s="1"/>
      <c r="AE2" s="1"/>
      <c r="AF2" s="1"/>
      <c r="AG2" s="3"/>
      <c r="AH2" s="3"/>
      <c r="AI2" s="4" t="s">
        <v>7</v>
      </c>
      <c r="AJ2" s="1"/>
      <c r="AK2" s="1"/>
      <c r="AL2" s="1"/>
      <c r="AM2" s="1"/>
      <c r="AN2" s="1"/>
      <c r="AO2" s="3"/>
      <c r="AP2" s="3"/>
      <c r="AQ2" s="10" t="s">
        <v>8</v>
      </c>
      <c r="AR2" s="1"/>
      <c r="AS2" s="1"/>
      <c r="AT2" s="11"/>
      <c r="AU2" s="1"/>
      <c r="AV2" s="1"/>
      <c r="AW2" s="1"/>
      <c r="AX2" s="1"/>
      <c r="AY2" s="1"/>
      <c r="AZ2" s="12" t="s">
        <v>9</v>
      </c>
      <c r="BA2" s="1"/>
      <c r="BB2" s="11"/>
      <c r="BC2" s="3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>
      <c r="A3" s="3"/>
      <c r="B3" s="1"/>
      <c r="C3" s="1"/>
      <c r="D3" s="4" t="s">
        <v>10</v>
      </c>
      <c r="E3" s="1"/>
      <c r="F3" s="13" t="s">
        <v>11</v>
      </c>
      <c r="G3" s="1"/>
      <c r="H3" s="1"/>
      <c r="I3" s="1"/>
      <c r="J3" s="1"/>
      <c r="K3" s="1"/>
      <c r="L3" s="1"/>
      <c r="M3" s="13" t="s">
        <v>12</v>
      </c>
      <c r="N3" s="1"/>
      <c r="O3" s="1"/>
      <c r="P3" s="3"/>
      <c r="Q3" s="3"/>
      <c r="R3" s="14" t="s">
        <v>13</v>
      </c>
      <c r="S3" s="1"/>
      <c r="T3" s="1"/>
      <c r="U3" s="15">
        <f t="shared" ref="U3:U6" si="1">G27-X3</f>
        <v>5</v>
      </c>
      <c r="V3" s="7" t="s">
        <v>14</v>
      </c>
      <c r="W3" s="16">
        <v>5.0</v>
      </c>
      <c r="X3" s="1"/>
      <c r="Y3" s="9"/>
      <c r="Z3" s="3"/>
      <c r="AA3" s="13" t="s">
        <v>15</v>
      </c>
      <c r="AB3" s="1"/>
      <c r="AC3" s="1"/>
      <c r="AD3" s="17">
        <v>200.0</v>
      </c>
      <c r="AF3" s="13" t="s">
        <v>16</v>
      </c>
      <c r="AG3" s="3"/>
      <c r="AH3" s="3"/>
      <c r="AI3" s="13" t="s">
        <v>17</v>
      </c>
      <c r="AJ3" s="1"/>
      <c r="AK3" s="1"/>
      <c r="AL3" s="18">
        <v>0.0</v>
      </c>
      <c r="AN3" s="13" t="s">
        <v>18</v>
      </c>
      <c r="AO3" s="3"/>
      <c r="AP3" s="3"/>
      <c r="AQ3" s="1"/>
      <c r="AR3" s="1"/>
      <c r="AS3" s="1"/>
      <c r="AT3" s="1"/>
      <c r="AU3" s="1"/>
      <c r="AV3" s="1"/>
      <c r="AW3" s="1"/>
      <c r="AX3" s="19" t="s">
        <v>19</v>
      </c>
      <c r="AY3" s="1"/>
      <c r="AZ3" s="11"/>
      <c r="BA3" s="10" t="s">
        <v>20</v>
      </c>
      <c r="BB3" s="1"/>
      <c r="BC3" s="20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3"/>
      <c r="Q4" s="3"/>
      <c r="R4" s="14" t="s">
        <v>21</v>
      </c>
      <c r="S4" s="1"/>
      <c r="T4" s="1"/>
      <c r="U4" s="15">
        <f t="shared" si="1"/>
        <v>5</v>
      </c>
      <c r="V4" s="7" t="s">
        <v>14</v>
      </c>
      <c r="W4" s="16">
        <v>5.0</v>
      </c>
      <c r="X4" s="1"/>
      <c r="Y4" s="9"/>
      <c r="Z4" s="3"/>
      <c r="AA4" s="1"/>
      <c r="AB4" s="1"/>
      <c r="AC4" s="8" t="s">
        <v>14</v>
      </c>
      <c r="AD4" s="21">
        <f>round(K52 * 100*min(G37,1)*60,0)</f>
        <v>600</v>
      </c>
      <c r="AF4" s="13" t="s">
        <v>16</v>
      </c>
      <c r="AG4" s="3"/>
      <c r="AH4" s="3"/>
      <c r="AI4" s="1"/>
      <c r="AJ4" s="1"/>
      <c r="AK4" s="7" t="s">
        <v>14</v>
      </c>
      <c r="AL4" s="21">
        <f>round(10*K51*min(G36,1),0)</f>
        <v>154</v>
      </c>
      <c r="AN4" s="13" t="s">
        <v>18</v>
      </c>
      <c r="AO4" s="3"/>
      <c r="AP4" s="3"/>
      <c r="AQ4" s="1"/>
      <c r="AR4" s="1"/>
      <c r="AS4" s="12" t="s">
        <v>22</v>
      </c>
      <c r="AT4" s="1"/>
      <c r="AU4" s="1"/>
      <c r="AV4" s="13" t="s">
        <v>23</v>
      </c>
      <c r="AW4" s="1"/>
      <c r="AX4" s="1"/>
      <c r="AY4" s="22">
        <f>round(AZ53*AZ49/0.5*1/AZ51,0)</f>
        <v>3</v>
      </c>
      <c r="AZ4" s="1"/>
      <c r="BA4" s="22">
        <f>round(AZ53*AZ50/50*1/AZ51,0)</f>
        <v>3</v>
      </c>
      <c r="BB4" s="1"/>
      <c r="BC4" s="23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>
      <c r="A5" s="3"/>
      <c r="B5" s="13" t="s">
        <v>24</v>
      </c>
      <c r="C5" s="1"/>
      <c r="D5" s="1"/>
      <c r="E5" s="24">
        <v>15.0</v>
      </c>
      <c r="G5" s="25" t="s">
        <v>25</v>
      </c>
      <c r="H5" s="1"/>
      <c r="I5" s="1"/>
      <c r="J5" s="13" t="s">
        <v>26</v>
      </c>
      <c r="K5" s="1"/>
      <c r="L5" s="1"/>
      <c r="M5" s="1"/>
      <c r="N5" s="22">
        <f>BC42</f>
        <v>354.024</v>
      </c>
      <c r="P5" s="26" t="s">
        <v>27</v>
      </c>
      <c r="Q5" s="3"/>
      <c r="R5" s="14" t="s">
        <v>28</v>
      </c>
      <c r="S5" s="1"/>
      <c r="T5" s="1"/>
      <c r="U5" s="15">
        <f t="shared" si="1"/>
        <v>5</v>
      </c>
      <c r="V5" s="7" t="s">
        <v>14</v>
      </c>
      <c r="W5" s="16">
        <f>4+G33</f>
        <v>5</v>
      </c>
      <c r="X5" s="1"/>
      <c r="Y5" s="9"/>
      <c r="Z5" s="3"/>
      <c r="AA5" s="6" t="s">
        <v>29</v>
      </c>
      <c r="AB5" s="1"/>
      <c r="AC5" s="1"/>
      <c r="AD5" s="27">
        <f>sum(AG16:AH19,J31:K37)</f>
        <v>-19</v>
      </c>
      <c r="AF5" s="6" t="s">
        <v>16</v>
      </c>
      <c r="AG5" s="3"/>
      <c r="AH5" s="3"/>
      <c r="AI5" s="6" t="s">
        <v>29</v>
      </c>
      <c r="AJ5" s="1"/>
      <c r="AK5" s="1"/>
      <c r="AL5" s="27">
        <f>sum(AL16:AM20,N27:O38)</f>
        <v>57.4</v>
      </c>
      <c r="AN5" s="6" t="s">
        <v>16</v>
      </c>
      <c r="AO5" s="3"/>
      <c r="AP5" s="3"/>
      <c r="AQ5" s="1"/>
      <c r="AR5" s="18">
        <v>20.0</v>
      </c>
      <c r="AS5" s="7" t="s">
        <v>14</v>
      </c>
      <c r="AT5" s="21">
        <f>K54</f>
        <v>30.8</v>
      </c>
      <c r="AU5" s="1"/>
      <c r="AV5" s="13" t="s">
        <v>30</v>
      </c>
      <c r="AW5" s="1"/>
      <c r="AX5" s="1"/>
      <c r="AY5" s="22">
        <f t="shared" ref="AY5:AY6" si="2">round(AZ54,0)</f>
        <v>0</v>
      </c>
      <c r="AZ5" s="1"/>
      <c r="BA5" s="22">
        <f>round($AZ$52*AW54/100*1,0)</f>
        <v>0</v>
      </c>
      <c r="BB5" s="1"/>
      <c r="BC5" s="23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>
      <c r="A6" s="3"/>
      <c r="B6" s="28" t="s">
        <v>31</v>
      </c>
      <c r="C6" s="2"/>
      <c r="D6" s="2"/>
      <c r="E6" s="29">
        <v>60.0</v>
      </c>
      <c r="F6" s="30"/>
      <c r="G6" s="31" t="s">
        <v>25</v>
      </c>
      <c r="H6" s="2"/>
      <c r="I6" s="2"/>
      <c r="J6" s="28" t="s">
        <v>32</v>
      </c>
      <c r="K6" s="2"/>
      <c r="L6" s="2"/>
      <c r="M6" s="2"/>
      <c r="N6" s="32">
        <f>BC44</f>
        <v>262.024</v>
      </c>
      <c r="O6" s="30"/>
      <c r="P6" s="33" t="s">
        <v>27</v>
      </c>
      <c r="Q6" s="3"/>
      <c r="R6" s="34" t="s">
        <v>33</v>
      </c>
      <c r="S6" s="2"/>
      <c r="T6" s="2"/>
      <c r="U6" s="15">
        <f t="shared" si="1"/>
        <v>4</v>
      </c>
      <c r="V6" s="35" t="s">
        <v>14</v>
      </c>
      <c r="W6" s="36">
        <v>4.0</v>
      </c>
      <c r="X6" s="2"/>
      <c r="Y6" s="37"/>
      <c r="Z6" s="3"/>
      <c r="AA6" s="38" t="s">
        <v>34</v>
      </c>
      <c r="AB6" s="2"/>
      <c r="AC6" s="2"/>
      <c r="AD6" s="39">
        <f>if(AD5&gt;=0,"∞", if(-AD3/(AD5) &lt; 1, 0 , ROUNDDOWN(-AD3/(AD5),0)))</f>
        <v>10</v>
      </c>
      <c r="AE6" s="30"/>
      <c r="AF6" s="28" t="s">
        <v>35</v>
      </c>
      <c r="AG6" s="40"/>
      <c r="AH6" s="3"/>
      <c r="AI6" s="38" t="s">
        <v>34</v>
      </c>
      <c r="AJ6" s="2"/>
      <c r="AK6" s="2"/>
      <c r="AL6" s="39">
        <f>if(AL5&lt;=0,"∞", if(AL5/AL4&gt;1 , 0, rounddown(AL4/AL5,0)))</f>
        <v>2</v>
      </c>
      <c r="AM6" s="30"/>
      <c r="AN6" s="28" t="s">
        <v>35</v>
      </c>
      <c r="AO6" s="40"/>
      <c r="AP6" s="3"/>
      <c r="AQ6" s="1"/>
      <c r="AR6" s="1"/>
      <c r="AS6" s="1"/>
      <c r="AT6" s="1"/>
      <c r="AU6" s="1"/>
      <c r="AV6" s="13" t="s">
        <v>36</v>
      </c>
      <c r="AW6" s="1"/>
      <c r="AX6" s="1"/>
      <c r="AY6" s="22">
        <f t="shared" si="2"/>
        <v>0</v>
      </c>
      <c r="AZ6" s="1"/>
      <c r="BA6" s="22">
        <v>0.0</v>
      </c>
      <c r="BB6" s="1"/>
      <c r="BC6" s="23"/>
      <c r="BD6" s="1"/>
      <c r="BE6" s="1"/>
      <c r="BF6" s="1"/>
      <c r="BG6" s="1"/>
      <c r="BH6" s="1"/>
      <c r="BI6" s="1"/>
      <c r="BJ6" s="1"/>
      <c r="BK6" s="1"/>
      <c r="BL6" s="4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3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3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>
      <c r="A8" s="3"/>
      <c r="B8" s="42" t="s">
        <v>37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3"/>
      <c r="X8" s="10" t="s">
        <v>38</v>
      </c>
      <c r="Y8" s="1"/>
      <c r="Z8" s="1"/>
      <c r="AA8" s="1"/>
      <c r="AB8" s="1"/>
      <c r="AC8" s="1"/>
      <c r="AD8" s="1"/>
      <c r="AE8" s="11"/>
      <c r="AF8" s="1"/>
      <c r="AG8" s="1"/>
      <c r="AH8" s="1"/>
      <c r="AI8" s="1"/>
      <c r="AJ8" s="3"/>
      <c r="AK8" s="10" t="s">
        <v>39</v>
      </c>
      <c r="AL8" s="1"/>
      <c r="AM8" s="1"/>
      <c r="AN8" s="1"/>
      <c r="AO8" s="3"/>
      <c r="AP8" s="3"/>
      <c r="AQ8" s="1"/>
      <c r="AR8" s="1"/>
      <c r="AS8" s="1"/>
      <c r="AT8" s="4" t="s">
        <v>40</v>
      </c>
      <c r="AU8" s="4" t="s">
        <v>41</v>
      </c>
      <c r="AV8" s="1"/>
      <c r="AW8" s="1"/>
      <c r="AX8" s="1"/>
      <c r="AY8" s="1"/>
      <c r="AZ8" s="12" t="s">
        <v>42</v>
      </c>
      <c r="BA8" s="1"/>
      <c r="BB8" s="1"/>
      <c r="BC8" s="3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>
      <c r="A9" s="3"/>
      <c r="B9" s="42" t="s">
        <v>43</v>
      </c>
      <c r="C9" s="1"/>
      <c r="D9" s="1"/>
      <c r="E9" s="1"/>
      <c r="F9" s="1"/>
      <c r="G9" s="1"/>
      <c r="H9" s="4" t="s">
        <v>13</v>
      </c>
      <c r="I9" s="1"/>
      <c r="J9" s="1"/>
      <c r="K9" s="1"/>
      <c r="L9" s="4" t="s">
        <v>44</v>
      </c>
      <c r="M9" s="1"/>
      <c r="N9" s="1"/>
      <c r="O9" s="1"/>
      <c r="P9" s="43" t="s">
        <v>45</v>
      </c>
      <c r="R9" s="1"/>
      <c r="S9" s="1"/>
      <c r="T9" s="4" t="s">
        <v>46</v>
      </c>
      <c r="U9" s="1"/>
      <c r="V9" s="1"/>
      <c r="W9" s="3"/>
      <c r="X9" s="1"/>
      <c r="Y9" s="10" t="s">
        <v>47</v>
      </c>
      <c r="Z9" s="1"/>
      <c r="AA9" s="1"/>
      <c r="AB9" s="1"/>
      <c r="AC9" s="42" t="s">
        <v>48</v>
      </c>
      <c r="AD9" s="1"/>
      <c r="AE9" s="1"/>
      <c r="AF9" s="1"/>
      <c r="AG9" s="10" t="s">
        <v>45</v>
      </c>
      <c r="AH9" s="11"/>
      <c r="AI9" s="1"/>
      <c r="AJ9" s="3"/>
      <c r="AK9" s="1"/>
      <c r="AL9" s="44" t="s">
        <v>46</v>
      </c>
      <c r="AM9" s="1"/>
      <c r="AN9" s="1"/>
      <c r="AO9" s="3"/>
      <c r="AP9" s="3"/>
      <c r="AQ9" s="7">
        <v>1.0</v>
      </c>
      <c r="AR9" s="7" t="s">
        <v>49</v>
      </c>
      <c r="AS9" s="45">
        <f t="shared" ref="AS9:AS34" si="3">BB9+AS8</f>
        <v>1</v>
      </c>
      <c r="AT9" s="46" t="s">
        <v>50</v>
      </c>
      <c r="AU9" s="13" t="s">
        <v>33</v>
      </c>
      <c r="AV9" s="47"/>
      <c r="AW9" s="47"/>
      <c r="AX9" s="1"/>
      <c r="AY9" s="47"/>
      <c r="AZ9" s="48"/>
      <c r="BA9" s="1"/>
      <c r="BB9" s="49">
        <v>1.0</v>
      </c>
      <c r="BC9" s="26" t="s">
        <v>51</v>
      </c>
      <c r="BD9" s="1"/>
      <c r="BE9" s="47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>
      <c r="A10" s="3"/>
      <c r="B10" s="6" t="s">
        <v>52</v>
      </c>
      <c r="C10" s="1"/>
      <c r="D10" s="1"/>
      <c r="E10" s="1"/>
      <c r="F10" s="1"/>
      <c r="G10" s="1"/>
      <c r="H10" s="50">
        <v>10.0</v>
      </c>
      <c r="J10" s="8" t="s">
        <v>51</v>
      </c>
      <c r="K10" s="1"/>
      <c r="L10" s="22">
        <f t="shared" ref="L10:L12" si="4">BA60/$BC$42*100</f>
        <v>0.8070477869</v>
      </c>
      <c r="N10" s="25" t="s">
        <v>53</v>
      </c>
      <c r="O10" s="51" t="s">
        <v>54</v>
      </c>
      <c r="Q10" s="52">
        <v>40.0</v>
      </c>
      <c r="S10" s="25" t="s">
        <v>51</v>
      </c>
      <c r="T10" s="27">
        <f>AW60*LN($BC$45)*1000/864*Q10/100*24</f>
        <v>23.40555815</v>
      </c>
      <c r="V10" s="53" t="s">
        <v>55</v>
      </c>
      <c r="W10" s="3"/>
      <c r="X10" s="1"/>
      <c r="Y10" s="54">
        <v>0.01</v>
      </c>
      <c r="AA10" s="1" t="s">
        <v>56</v>
      </c>
      <c r="AB10" s="1"/>
      <c r="AC10" s="27">
        <f>if(AND(H10&gt;0 , Y10&gt;0), 24*20*SQRT(Y10/(L10*86400*86400*1/149597870.691)),"")</f>
        <v>7.563809381</v>
      </c>
      <c r="AE10" s="1" t="s">
        <v>57</v>
      </c>
      <c r="AF10" s="55" t="s">
        <v>58</v>
      </c>
      <c r="AG10" s="27">
        <f>if(AC10="" , "",   AC10*L10*24/(AW60*LN($BC$45)*1000/864*24)*$BC$43/$AV$43)</f>
        <v>2.503756312</v>
      </c>
      <c r="AI10" s="47" t="s">
        <v>51</v>
      </c>
      <c r="AJ10" s="3"/>
      <c r="AK10" s="1"/>
      <c r="AL10" s="56"/>
      <c r="AN10" s="1" t="s">
        <v>59</v>
      </c>
      <c r="AO10" s="3"/>
      <c r="AP10" s="3"/>
      <c r="AQ10" s="45">
        <f t="shared" ref="AQ10:AQ14" si="5">AS9+1</f>
        <v>2</v>
      </c>
      <c r="AR10" s="7" t="s">
        <v>49</v>
      </c>
      <c r="AS10" s="45">
        <f t="shared" si="3"/>
        <v>2</v>
      </c>
      <c r="AT10" s="47"/>
      <c r="AU10" s="57" t="s">
        <v>60</v>
      </c>
      <c r="AV10" s="47"/>
      <c r="AW10" s="1"/>
      <c r="AX10" s="1"/>
      <c r="AY10" s="47"/>
      <c r="AZ10" s="48"/>
      <c r="BA10" s="1"/>
      <c r="BB10" s="49">
        <v>1.0</v>
      </c>
      <c r="BC10" s="26" t="s">
        <v>51</v>
      </c>
      <c r="BD10" s="1"/>
      <c r="BE10" s="47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>
      <c r="A11" s="3"/>
      <c r="B11" s="6" t="s">
        <v>61</v>
      </c>
      <c r="C11" s="1"/>
      <c r="D11" s="1"/>
      <c r="E11" s="1"/>
      <c r="F11" s="1"/>
      <c r="G11" s="1"/>
      <c r="H11" s="1"/>
      <c r="I11" s="1"/>
      <c r="J11" s="1"/>
      <c r="K11" s="1"/>
      <c r="L11" s="22">
        <f t="shared" si="4"/>
        <v>0.2824667254</v>
      </c>
      <c r="N11" s="25" t="s">
        <v>53</v>
      </c>
      <c r="O11" s="51" t="s">
        <v>62</v>
      </c>
      <c r="Q11" s="18">
        <v>0.0</v>
      </c>
      <c r="S11" s="25" t="s">
        <v>51</v>
      </c>
      <c r="T11" s="27">
        <f t="shared" ref="T11:T12" si="6">AW61*LN($BC$45)*1000/864*Q11/100</f>
        <v>0</v>
      </c>
      <c r="V11" s="53" t="s">
        <v>63</v>
      </c>
      <c r="W11" s="3"/>
      <c r="X11" s="1"/>
      <c r="Y11" s="58"/>
      <c r="AA11" s="1" t="s">
        <v>56</v>
      </c>
      <c r="AB11" s="1"/>
      <c r="AC11" s="56" t="str">
        <f>if(AND(H10&gt;0 , Y11&gt;0), 20*SQRT(Y11/(L11*86400*86400*1/149597870.691)),"")</f>
        <v/>
      </c>
      <c r="AE11" s="1" t="s">
        <v>64</v>
      </c>
      <c r="AF11" s="55" t="s">
        <v>58</v>
      </c>
      <c r="AG11" s="59" t="str">
        <f t="shared" ref="AG11:AG12" si="7">if(AC11="" , "",   AC11/(AW61*LN($BC$45)*1000/864)*100*$BC$43/$AV$43)</f>
        <v/>
      </c>
      <c r="AI11" s="47" t="s">
        <v>51</v>
      </c>
      <c r="AJ11" s="3"/>
      <c r="AK11" s="1"/>
      <c r="AL11" s="60">
        <f t="shared" ref="AL11:AL12" si="8">0.01*60*60*24*T11*L11/299792.458</f>
        <v>0</v>
      </c>
      <c r="AN11" s="1" t="s">
        <v>59</v>
      </c>
      <c r="AO11" s="3"/>
      <c r="AP11" s="3"/>
      <c r="AQ11" s="45">
        <f t="shared" si="5"/>
        <v>3</v>
      </c>
      <c r="AR11" s="7" t="s">
        <v>49</v>
      </c>
      <c r="AS11" s="45">
        <f t="shared" si="3"/>
        <v>4</v>
      </c>
      <c r="AT11" s="47"/>
      <c r="AU11" s="57" t="s">
        <v>65</v>
      </c>
      <c r="AV11" s="47"/>
      <c r="AW11" s="47"/>
      <c r="AX11" s="1"/>
      <c r="AY11" s="47"/>
      <c r="AZ11" s="48"/>
      <c r="BA11" s="1"/>
      <c r="BB11" s="49">
        <f>I61*G61/2</f>
        <v>2</v>
      </c>
      <c r="BC11" s="26" t="s">
        <v>51</v>
      </c>
      <c r="BD11" s="1"/>
      <c r="BE11" s="47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>
      <c r="A12" s="3"/>
      <c r="B12" s="38" t="s">
        <v>66</v>
      </c>
      <c r="C12" s="2"/>
      <c r="D12" s="2"/>
      <c r="E12" s="2"/>
      <c r="F12" s="2"/>
      <c r="G12" s="2"/>
      <c r="H12" s="61">
        <v>100.0</v>
      </c>
      <c r="I12" s="30"/>
      <c r="J12" s="62" t="s">
        <v>51</v>
      </c>
      <c r="K12" s="2"/>
      <c r="L12" s="32">
        <f t="shared" si="4"/>
        <v>0.8070477869</v>
      </c>
      <c r="M12" s="30"/>
      <c r="N12" s="31" t="s">
        <v>53</v>
      </c>
      <c r="O12" s="63" t="s">
        <v>67</v>
      </c>
      <c r="P12" s="30"/>
      <c r="Q12" s="64">
        <v>60.0</v>
      </c>
      <c r="R12" s="30"/>
      <c r="S12" s="31" t="s">
        <v>51</v>
      </c>
      <c r="T12" s="39">
        <f t="shared" si="6"/>
        <v>14.62847385</v>
      </c>
      <c r="U12" s="30"/>
      <c r="V12" s="65" t="s">
        <v>63</v>
      </c>
      <c r="W12" s="40"/>
      <c r="X12" s="2"/>
      <c r="Y12" s="66">
        <v>9.0</v>
      </c>
      <c r="Z12" s="30"/>
      <c r="AA12" s="67" t="s">
        <v>56</v>
      </c>
      <c r="AB12" s="2"/>
      <c r="AC12" s="68">
        <f>if(H12&gt;0, 20*SQRT(Y12/(L12*86400*86400*1/149597870.691)),"")</f>
        <v>9.454761726</v>
      </c>
      <c r="AD12" s="30"/>
      <c r="AE12" s="67" t="s">
        <v>64</v>
      </c>
      <c r="AF12" s="69" t="s">
        <v>58</v>
      </c>
      <c r="AG12" s="70">
        <f t="shared" si="7"/>
        <v>38.77955483</v>
      </c>
      <c r="AH12" s="30"/>
      <c r="AI12" s="71" t="s">
        <v>51</v>
      </c>
      <c r="AJ12" s="72"/>
      <c r="AK12" s="2"/>
      <c r="AL12" s="73">
        <f t="shared" si="8"/>
        <v>0.03402446539</v>
      </c>
      <c r="AM12" s="30"/>
      <c r="AN12" s="67" t="s">
        <v>59</v>
      </c>
      <c r="AO12" s="40"/>
      <c r="AP12" s="3"/>
      <c r="AQ12" s="45">
        <f t="shared" si="5"/>
        <v>5</v>
      </c>
      <c r="AR12" s="7" t="s">
        <v>49</v>
      </c>
      <c r="AS12" s="45">
        <f t="shared" si="3"/>
        <v>5</v>
      </c>
      <c r="AT12" s="47"/>
      <c r="AU12" s="57" t="s">
        <v>68</v>
      </c>
      <c r="AV12" s="47"/>
      <c r="AW12" s="47"/>
      <c r="AX12" s="1"/>
      <c r="AY12" s="47"/>
      <c r="AZ12" s="48"/>
      <c r="BA12" s="1"/>
      <c r="BB12" s="49">
        <v>1.0</v>
      </c>
      <c r="BC12" s="26" t="s">
        <v>51</v>
      </c>
      <c r="BD12" s="1"/>
      <c r="BE12" s="47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3"/>
      <c r="AQ13" s="45">
        <f t="shared" si="5"/>
        <v>6</v>
      </c>
      <c r="AR13" s="7" t="s">
        <v>49</v>
      </c>
      <c r="AS13" s="45">
        <f t="shared" si="3"/>
        <v>14.41002186</v>
      </c>
      <c r="AT13" s="47"/>
      <c r="AU13" s="57" t="s">
        <v>69</v>
      </c>
      <c r="AV13" s="47"/>
      <c r="AW13" s="47"/>
      <c r="AX13" s="1"/>
      <c r="AY13" s="47"/>
      <c r="AZ13" s="48"/>
      <c r="BA13" s="1"/>
      <c r="BB13" s="49">
        <f>max(100-sum(BB9:BB12)-sum(BB14:BB29)-sum(BB31:BB34) , 0)/2</f>
        <v>9.410021864</v>
      </c>
      <c r="BC13" s="26" t="s">
        <v>51</v>
      </c>
      <c r="BD13" s="1"/>
      <c r="BE13" s="47"/>
      <c r="BF13" s="1"/>
      <c r="BG13" s="1"/>
      <c r="BH13" s="1"/>
      <c r="BI13" s="1"/>
      <c r="BJ13" s="1"/>
      <c r="BK13" s="1"/>
      <c r="BL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>
      <c r="A14" s="3"/>
      <c r="B14" s="42" t="s">
        <v>70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3"/>
      <c r="AP14" s="3"/>
      <c r="AQ14" s="45">
        <f t="shared" si="5"/>
        <v>15.41002186</v>
      </c>
      <c r="AR14" s="7" t="s">
        <v>49</v>
      </c>
      <c r="AS14" s="45">
        <f t="shared" si="3"/>
        <v>16.41002186</v>
      </c>
      <c r="AT14" s="47"/>
      <c r="AU14" s="57" t="s">
        <v>71</v>
      </c>
      <c r="AV14" s="47"/>
      <c r="AW14" s="47"/>
      <c r="AX14" s="1"/>
      <c r="AY14" s="47"/>
      <c r="AZ14" s="48"/>
      <c r="BA14" s="1"/>
      <c r="BB14" s="49">
        <f>I62*G62/2</f>
        <v>2</v>
      </c>
      <c r="BC14" s="26" t="s">
        <v>51</v>
      </c>
      <c r="BD14" s="1"/>
      <c r="BE14" s="47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>
      <c r="A15" s="3"/>
      <c r="B15" s="44" t="s">
        <v>72</v>
      </c>
      <c r="C15" s="1"/>
      <c r="D15" s="1"/>
      <c r="E15" s="1"/>
      <c r="F15" s="1"/>
      <c r="G15" s="74" t="s">
        <v>73</v>
      </c>
      <c r="H15" s="1"/>
      <c r="I15" s="44" t="s">
        <v>74</v>
      </c>
      <c r="J15" s="1"/>
      <c r="K15" s="1"/>
      <c r="L15" s="1"/>
      <c r="M15" s="1"/>
      <c r="N15" s="1"/>
      <c r="O15" s="1"/>
      <c r="P15" s="12" t="s">
        <v>75</v>
      </c>
      <c r="Q15" s="1"/>
      <c r="R15" s="75" t="s">
        <v>76</v>
      </c>
      <c r="S15" s="1"/>
      <c r="T15" s="1"/>
      <c r="U15" s="4" t="s">
        <v>77</v>
      </c>
      <c r="V15" s="1"/>
      <c r="W15" s="1"/>
      <c r="X15" s="13" t="s">
        <v>78</v>
      </c>
      <c r="Y15" s="1"/>
      <c r="Z15" s="1"/>
      <c r="AA15" s="1"/>
      <c r="AB15" s="1"/>
      <c r="AC15" s="4" t="s">
        <v>79</v>
      </c>
      <c r="AD15" s="1"/>
      <c r="AE15" s="1"/>
      <c r="AF15" s="1"/>
      <c r="AG15" s="4" t="s">
        <v>13</v>
      </c>
      <c r="AH15" s="11"/>
      <c r="AI15" s="1"/>
      <c r="AJ15" s="1"/>
      <c r="AK15" s="1"/>
      <c r="AL15" s="4" t="s">
        <v>80</v>
      </c>
      <c r="AM15" s="1"/>
      <c r="AN15" s="1"/>
      <c r="AO15" s="3"/>
      <c r="AP15" s="3"/>
      <c r="AQ15" s="45">
        <f>AS17+1</f>
        <v>25.41002186</v>
      </c>
      <c r="AR15" s="7" t="s">
        <v>49</v>
      </c>
      <c r="AS15" s="45">
        <f t="shared" si="3"/>
        <v>18.41002186</v>
      </c>
      <c r="AT15" s="47"/>
      <c r="AU15" s="57" t="s">
        <v>81</v>
      </c>
      <c r="AV15" s="47"/>
      <c r="AW15" s="47"/>
      <c r="AX15" s="1"/>
      <c r="AY15" s="47"/>
      <c r="AZ15" s="48"/>
      <c r="BA15" s="1"/>
      <c r="BB15" s="49">
        <f>G65*I65</f>
        <v>2</v>
      </c>
      <c r="BC15" s="26" t="s">
        <v>51</v>
      </c>
      <c r="BD15" s="1"/>
      <c r="BE15" s="47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>
      <c r="A16" s="3"/>
      <c r="B16" s="13" t="s">
        <v>65</v>
      </c>
      <c r="C16" s="1"/>
      <c r="D16" s="1"/>
      <c r="E16" s="1"/>
      <c r="F16" s="1"/>
      <c r="G16" s="18">
        <v>2.0</v>
      </c>
      <c r="H16" s="1"/>
      <c r="I16" s="76" t="s">
        <v>82</v>
      </c>
      <c r="J16" s="77"/>
      <c r="K16" s="77"/>
      <c r="L16" s="77"/>
      <c r="M16" s="77"/>
      <c r="N16" s="77"/>
      <c r="O16" s="1"/>
      <c r="P16" s="78">
        <v>1.0</v>
      </c>
      <c r="Q16" s="1"/>
      <c r="R16" s="27">
        <f t="shared" ref="R16:R18" si="9">X16/10</f>
        <v>4</v>
      </c>
      <c r="T16" s="25" t="s">
        <v>83</v>
      </c>
      <c r="U16" s="7" t="s">
        <v>84</v>
      </c>
      <c r="V16" s="79" t="s">
        <v>85</v>
      </c>
      <c r="W16" s="7" t="s">
        <v>14</v>
      </c>
      <c r="X16" s="27">
        <f t="shared" ref="X16:X18" si="10">sqrt(5000*K61*I61^2)/20</f>
        <v>40</v>
      </c>
      <c r="Z16" s="25" t="s">
        <v>83</v>
      </c>
      <c r="AA16" s="1"/>
      <c r="AB16" s="21">
        <v>10.0</v>
      </c>
      <c r="AD16" s="13" t="s">
        <v>19</v>
      </c>
      <c r="AE16" s="1"/>
      <c r="AF16" s="1"/>
      <c r="AG16" s="21">
        <f t="shared" ref="AG16:AG18" si="11">-0.5*I61^2*G16*P16</f>
        <v>-16</v>
      </c>
      <c r="AI16" s="13" t="s">
        <v>16</v>
      </c>
      <c r="AJ16" s="11"/>
      <c r="AK16" s="1"/>
      <c r="AL16" s="21">
        <f t="shared" ref="AL16:AL18" si="12">-round(AG16*0.58,0)</f>
        <v>9</v>
      </c>
      <c r="AN16" s="13" t="s">
        <v>16</v>
      </c>
      <c r="AO16" s="3"/>
      <c r="AP16" s="3"/>
      <c r="AQ16" s="45">
        <f>AS15+1</f>
        <v>19.41002186</v>
      </c>
      <c r="AR16" s="7" t="s">
        <v>49</v>
      </c>
      <c r="AS16" s="45">
        <f t="shared" si="3"/>
        <v>19.41002186</v>
      </c>
      <c r="AT16" s="47"/>
      <c r="AU16" s="57" t="s">
        <v>86</v>
      </c>
      <c r="AV16" s="47"/>
      <c r="AW16" s="47"/>
      <c r="AX16" s="1"/>
      <c r="AY16" s="47"/>
      <c r="AZ16" s="48"/>
      <c r="BA16" s="1"/>
      <c r="BB16" s="49">
        <v>1.0</v>
      </c>
      <c r="BC16" s="26" t="s">
        <v>51</v>
      </c>
      <c r="BD16" s="1"/>
      <c r="BE16" s="47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>
      <c r="A17" s="3"/>
      <c r="B17" s="13" t="s">
        <v>87</v>
      </c>
      <c r="C17" s="1"/>
      <c r="D17" s="1"/>
      <c r="E17" s="1"/>
      <c r="F17" s="1"/>
      <c r="G17" s="18">
        <v>2.0</v>
      </c>
      <c r="H17" s="25" t="s">
        <v>84</v>
      </c>
      <c r="I17" s="76" t="s">
        <v>82</v>
      </c>
      <c r="J17" s="77"/>
      <c r="K17" s="77"/>
      <c r="L17" s="77"/>
      <c r="M17" s="77"/>
      <c r="N17" s="77"/>
      <c r="O17" s="1"/>
      <c r="P17" s="18">
        <v>0.0</v>
      </c>
      <c r="Q17" s="1"/>
      <c r="R17" s="27">
        <f t="shared" si="9"/>
        <v>1</v>
      </c>
      <c r="T17" s="25" t="s">
        <v>83</v>
      </c>
      <c r="U17" s="7" t="s">
        <v>84</v>
      </c>
      <c r="V17" s="79" t="s">
        <v>85</v>
      </c>
      <c r="W17" s="7" t="s">
        <v>14</v>
      </c>
      <c r="X17" s="27">
        <f t="shared" si="10"/>
        <v>10</v>
      </c>
      <c r="Z17" s="25" t="s">
        <v>83</v>
      </c>
      <c r="AA17" s="1"/>
      <c r="AB17" s="21">
        <v>10.0</v>
      </c>
      <c r="AD17" s="13" t="s">
        <v>19</v>
      </c>
      <c r="AE17" s="1"/>
      <c r="AF17" s="1"/>
      <c r="AG17" s="21">
        <f t="shared" si="11"/>
        <v>0</v>
      </c>
      <c r="AI17" s="13" t="s">
        <v>16</v>
      </c>
      <c r="AJ17" s="11"/>
      <c r="AK17" s="1"/>
      <c r="AL17" s="21">
        <f t="shared" si="12"/>
        <v>0</v>
      </c>
      <c r="AN17" s="13" t="s">
        <v>16</v>
      </c>
      <c r="AO17" s="3"/>
      <c r="AP17" s="3"/>
      <c r="AQ17" s="45">
        <f>AS14+1</f>
        <v>17.41002186</v>
      </c>
      <c r="AR17" s="7" t="s">
        <v>49</v>
      </c>
      <c r="AS17" s="45">
        <f t="shared" si="3"/>
        <v>24.41002186</v>
      </c>
      <c r="AT17" s="47"/>
      <c r="AU17" s="57" t="s">
        <v>88</v>
      </c>
      <c r="AV17" s="47"/>
      <c r="AW17" s="47"/>
      <c r="AX17" s="1"/>
      <c r="AY17" s="47"/>
      <c r="AZ17" s="48"/>
      <c r="BA17" s="1"/>
      <c r="BB17" s="49">
        <v>5.0</v>
      </c>
      <c r="BC17" s="26" t="s">
        <v>51</v>
      </c>
      <c r="BD17" s="1"/>
      <c r="BE17" s="47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>
      <c r="A18" s="3"/>
      <c r="B18" s="13" t="s">
        <v>89</v>
      </c>
      <c r="C18" s="1"/>
      <c r="D18" s="1"/>
      <c r="E18" s="1"/>
      <c r="F18" s="1"/>
      <c r="G18" s="18">
        <v>2.0</v>
      </c>
      <c r="H18" s="25" t="s">
        <v>84</v>
      </c>
      <c r="I18" s="76" t="s">
        <v>90</v>
      </c>
      <c r="J18" s="77"/>
      <c r="K18" s="77"/>
      <c r="L18" s="77"/>
      <c r="M18" s="77"/>
      <c r="N18" s="77"/>
      <c r="O18" s="1"/>
      <c r="P18" s="18">
        <v>0.0</v>
      </c>
      <c r="Q18" s="1"/>
      <c r="R18" s="27">
        <f t="shared" si="9"/>
        <v>1</v>
      </c>
      <c r="T18" s="25" t="s">
        <v>83</v>
      </c>
      <c r="U18" s="7" t="s">
        <v>84</v>
      </c>
      <c r="V18" s="79" t="s">
        <v>85</v>
      </c>
      <c r="W18" s="7" t="s">
        <v>14</v>
      </c>
      <c r="X18" s="27">
        <f t="shared" si="10"/>
        <v>10</v>
      </c>
      <c r="Z18" s="25" t="s">
        <v>83</v>
      </c>
      <c r="AA18" s="1"/>
      <c r="AB18" s="21">
        <v>5.0</v>
      </c>
      <c r="AD18" s="13" t="s">
        <v>19</v>
      </c>
      <c r="AE18" s="1"/>
      <c r="AF18" s="1"/>
      <c r="AG18" s="21">
        <f t="shared" si="11"/>
        <v>0</v>
      </c>
      <c r="AI18" s="13" t="s">
        <v>16</v>
      </c>
      <c r="AJ18" s="11"/>
      <c r="AK18" s="1"/>
      <c r="AL18" s="21">
        <f t="shared" si="12"/>
        <v>0</v>
      </c>
      <c r="AN18" s="13" t="s">
        <v>16</v>
      </c>
      <c r="AO18" s="3"/>
      <c r="AP18" s="3"/>
      <c r="AQ18" s="45">
        <f>AS16+1</f>
        <v>20.41002186</v>
      </c>
      <c r="AR18" s="7" t="s">
        <v>49</v>
      </c>
      <c r="AS18" s="45">
        <f t="shared" si="3"/>
        <v>27.41002186</v>
      </c>
      <c r="AT18" s="47"/>
      <c r="AU18" s="57" t="s">
        <v>33</v>
      </c>
      <c r="AV18" s="47"/>
      <c r="AW18" s="47"/>
      <c r="AX18" s="1"/>
      <c r="AY18" s="47"/>
      <c r="AZ18" s="48"/>
      <c r="BA18" s="1"/>
      <c r="BB18" s="49">
        <f>G49-2</f>
        <v>3</v>
      </c>
      <c r="BC18" s="26" t="s">
        <v>51</v>
      </c>
      <c r="BD18" s="1"/>
      <c r="BE18" s="47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>
      <c r="A19" s="3"/>
      <c r="B19" s="13" t="s">
        <v>60</v>
      </c>
      <c r="C19" s="1"/>
      <c r="D19" s="1"/>
      <c r="E19" s="1"/>
      <c r="F19" s="1"/>
      <c r="G19" s="18">
        <v>1.0</v>
      </c>
      <c r="H19" s="25" t="s">
        <v>84</v>
      </c>
      <c r="I19" s="76" t="s">
        <v>91</v>
      </c>
      <c r="J19" s="77"/>
      <c r="K19" s="77"/>
      <c r="L19" s="77"/>
      <c r="M19" s="77"/>
      <c r="N19" s="77"/>
      <c r="O19" s="1"/>
      <c r="P19" s="18">
        <v>0.0</v>
      </c>
      <c r="Q19" s="1"/>
      <c r="R19" s="1"/>
      <c r="S19" s="1"/>
      <c r="T19" s="1"/>
      <c r="U19" s="1"/>
      <c r="V19" s="59"/>
      <c r="AD19" s="13" t="s">
        <v>20</v>
      </c>
      <c r="AE19" s="1"/>
      <c r="AF19" s="1"/>
      <c r="AG19" s="21">
        <f>-G19*K64*P19</f>
        <v>0</v>
      </c>
      <c r="AI19" s="13" t="s">
        <v>16</v>
      </c>
      <c r="AJ19" s="11"/>
      <c r="AK19" s="1"/>
      <c r="AL19" s="21">
        <f>-AG19</f>
        <v>0</v>
      </c>
      <c r="AN19" s="13" t="s">
        <v>16</v>
      </c>
      <c r="AO19" s="3"/>
      <c r="AP19" s="3"/>
      <c r="AQ19" s="45">
        <f t="shared" ref="AQ19:AQ20" si="13">AS18+1</f>
        <v>28.41002186</v>
      </c>
      <c r="AR19" s="7" t="s">
        <v>49</v>
      </c>
      <c r="AS19" s="45">
        <f t="shared" si="3"/>
        <v>40.49096644</v>
      </c>
      <c r="AT19" s="46" t="s">
        <v>50</v>
      </c>
      <c r="AU19" s="57" t="s">
        <v>92</v>
      </c>
      <c r="AV19" s="47"/>
      <c r="AW19" s="47"/>
      <c r="AX19" s="1"/>
      <c r="AY19" s="47"/>
      <c r="AZ19" s="48"/>
      <c r="BA19" s="1"/>
      <c r="BB19" s="49">
        <f>5*(AO54/AN41*G31)</f>
        <v>13.08094458</v>
      </c>
      <c r="BC19" s="26" t="s">
        <v>51</v>
      </c>
      <c r="BD19" s="1"/>
      <c r="BE19" s="47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>
      <c r="A20" s="3"/>
      <c r="B20" s="13" t="s">
        <v>93</v>
      </c>
      <c r="C20" s="1"/>
      <c r="D20" s="1"/>
      <c r="E20" s="1"/>
      <c r="F20" s="1"/>
      <c r="G20" s="18">
        <v>2.0</v>
      </c>
      <c r="H20" s="25" t="s">
        <v>84</v>
      </c>
      <c r="I20" s="76" t="s">
        <v>94</v>
      </c>
      <c r="J20" s="77"/>
      <c r="K20" s="77"/>
      <c r="L20" s="77"/>
      <c r="M20" s="77"/>
      <c r="N20" s="77"/>
      <c r="O20" s="1"/>
      <c r="P20" s="6" t="s">
        <v>95</v>
      </c>
      <c r="Q20" s="1"/>
      <c r="R20" s="1"/>
      <c r="S20" s="1"/>
      <c r="T20" s="1"/>
      <c r="U20" s="1"/>
      <c r="V20" s="59"/>
      <c r="AD20" s="1"/>
      <c r="AE20" s="1"/>
      <c r="AF20" s="1"/>
      <c r="AG20" s="1"/>
      <c r="AH20" s="1"/>
      <c r="AI20" s="1"/>
      <c r="AJ20" s="1"/>
      <c r="AK20" s="1"/>
      <c r="AL20" s="1"/>
      <c r="AN20" s="1"/>
      <c r="AO20" s="3"/>
      <c r="AP20" s="3"/>
      <c r="AQ20" s="45">
        <f t="shared" si="13"/>
        <v>41.49096644</v>
      </c>
      <c r="AR20" s="7" t="s">
        <v>49</v>
      </c>
      <c r="AS20" s="45">
        <f t="shared" si="3"/>
        <v>45.49096644</v>
      </c>
      <c r="AT20" s="47"/>
      <c r="AU20" s="80" t="s">
        <v>96</v>
      </c>
      <c r="AY20" s="47"/>
      <c r="AZ20" s="48"/>
      <c r="BA20" s="1"/>
      <c r="BB20" s="49">
        <v>5.0</v>
      </c>
      <c r="BC20" s="26" t="s">
        <v>51</v>
      </c>
      <c r="BD20" s="1"/>
      <c r="BE20" s="47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3"/>
      <c r="AP21" s="3"/>
      <c r="AQ21" s="45">
        <f>AS19+1</f>
        <v>41.49096644</v>
      </c>
      <c r="AR21" s="7" t="s">
        <v>49</v>
      </c>
      <c r="AS21" s="45">
        <f t="shared" si="3"/>
        <v>50.49096644</v>
      </c>
      <c r="AT21" s="47"/>
      <c r="AU21" s="57" t="s">
        <v>97</v>
      </c>
      <c r="AV21" s="47"/>
      <c r="AW21" s="47"/>
      <c r="AX21" s="1"/>
      <c r="AY21" s="47"/>
      <c r="AZ21" s="48"/>
      <c r="BA21" s="1"/>
      <c r="BB21" s="49">
        <f>G53</f>
        <v>5</v>
      </c>
      <c r="BC21" s="26" t="s">
        <v>51</v>
      </c>
      <c r="BD21" s="1"/>
      <c r="BE21" s="47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>
      <c r="A22" s="3"/>
      <c r="B22" s="4" t="s">
        <v>86</v>
      </c>
      <c r="C22" s="1"/>
      <c r="D22" s="1"/>
      <c r="E22" s="1"/>
      <c r="F22" s="1"/>
      <c r="G22" s="81">
        <v>1000.0</v>
      </c>
      <c r="I22" s="76" t="s">
        <v>98</v>
      </c>
      <c r="J22" s="77"/>
      <c r="K22" s="77"/>
      <c r="L22" s="77"/>
      <c r="M22" s="77"/>
      <c r="N22" s="77"/>
      <c r="O22" s="1"/>
      <c r="P22" s="13" t="s">
        <v>99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3"/>
      <c r="AP22" s="3"/>
      <c r="AQ22" s="45">
        <f t="shared" ref="AQ22:AQ34" si="14">AS21+1</f>
        <v>51.49096644</v>
      </c>
      <c r="AR22" s="7" t="s">
        <v>49</v>
      </c>
      <c r="AS22" s="45">
        <f t="shared" si="3"/>
        <v>51.49096644</v>
      </c>
      <c r="AT22" s="47"/>
      <c r="AU22" s="57" t="s">
        <v>100</v>
      </c>
      <c r="AV22" s="47"/>
      <c r="AW22" s="47"/>
      <c r="AX22" s="1"/>
      <c r="AY22" s="47"/>
      <c r="AZ22" s="48"/>
      <c r="BA22" s="1"/>
      <c r="BB22" s="49">
        <v>1.0</v>
      </c>
      <c r="BC22" s="26" t="s">
        <v>51</v>
      </c>
      <c r="BD22" s="1"/>
      <c r="BE22" s="47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>
      <c r="A23" s="3"/>
      <c r="B23" s="2"/>
      <c r="C23" s="2"/>
      <c r="D23" s="2"/>
      <c r="E23" s="2"/>
      <c r="F23" s="2"/>
      <c r="G23" s="82">
        <v>40.0</v>
      </c>
      <c r="H23" s="30"/>
      <c r="I23" s="83" t="s">
        <v>101</v>
      </c>
      <c r="J23" s="84"/>
      <c r="K23" s="84"/>
      <c r="L23" s="84"/>
      <c r="M23" s="84"/>
      <c r="N23" s="84"/>
      <c r="O23" s="2"/>
      <c r="P23" s="28" t="s">
        <v>102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40"/>
      <c r="AP23" s="3"/>
      <c r="AQ23" s="45">
        <f t="shared" si="14"/>
        <v>52.49096644</v>
      </c>
      <c r="AR23" s="7" t="s">
        <v>49</v>
      </c>
      <c r="AS23" s="45">
        <f t="shared" si="3"/>
        <v>52.1857668</v>
      </c>
      <c r="AT23" s="47"/>
      <c r="AU23" s="57" t="s">
        <v>103</v>
      </c>
      <c r="AV23" s="47"/>
      <c r="AW23" s="47"/>
      <c r="AX23" s="1"/>
      <c r="AY23" s="47"/>
      <c r="AZ23" s="48"/>
      <c r="BA23" s="1"/>
      <c r="BB23" s="49">
        <f>(K69+K71)/BC42*100-1</f>
        <v>0.6948003525</v>
      </c>
      <c r="BC23" s="26" t="s">
        <v>51</v>
      </c>
      <c r="BD23" s="1"/>
      <c r="BE23" s="47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3"/>
      <c r="AQ24" s="45">
        <f t="shared" si="14"/>
        <v>53.1857668</v>
      </c>
      <c r="AR24" s="7" t="s">
        <v>49</v>
      </c>
      <c r="AS24" s="45">
        <f t="shared" si="3"/>
        <v>57.1857668</v>
      </c>
      <c r="AT24" s="47"/>
      <c r="AU24" s="57" t="s">
        <v>21</v>
      </c>
      <c r="AV24" s="47"/>
      <c r="AW24" s="47"/>
      <c r="AX24" s="1"/>
      <c r="AY24" s="47"/>
      <c r="AZ24" s="48"/>
      <c r="BA24" s="1"/>
      <c r="BB24" s="49">
        <f>G48</f>
        <v>5</v>
      </c>
      <c r="BC24" s="26" t="s">
        <v>51</v>
      </c>
      <c r="BD24" s="1"/>
      <c r="BE24" s="47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</row>
    <row r="25">
      <c r="A25" s="3"/>
      <c r="B25" s="10" t="s">
        <v>104</v>
      </c>
      <c r="C25" s="1"/>
      <c r="D25" s="1"/>
      <c r="E25" s="1"/>
      <c r="F25" s="1"/>
      <c r="G25" s="1"/>
      <c r="H25" s="1"/>
      <c r="I25" s="1"/>
      <c r="J25" s="11"/>
      <c r="K25" s="1"/>
      <c r="L25" s="1"/>
      <c r="M25" s="1"/>
      <c r="N25" s="1"/>
      <c r="O25" s="1"/>
      <c r="P25" s="1"/>
      <c r="Q25" s="3"/>
      <c r="R25" s="3"/>
      <c r="S25" s="42" t="s">
        <v>105</v>
      </c>
      <c r="T25" s="1"/>
      <c r="U25" s="1"/>
      <c r="V25" s="1"/>
      <c r="W25" s="1"/>
      <c r="X25" s="1"/>
      <c r="Y25" s="1"/>
      <c r="Z25" s="85">
        <f>sum(Z28:Z38)</f>
        <v>5</v>
      </c>
      <c r="AB25" s="7" t="s">
        <v>14</v>
      </c>
      <c r="AC25" s="27">
        <f>K57</f>
        <v>7.7</v>
      </c>
      <c r="AE25" s="11" t="s">
        <v>27</v>
      </c>
      <c r="AF25" s="1"/>
      <c r="AG25" s="1"/>
      <c r="AH25" s="1"/>
      <c r="AI25" s="1"/>
      <c r="AJ25" s="1"/>
      <c r="AK25" s="1"/>
      <c r="AL25" s="1"/>
      <c r="AM25" s="1"/>
      <c r="AN25" s="1"/>
      <c r="AO25" s="3"/>
      <c r="AP25" s="3"/>
      <c r="AQ25" s="45">
        <f t="shared" si="14"/>
        <v>58.1857668</v>
      </c>
      <c r="AR25" s="7" t="s">
        <v>49</v>
      </c>
      <c r="AS25" s="45">
        <f t="shared" si="3"/>
        <v>62.1857668</v>
      </c>
      <c r="AT25" s="47"/>
      <c r="AU25" s="57" t="s">
        <v>17</v>
      </c>
      <c r="AV25" s="47"/>
      <c r="AW25" s="47"/>
      <c r="AX25" s="1"/>
      <c r="AY25" s="47"/>
      <c r="AZ25" s="48"/>
      <c r="BA25" s="1"/>
      <c r="BB25" s="49">
        <f>G51</f>
        <v>5</v>
      </c>
      <c r="BC25" s="26" t="s">
        <v>51</v>
      </c>
      <c r="BD25" s="1"/>
      <c r="BE25" s="47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>
      <c r="A26" s="3"/>
      <c r="B26" s="44" t="s">
        <v>106</v>
      </c>
      <c r="C26" s="1"/>
      <c r="D26" s="1"/>
      <c r="E26" s="1"/>
      <c r="F26" s="1"/>
      <c r="G26" s="86" t="s">
        <v>73</v>
      </c>
      <c r="H26" s="1"/>
      <c r="I26" s="1"/>
      <c r="J26" s="4" t="s">
        <v>13</v>
      </c>
      <c r="K26" s="1"/>
      <c r="L26" s="1"/>
      <c r="M26" s="1"/>
      <c r="N26" s="4" t="s">
        <v>80</v>
      </c>
      <c r="O26" s="1"/>
      <c r="P26" s="11"/>
      <c r="Q26" s="3"/>
      <c r="R26" s="3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3"/>
      <c r="AP26" s="3"/>
      <c r="AQ26" s="45">
        <f t="shared" si="14"/>
        <v>63.1857668</v>
      </c>
      <c r="AR26" s="7" t="s">
        <v>49</v>
      </c>
      <c r="AS26" s="45">
        <f t="shared" si="3"/>
        <v>63.1857668</v>
      </c>
      <c r="AT26" s="47"/>
      <c r="AU26" s="57" t="s">
        <v>15</v>
      </c>
      <c r="AV26" s="47"/>
      <c r="AW26" s="47"/>
      <c r="AX26" s="1"/>
      <c r="AY26" s="47"/>
      <c r="AZ26" s="48"/>
      <c r="BA26" s="1"/>
      <c r="BB26" s="49">
        <v>1.0</v>
      </c>
      <c r="BC26" s="26" t="s">
        <v>51</v>
      </c>
      <c r="BD26" s="1"/>
      <c r="BE26" s="47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>
      <c r="A27" s="3"/>
      <c r="B27" s="13" t="s">
        <v>13</v>
      </c>
      <c r="C27" s="1"/>
      <c r="D27" s="1"/>
      <c r="E27" s="1"/>
      <c r="F27" s="1"/>
      <c r="G27" s="18">
        <v>5.0</v>
      </c>
      <c r="H27" s="7" t="s">
        <v>14</v>
      </c>
      <c r="I27" s="51">
        <v>5.0</v>
      </c>
      <c r="J27" s="87">
        <f>K47*U3</f>
        <v>77</v>
      </c>
      <c r="L27" s="14" t="s">
        <v>18</v>
      </c>
      <c r="M27" s="1"/>
      <c r="N27" s="88">
        <f>J27*6/W3-J27</f>
        <v>15.4</v>
      </c>
      <c r="P27" s="6" t="s">
        <v>18</v>
      </c>
      <c r="Q27" s="3"/>
      <c r="R27" s="3"/>
      <c r="S27" s="42" t="s">
        <v>107</v>
      </c>
      <c r="T27" s="1"/>
      <c r="U27" s="1"/>
      <c r="V27" s="1"/>
      <c r="W27" s="1"/>
      <c r="X27" s="1"/>
      <c r="Y27" s="1"/>
      <c r="Z27" s="42" t="s">
        <v>108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3"/>
      <c r="AP27" s="3"/>
      <c r="AQ27" s="45">
        <f t="shared" si="14"/>
        <v>64.1857668</v>
      </c>
      <c r="AR27" s="7" t="s">
        <v>49</v>
      </c>
      <c r="AS27" s="45">
        <f t="shared" si="3"/>
        <v>68.1857668</v>
      </c>
      <c r="AT27" s="47"/>
      <c r="AU27" s="57" t="s">
        <v>13</v>
      </c>
      <c r="AV27" s="47"/>
      <c r="AW27" s="47"/>
      <c r="AX27" s="1"/>
      <c r="AY27" s="47"/>
      <c r="AZ27" s="48"/>
      <c r="BA27" s="1"/>
      <c r="BB27" s="49">
        <f>G47</f>
        <v>5</v>
      </c>
      <c r="BC27" s="26" t="s">
        <v>51</v>
      </c>
      <c r="BD27" s="1"/>
      <c r="BE27" s="47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>
      <c r="A28" s="3"/>
      <c r="B28" s="13" t="s">
        <v>21</v>
      </c>
      <c r="C28" s="1"/>
      <c r="D28" s="1"/>
      <c r="E28" s="1"/>
      <c r="F28" s="1"/>
      <c r="G28" s="52">
        <f>I28</f>
        <v>5</v>
      </c>
      <c r="H28" s="7" t="s">
        <v>14</v>
      </c>
      <c r="I28" s="51">
        <v>5.0</v>
      </c>
      <c r="J28" s="87">
        <f>-round(K48*U4/5,0)</f>
        <v>-15</v>
      </c>
      <c r="L28" s="14" t="s">
        <v>18</v>
      </c>
      <c r="M28" s="1"/>
      <c r="N28" s="88">
        <f>-round(J28*0.1,0)</f>
        <v>2</v>
      </c>
      <c r="P28" s="6" t="s">
        <v>18</v>
      </c>
      <c r="Q28" s="3"/>
      <c r="R28" s="3"/>
      <c r="S28" s="81">
        <v>5.0</v>
      </c>
      <c r="T28" s="1" t="s">
        <v>84</v>
      </c>
      <c r="U28" s="89" t="s">
        <v>109</v>
      </c>
      <c r="V28" s="48"/>
      <c r="W28" s="48"/>
      <c r="X28" s="48"/>
      <c r="Y28" s="48"/>
      <c r="Z28" s="1"/>
      <c r="AA28" s="1"/>
      <c r="AB28" s="13" t="s">
        <v>110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3"/>
      <c r="AP28" s="3"/>
      <c r="AQ28" s="45">
        <f t="shared" si="14"/>
        <v>69.1857668</v>
      </c>
      <c r="AR28" s="7" t="s">
        <v>49</v>
      </c>
      <c r="AS28" s="45">
        <f t="shared" si="3"/>
        <v>72.83997814</v>
      </c>
      <c r="AT28" s="46" t="s">
        <v>50</v>
      </c>
      <c r="AU28" s="57" t="s">
        <v>111</v>
      </c>
      <c r="AV28" s="47"/>
      <c r="AW28" s="47"/>
      <c r="AX28" s="1"/>
      <c r="AY28" s="47"/>
      <c r="AZ28" s="48"/>
      <c r="BA28" s="1"/>
      <c r="BB28" s="49">
        <f>X56/AN43*100</f>
        <v>4.654211339</v>
      </c>
      <c r="BC28" s="26" t="s">
        <v>51</v>
      </c>
      <c r="BD28" s="1"/>
      <c r="BE28" s="47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</row>
    <row r="29">
      <c r="A29" s="3"/>
      <c r="B29" s="13" t="s">
        <v>28</v>
      </c>
      <c r="C29" s="1"/>
      <c r="D29" s="1"/>
      <c r="E29" s="1"/>
      <c r="F29" s="1"/>
      <c r="G29" s="52">
        <v>5.0</v>
      </c>
      <c r="H29" s="7" t="s">
        <v>14</v>
      </c>
      <c r="I29" s="16">
        <f>4+G33</f>
        <v>5</v>
      </c>
      <c r="J29" s="87">
        <f>if(U5&gt;1,-1,0)</f>
        <v>-1</v>
      </c>
      <c r="L29" s="14" t="s">
        <v>18</v>
      </c>
      <c r="M29" s="1"/>
      <c r="N29" s="88">
        <f>if(U5&gt;1,U5-1,0)</f>
        <v>4</v>
      </c>
      <c r="P29" s="6" t="s">
        <v>18</v>
      </c>
      <c r="Q29" s="3"/>
      <c r="R29" s="3"/>
      <c r="S29" s="81">
        <v>5.0</v>
      </c>
      <c r="T29" s="1"/>
      <c r="U29" s="89" t="s">
        <v>112</v>
      </c>
      <c r="V29" s="48"/>
      <c r="W29" s="48"/>
      <c r="X29" s="48"/>
      <c r="Y29" s="48"/>
      <c r="Z29" s="77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3"/>
      <c r="AP29" s="3"/>
      <c r="AQ29" s="45">
        <f t="shared" si="14"/>
        <v>73.83997814</v>
      </c>
      <c r="AR29" s="7" t="s">
        <v>49</v>
      </c>
      <c r="AS29" s="45">
        <f t="shared" si="3"/>
        <v>74.83997814</v>
      </c>
      <c r="AT29" s="47"/>
      <c r="AU29" s="57" t="s">
        <v>113</v>
      </c>
      <c r="AV29" s="47"/>
      <c r="AW29" s="47"/>
      <c r="AX29" s="1"/>
      <c r="AY29" s="47"/>
      <c r="AZ29" s="48"/>
      <c r="BA29" s="1"/>
      <c r="BB29" s="49">
        <f>I63*G63/2</f>
        <v>2</v>
      </c>
      <c r="BC29" s="26" t="s">
        <v>51</v>
      </c>
      <c r="BD29" s="1"/>
      <c r="BE29" s="47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>
      <c r="A30" s="3"/>
      <c r="B30" s="13" t="s">
        <v>33</v>
      </c>
      <c r="C30" s="1"/>
      <c r="D30" s="1"/>
      <c r="E30" s="1"/>
      <c r="F30" s="1"/>
      <c r="G30" s="18">
        <f>I30</f>
        <v>4</v>
      </c>
      <c r="H30" s="7" t="s">
        <v>14</v>
      </c>
      <c r="I30" s="16">
        <f>4</f>
        <v>4</v>
      </c>
      <c r="J30" s="87">
        <f>-K49*U6/5</f>
        <v>-12.32</v>
      </c>
      <c r="L30" s="14" t="s">
        <v>18</v>
      </c>
      <c r="M30" s="1"/>
      <c r="N30" s="88">
        <f>-round(J30*0.1,0)</f>
        <v>1</v>
      </c>
      <c r="P30" s="6" t="s">
        <v>18</v>
      </c>
      <c r="Q30" s="3"/>
      <c r="R30" s="3"/>
      <c r="S30" s="48"/>
      <c r="T30" s="1"/>
      <c r="U30" s="89" t="s">
        <v>114</v>
      </c>
      <c r="V30" s="48"/>
      <c r="W30" s="48"/>
      <c r="X30" s="48"/>
      <c r="Y30" s="48"/>
      <c r="Z30" s="24">
        <v>1.0</v>
      </c>
      <c r="AA30" s="25" t="s">
        <v>27</v>
      </c>
      <c r="AB30" s="13" t="s">
        <v>115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3"/>
      <c r="AP30" s="3"/>
      <c r="AQ30" s="45">
        <f t="shared" si="14"/>
        <v>75.83997814</v>
      </c>
      <c r="AR30" s="7" t="s">
        <v>49</v>
      </c>
      <c r="AS30" s="45">
        <f t="shared" si="3"/>
        <v>84.25</v>
      </c>
      <c r="AT30" s="47"/>
      <c r="AU30" s="57" t="s">
        <v>69</v>
      </c>
      <c r="AV30" s="47"/>
      <c r="AW30" s="47"/>
      <c r="AX30" s="1"/>
      <c r="AY30" s="47"/>
      <c r="AZ30" s="48"/>
      <c r="BA30" s="1"/>
      <c r="BB30" s="49">
        <f>max(100-sum(BB9:BB12)-sum(BB14:BB29)-sum(BB31:BB34) , 0)/2</f>
        <v>9.410021864</v>
      </c>
      <c r="BC30" s="26" t="s">
        <v>51</v>
      </c>
      <c r="BD30" s="1"/>
      <c r="BE30" s="47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>
      <c r="A31" s="3"/>
      <c r="B31" s="13" t="s">
        <v>92</v>
      </c>
      <c r="C31" s="1"/>
      <c r="D31" s="1"/>
      <c r="E31" s="1"/>
      <c r="F31" s="1"/>
      <c r="G31" s="18">
        <v>2.0</v>
      </c>
      <c r="H31" s="7" t="s">
        <v>14</v>
      </c>
      <c r="I31" s="16">
        <v>2.0</v>
      </c>
      <c r="J31" s="14" t="s">
        <v>116</v>
      </c>
      <c r="K31" s="11"/>
      <c r="L31" s="11"/>
      <c r="M31" s="1"/>
      <c r="N31" s="88">
        <f>-round(AO50*AO56/1000,0)*G31/I31</f>
        <v>-77</v>
      </c>
      <c r="P31" s="6" t="s">
        <v>18</v>
      </c>
      <c r="Q31" s="3"/>
      <c r="R31" s="3"/>
      <c r="S31" s="90">
        <v>2.0</v>
      </c>
      <c r="T31" s="1" t="s">
        <v>84</v>
      </c>
      <c r="U31" s="91" t="s">
        <v>117</v>
      </c>
      <c r="V31" s="48"/>
      <c r="W31" s="48"/>
      <c r="X31" s="48"/>
      <c r="Y31" s="48"/>
      <c r="Z31" s="24">
        <f>1*S31</f>
        <v>2</v>
      </c>
      <c r="AA31" s="25" t="s">
        <v>27</v>
      </c>
      <c r="AB31" s="75" t="s">
        <v>118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3"/>
      <c r="AP31" s="3"/>
      <c r="AQ31" s="45">
        <f t="shared" si="14"/>
        <v>85.25</v>
      </c>
      <c r="AR31" s="7" t="s">
        <v>49</v>
      </c>
      <c r="AS31" s="45">
        <f t="shared" si="3"/>
        <v>89.25</v>
      </c>
      <c r="AT31" s="47"/>
      <c r="AU31" s="57" t="s">
        <v>45</v>
      </c>
      <c r="AV31" s="47"/>
      <c r="AW31" s="47"/>
      <c r="AX31" s="1"/>
      <c r="AY31" s="47"/>
      <c r="AZ31" s="48"/>
      <c r="BA31" s="1"/>
      <c r="BB31" s="49">
        <v>5.0</v>
      </c>
      <c r="BC31" s="26" t="s">
        <v>51</v>
      </c>
      <c r="BD31" s="1"/>
      <c r="BE31" s="47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>
      <c r="A32" s="3"/>
      <c r="B32" s="13" t="s">
        <v>97</v>
      </c>
      <c r="C32" s="1"/>
      <c r="D32" s="1"/>
      <c r="E32" s="1"/>
      <c r="F32" s="1"/>
      <c r="G32" s="52">
        <v>1.0</v>
      </c>
      <c r="H32" s="7" t="s">
        <v>14</v>
      </c>
      <c r="I32" s="16">
        <v>2.0</v>
      </c>
      <c r="J32" s="87">
        <f>-SWITCH(G32, 0, 0, 1, K69/5, 2, K69, 0)</f>
        <v>-1</v>
      </c>
      <c r="L32" s="14" t="s">
        <v>18</v>
      </c>
      <c r="M32" s="1"/>
      <c r="N32" s="88">
        <f t="shared" ref="N32:N33" si="15">-J32</f>
        <v>1</v>
      </c>
      <c r="P32" s="6" t="s">
        <v>18</v>
      </c>
      <c r="Q32" s="3"/>
      <c r="R32" s="3"/>
      <c r="S32" s="48"/>
      <c r="T32" s="1"/>
      <c r="U32" s="92" t="s">
        <v>119</v>
      </c>
      <c r="V32" s="48"/>
      <c r="W32" s="48"/>
      <c r="X32" s="48"/>
      <c r="Y32" s="48"/>
      <c r="Z32" s="93">
        <v>1.0</v>
      </c>
      <c r="AA32" s="25" t="s">
        <v>27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3"/>
      <c r="AP32" s="3"/>
      <c r="AQ32" s="45">
        <f t="shared" si="14"/>
        <v>90.25</v>
      </c>
      <c r="AR32" s="7" t="s">
        <v>49</v>
      </c>
      <c r="AS32" s="45">
        <f t="shared" si="3"/>
        <v>90.25</v>
      </c>
      <c r="AT32" s="46" t="s">
        <v>50</v>
      </c>
      <c r="AU32" s="57" t="s">
        <v>33</v>
      </c>
      <c r="AV32" s="47"/>
      <c r="AW32" s="47"/>
      <c r="AX32" s="11"/>
      <c r="AY32" s="47"/>
      <c r="AZ32" s="48"/>
      <c r="BA32" s="1"/>
      <c r="BB32" s="49">
        <v>1.0</v>
      </c>
      <c r="BC32" s="26" t="s">
        <v>51</v>
      </c>
      <c r="BD32" s="1"/>
      <c r="BE32" s="47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>
      <c r="A33" s="3"/>
      <c r="B33" s="13" t="s">
        <v>111</v>
      </c>
      <c r="C33" s="1"/>
      <c r="D33" s="1"/>
      <c r="E33" s="1"/>
      <c r="F33" s="1"/>
      <c r="G33" s="18">
        <v>1.0</v>
      </c>
      <c r="H33" s="7" t="s">
        <v>14</v>
      </c>
      <c r="I33" s="16">
        <v>2.0</v>
      </c>
      <c r="J33" s="88">
        <f>-SWITCH(G33, 0, 0, 1, 0, 2, U56/5, 0)</f>
        <v>0</v>
      </c>
      <c r="L33" s="75" t="s">
        <v>18</v>
      </c>
      <c r="M33" s="1"/>
      <c r="N33" s="88">
        <f t="shared" si="15"/>
        <v>0</v>
      </c>
      <c r="P33" s="6" t="s">
        <v>18</v>
      </c>
      <c r="Q33" s="3"/>
      <c r="R33" s="3"/>
      <c r="S33" s="48"/>
      <c r="T33" s="1"/>
      <c r="U33" s="48"/>
      <c r="V33" s="48"/>
      <c r="W33" s="48"/>
      <c r="X33" s="48"/>
      <c r="Y33" s="48"/>
      <c r="Z33" s="77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3"/>
      <c r="AP33" s="3"/>
      <c r="AQ33" s="45">
        <f t="shared" si="14"/>
        <v>91.25</v>
      </c>
      <c r="AR33" s="7" t="s">
        <v>49</v>
      </c>
      <c r="AS33" s="45">
        <f t="shared" si="3"/>
        <v>99</v>
      </c>
      <c r="AT33" s="46" t="s">
        <v>50</v>
      </c>
      <c r="AU33" s="57" t="s">
        <v>120</v>
      </c>
      <c r="AV33" s="47"/>
      <c r="AW33" s="47"/>
      <c r="AX33" s="11"/>
      <c r="AY33" s="47"/>
      <c r="AZ33" s="48"/>
      <c r="BA33" s="1"/>
      <c r="BB33" s="49">
        <f>(G44-2)/2</f>
        <v>8.75</v>
      </c>
      <c r="BC33" s="26" t="s">
        <v>51</v>
      </c>
      <c r="BD33" s="1"/>
      <c r="BE33" s="47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>
      <c r="A34" s="3"/>
      <c r="B34" s="13" t="s">
        <v>120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88">
        <f>AK60*H10/100</f>
        <v>10</v>
      </c>
      <c r="P34" s="6" t="s">
        <v>18</v>
      </c>
      <c r="Q34" s="3"/>
      <c r="R34" s="3"/>
      <c r="S34" s="48"/>
      <c r="T34" s="1"/>
      <c r="U34" s="89" t="s">
        <v>121</v>
      </c>
      <c r="V34" s="48"/>
      <c r="W34" s="48"/>
      <c r="X34" s="48"/>
      <c r="Y34" s="48"/>
      <c r="Z34" s="94">
        <v>1.0</v>
      </c>
      <c r="AA34" s="1" t="s">
        <v>27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3"/>
      <c r="AP34" s="3"/>
      <c r="AQ34" s="95">
        <f t="shared" si="14"/>
        <v>100</v>
      </c>
      <c r="AR34" s="35" t="s">
        <v>49</v>
      </c>
      <c r="AS34" s="95">
        <f t="shared" si="3"/>
        <v>100</v>
      </c>
      <c r="AT34" s="96" t="s">
        <v>50</v>
      </c>
      <c r="AU34" s="97" t="s">
        <v>122</v>
      </c>
      <c r="AV34" s="71"/>
      <c r="AW34" s="2"/>
      <c r="AX34" s="2"/>
      <c r="AY34" s="2"/>
      <c r="AZ34" s="98"/>
      <c r="BA34" s="2"/>
      <c r="BB34" s="99">
        <f>1</f>
        <v>1</v>
      </c>
      <c r="BC34" s="33" t="s">
        <v>51</v>
      </c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>
      <c r="A35" s="3"/>
      <c r="B35" s="13" t="s">
        <v>122</v>
      </c>
      <c r="C35" s="1"/>
      <c r="D35" s="1"/>
      <c r="E35" s="1"/>
      <c r="F35" s="1"/>
      <c r="G35" s="1"/>
      <c r="H35" s="1"/>
      <c r="I35" s="1"/>
      <c r="J35" s="11"/>
      <c r="K35" s="11"/>
      <c r="L35" s="11"/>
      <c r="M35" s="1"/>
      <c r="N35" s="88">
        <f>AK62*H12/100</f>
        <v>100</v>
      </c>
      <c r="P35" s="6" t="s">
        <v>18</v>
      </c>
      <c r="Q35" s="3"/>
      <c r="R35" s="3"/>
      <c r="S35" s="48"/>
      <c r="T35" s="1"/>
      <c r="U35" s="48"/>
      <c r="V35" s="48"/>
      <c r="W35" s="48"/>
      <c r="X35" s="48"/>
      <c r="Y35" s="48"/>
      <c r="Z35" s="77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3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>
      <c r="A36" s="3"/>
      <c r="B36" s="13" t="s">
        <v>17</v>
      </c>
      <c r="C36" s="1"/>
      <c r="D36" s="1"/>
      <c r="E36" s="1"/>
      <c r="F36" s="1"/>
      <c r="G36" s="1"/>
      <c r="H36" s="1"/>
      <c r="I36" s="1"/>
      <c r="J36" s="87">
        <f>AL3/10</f>
        <v>0</v>
      </c>
      <c r="L36" s="14" t="s">
        <v>18</v>
      </c>
      <c r="M36" s="1"/>
      <c r="N36" s="88">
        <f t="shared" ref="N36:N37" si="16">-J36</f>
        <v>0</v>
      </c>
      <c r="P36" s="6" t="s">
        <v>18</v>
      </c>
      <c r="Q36" s="3"/>
      <c r="R36" s="3"/>
      <c r="S36" s="48"/>
      <c r="T36" s="1"/>
      <c r="U36" s="48"/>
      <c r="V36" s="48"/>
      <c r="W36" s="48"/>
      <c r="X36" s="48"/>
      <c r="Y36" s="48"/>
      <c r="Z36" s="77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3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>
      <c r="A37" s="3"/>
      <c r="B37" s="13" t="s">
        <v>15</v>
      </c>
      <c r="C37" s="1"/>
      <c r="D37" s="1"/>
      <c r="E37" s="1"/>
      <c r="F37" s="1"/>
      <c r="G37" s="1"/>
      <c r="H37" s="1"/>
      <c r="I37" s="1"/>
      <c r="J37" s="88">
        <f>-round(AD3*0.01,0)</f>
        <v>-2</v>
      </c>
      <c r="L37" s="75" t="s">
        <v>18</v>
      </c>
      <c r="M37" s="1"/>
      <c r="N37" s="88">
        <f t="shared" si="16"/>
        <v>2</v>
      </c>
      <c r="P37" s="6" t="s">
        <v>18</v>
      </c>
      <c r="Q37" s="3"/>
      <c r="R37" s="3"/>
      <c r="S37" s="48"/>
      <c r="T37" s="1"/>
      <c r="U37" s="48"/>
      <c r="V37" s="48"/>
      <c r="W37" s="48"/>
      <c r="X37" s="48"/>
      <c r="Y37" s="48"/>
      <c r="Z37" s="77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3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>
      <c r="A38" s="3"/>
      <c r="B38" s="28" t="s">
        <v>69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2">
        <f>-round(AN43*0.0025,0)</f>
        <v>-10</v>
      </c>
      <c r="O38" s="30"/>
      <c r="P38" s="28" t="s">
        <v>18</v>
      </c>
      <c r="Q38" s="40"/>
      <c r="R38" s="3"/>
      <c r="S38" s="98"/>
      <c r="T38" s="2"/>
      <c r="U38" s="98"/>
      <c r="V38" s="98"/>
      <c r="W38" s="98"/>
      <c r="X38" s="98"/>
      <c r="Y38" s="98"/>
      <c r="Z38" s="84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40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1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>
      <c r="A41" s="3"/>
      <c r="B41" s="42" t="s">
        <v>123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3"/>
      <c r="AJ41" s="3"/>
      <c r="AK41" s="13" t="s">
        <v>24</v>
      </c>
      <c r="AL41" s="1"/>
      <c r="AM41" s="1"/>
      <c r="AN41" s="24">
        <v>15.0</v>
      </c>
      <c r="AP41" s="25" t="s">
        <v>25</v>
      </c>
      <c r="AQ41" s="1"/>
      <c r="AR41" s="4" t="s">
        <v>124</v>
      </c>
      <c r="AS41" s="1"/>
      <c r="AT41" s="1"/>
      <c r="AU41" s="1"/>
      <c r="AV41" s="1"/>
      <c r="AW41" s="1"/>
      <c r="AX41" s="1"/>
      <c r="AY41" s="4" t="s">
        <v>125</v>
      </c>
      <c r="AZ41" s="1"/>
      <c r="BA41" s="1"/>
      <c r="BB41" s="1"/>
      <c r="BC41" s="1"/>
      <c r="BD41" s="3"/>
      <c r="BE41" s="1"/>
      <c r="BF41" s="1"/>
      <c r="BG41" s="1"/>
      <c r="BH41" s="1"/>
      <c r="BI41" s="1"/>
      <c r="BJ41" s="1"/>
      <c r="BK41" s="47"/>
      <c r="BL41" s="47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3"/>
      <c r="AJ42" s="3"/>
      <c r="AK42" s="13" t="s">
        <v>31</v>
      </c>
      <c r="AL42" s="1"/>
      <c r="AM42" s="1"/>
      <c r="AN42" s="24">
        <v>60.0</v>
      </c>
      <c r="AP42" s="25" t="s">
        <v>25</v>
      </c>
      <c r="AQ42" s="1"/>
      <c r="AR42" s="13" t="s">
        <v>26</v>
      </c>
      <c r="AS42" s="1"/>
      <c r="AT42" s="1"/>
      <c r="AU42" s="1"/>
      <c r="AV42" s="100">
        <v>400.0</v>
      </c>
      <c r="AX42" s="25" t="s">
        <v>27</v>
      </c>
      <c r="AY42" s="13" t="s">
        <v>26</v>
      </c>
      <c r="AZ42" s="1"/>
      <c r="BA42" s="1"/>
      <c r="BB42" s="1"/>
      <c r="BC42" s="22">
        <f>BC44+BC43</f>
        <v>354.024</v>
      </c>
      <c r="BD42" s="9"/>
      <c r="BE42" s="1"/>
      <c r="BF42" s="1"/>
      <c r="BG42" s="1"/>
      <c r="BH42" s="1"/>
      <c r="BI42" s="1"/>
      <c r="BJ42" s="1"/>
      <c r="BK42" s="47"/>
      <c r="BL42" s="47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>
      <c r="A43" s="3"/>
      <c r="B43" s="4" t="s">
        <v>106</v>
      </c>
      <c r="C43" s="1"/>
      <c r="D43" s="1"/>
      <c r="E43" s="1"/>
      <c r="F43" s="1"/>
      <c r="G43" s="22">
        <f>sum(G44:G58)</f>
        <v>85.94935065</v>
      </c>
      <c r="I43" s="25" t="s">
        <v>51</v>
      </c>
      <c r="J43" s="1"/>
      <c r="K43" s="12" t="s">
        <v>108</v>
      </c>
      <c r="L43" s="1"/>
      <c r="M43" s="4" t="s">
        <v>126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3"/>
      <c r="AJ43" s="3"/>
      <c r="AK43" s="13" t="s">
        <v>127</v>
      </c>
      <c r="AL43" s="1"/>
      <c r="AM43" s="1"/>
      <c r="AN43" s="88">
        <f>AN42*AN41*4+(AN41^2)*2</f>
        <v>4050</v>
      </c>
      <c r="AP43" s="25" t="s">
        <v>128</v>
      </c>
      <c r="AQ43" s="1"/>
      <c r="AR43" s="13" t="s">
        <v>129</v>
      </c>
      <c r="AS43" s="1"/>
      <c r="AT43" s="1"/>
      <c r="AU43" s="1"/>
      <c r="AV43" s="22">
        <f>round(AV42-AV44,0)</f>
        <v>92</v>
      </c>
      <c r="AX43" s="25" t="s">
        <v>27</v>
      </c>
      <c r="AY43" s="13" t="s">
        <v>129</v>
      </c>
      <c r="AZ43" s="1"/>
      <c r="BA43" s="1"/>
      <c r="BB43" s="1"/>
      <c r="BC43" s="22">
        <f>AV43*(Q10+Q11+Q12)/100</f>
        <v>92</v>
      </c>
      <c r="BD43" s="9"/>
      <c r="BE43" s="1"/>
      <c r="BF43" s="1"/>
      <c r="BG43" s="1"/>
      <c r="BH43" s="1"/>
      <c r="BI43" s="1"/>
      <c r="BJ43" s="1"/>
      <c r="BK43" s="47"/>
      <c r="BL43" s="47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</row>
    <row r="44">
      <c r="A44" s="3"/>
      <c r="B44" s="13" t="s">
        <v>120</v>
      </c>
      <c r="C44" s="1"/>
      <c r="D44" s="1"/>
      <c r="E44" s="1"/>
      <c r="F44" s="1"/>
      <c r="G44" s="22">
        <f t="shared" ref="G44:G45" si="17">round(100*K44/$AV$44,1)</f>
        <v>19.5</v>
      </c>
      <c r="H44" s="1"/>
      <c r="I44" s="25" t="s">
        <v>51</v>
      </c>
      <c r="J44" s="1"/>
      <c r="K44" s="101">
        <v>60.0</v>
      </c>
      <c r="L44" s="25" t="s">
        <v>27</v>
      </c>
      <c r="M44" s="13" t="s">
        <v>130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3"/>
      <c r="AJ44" s="3"/>
      <c r="AK44" s="13" t="s">
        <v>131</v>
      </c>
      <c r="AL44" s="1"/>
      <c r="AM44" s="1"/>
      <c r="AN44" s="22">
        <f>(PI()*AN41^2/4)*AN42</f>
        <v>10602.87521</v>
      </c>
      <c r="AP44" s="25" t="s">
        <v>132</v>
      </c>
      <c r="AQ44" s="1"/>
      <c r="AR44" s="13" t="s">
        <v>32</v>
      </c>
      <c r="AS44" s="1"/>
      <c r="AT44" s="1"/>
      <c r="AU44" s="1"/>
      <c r="AV44" s="32">
        <f>round(AV42/AV45,0)</f>
        <v>308</v>
      </c>
      <c r="AW44" s="30"/>
      <c r="AX44" s="79" t="s">
        <v>27</v>
      </c>
      <c r="AY44" s="13" t="s">
        <v>32</v>
      </c>
      <c r="AZ44" s="1"/>
      <c r="BA44" s="1"/>
      <c r="BB44" s="1"/>
      <c r="BC44" s="32">
        <f>AV44*G43/100+Z25-AC25</f>
        <v>262.024</v>
      </c>
      <c r="BD44" s="37"/>
      <c r="BE44" s="1"/>
      <c r="BF44" s="1"/>
      <c r="BG44" s="1"/>
      <c r="BH44" s="1"/>
      <c r="BI44" s="1"/>
      <c r="BJ44" s="1"/>
      <c r="BK44" s="41"/>
      <c r="BL44" s="4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>
      <c r="A45" s="3"/>
      <c r="B45" s="13" t="s">
        <v>122</v>
      </c>
      <c r="C45" s="1"/>
      <c r="D45" s="1"/>
      <c r="E45" s="1"/>
      <c r="F45" s="1"/>
      <c r="G45" s="88">
        <f t="shared" si="17"/>
        <v>0</v>
      </c>
      <c r="H45" s="1"/>
      <c r="I45" s="25" t="s">
        <v>51</v>
      </c>
      <c r="J45" s="1"/>
      <c r="K45" s="102"/>
      <c r="L45" s="25" t="s">
        <v>27</v>
      </c>
      <c r="M45" s="13" t="s">
        <v>133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3"/>
      <c r="AJ45" s="3"/>
      <c r="AK45" s="28" t="s">
        <v>134</v>
      </c>
      <c r="AL45" s="2"/>
      <c r="AM45" s="2"/>
      <c r="AN45" s="103">
        <f>AV42/AN44</f>
        <v>0.03772561614</v>
      </c>
      <c r="AO45" s="30"/>
      <c r="AP45" s="28" t="s">
        <v>135</v>
      </c>
      <c r="AQ45" s="2"/>
      <c r="AR45" s="28" t="s">
        <v>136</v>
      </c>
      <c r="AS45" s="2"/>
      <c r="AT45" s="2"/>
      <c r="AU45" s="2"/>
      <c r="AV45" s="104">
        <v>1.3</v>
      </c>
      <c r="AW45" s="30"/>
      <c r="AX45" s="2"/>
      <c r="AY45" s="28" t="s">
        <v>136</v>
      </c>
      <c r="AZ45" s="2"/>
      <c r="BA45" s="2"/>
      <c r="BB45" s="2"/>
      <c r="BC45" s="105">
        <f>BC42/BC44</f>
        <v>1.351112875</v>
      </c>
      <c r="BD45" s="37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>
      <c r="A46" s="3"/>
      <c r="B46" s="13" t="s">
        <v>68</v>
      </c>
      <c r="C46" s="1"/>
      <c r="D46" s="1"/>
      <c r="E46" s="1"/>
      <c r="F46" s="1"/>
      <c r="G46" s="24">
        <v>1.0</v>
      </c>
      <c r="H46" s="1"/>
      <c r="I46" s="25" t="s">
        <v>51</v>
      </c>
      <c r="J46" s="1"/>
      <c r="K46" s="88">
        <f t="shared" ref="K46:K51" si="18">$AV$44*G46/100</f>
        <v>3.08</v>
      </c>
      <c r="L46" s="25" t="s">
        <v>27</v>
      </c>
      <c r="M46" s="13" t="s">
        <v>137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3"/>
      <c r="AJ46" s="1"/>
      <c r="AK46" s="2"/>
      <c r="AL46" s="2"/>
      <c r="AM46" s="2"/>
      <c r="AN46" s="2"/>
      <c r="AO46" s="2"/>
      <c r="AP46" s="2"/>
      <c r="AQ46" s="2"/>
      <c r="AR46" s="2"/>
      <c r="AS46" s="2"/>
      <c r="AT46" s="1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>
      <c r="A47" s="3"/>
      <c r="B47" s="13" t="s">
        <v>13</v>
      </c>
      <c r="C47" s="1"/>
      <c r="D47" s="1"/>
      <c r="E47" s="1"/>
      <c r="F47" s="1"/>
      <c r="G47" s="24">
        <v>5.0</v>
      </c>
      <c r="H47" s="1"/>
      <c r="I47" s="25" t="s">
        <v>51</v>
      </c>
      <c r="J47" s="1"/>
      <c r="K47" s="88">
        <f t="shared" si="18"/>
        <v>15.4</v>
      </c>
      <c r="L47" s="25" t="s">
        <v>27</v>
      </c>
      <c r="M47" s="13" t="s">
        <v>138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3"/>
      <c r="AJ47" s="3"/>
      <c r="AK47" s="4" t="s">
        <v>139</v>
      </c>
      <c r="AL47" s="1"/>
      <c r="AM47" s="1"/>
      <c r="AN47" s="1"/>
      <c r="AO47" s="1"/>
      <c r="AP47" s="1"/>
      <c r="AQ47" s="1"/>
      <c r="AR47" s="1"/>
      <c r="AS47" s="3"/>
      <c r="AT47" s="3"/>
      <c r="AU47" s="4" t="s">
        <v>140</v>
      </c>
      <c r="AV47" s="1"/>
      <c r="AW47" s="1"/>
      <c r="AX47" s="1"/>
      <c r="AY47" s="1"/>
      <c r="AZ47" s="1"/>
      <c r="BA47" s="1"/>
      <c r="BB47" s="1"/>
      <c r="BC47" s="1"/>
      <c r="BD47" s="3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>
      <c r="A48" s="3"/>
      <c r="B48" s="13" t="s">
        <v>21</v>
      </c>
      <c r="C48" s="1"/>
      <c r="D48" s="1"/>
      <c r="E48" s="1"/>
      <c r="F48" s="1"/>
      <c r="G48" s="24">
        <v>5.0</v>
      </c>
      <c r="H48" s="1"/>
      <c r="I48" s="25" t="s">
        <v>51</v>
      </c>
      <c r="J48" s="1"/>
      <c r="K48" s="88">
        <f t="shared" si="18"/>
        <v>15.4</v>
      </c>
      <c r="L48" s="25" t="s">
        <v>27</v>
      </c>
      <c r="M48" s="13" t="s">
        <v>141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3"/>
      <c r="AJ48" s="3"/>
      <c r="AK48" s="13" t="s">
        <v>142</v>
      </c>
      <c r="AL48" s="1"/>
      <c r="AM48" s="1"/>
      <c r="AN48" s="1"/>
      <c r="AO48" s="106" t="s">
        <v>143</v>
      </c>
      <c r="AS48" s="3"/>
      <c r="AT48" s="3"/>
      <c r="AU48" s="13" t="s">
        <v>142</v>
      </c>
      <c r="AV48" s="1"/>
      <c r="AW48" s="1"/>
      <c r="AX48" s="1"/>
      <c r="AY48" s="1"/>
      <c r="AZ48" s="76" t="s">
        <v>144</v>
      </c>
      <c r="BA48" s="77"/>
      <c r="BB48" s="77"/>
      <c r="BC48" s="77"/>
      <c r="BD48" s="3"/>
      <c r="BE48" s="1"/>
      <c r="BF48" s="1"/>
      <c r="BG48" s="47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>
      <c r="A49" s="3"/>
      <c r="B49" s="13" t="s">
        <v>33</v>
      </c>
      <c r="C49" s="1"/>
      <c r="D49" s="1"/>
      <c r="E49" s="1"/>
      <c r="F49" s="1"/>
      <c r="G49" s="24">
        <v>5.0</v>
      </c>
      <c r="H49" s="1"/>
      <c r="I49" s="25" t="s">
        <v>51</v>
      </c>
      <c r="J49" s="1"/>
      <c r="K49" s="88">
        <f t="shared" si="18"/>
        <v>15.4</v>
      </c>
      <c r="L49" s="25" t="s">
        <v>27</v>
      </c>
      <c r="M49" s="13" t="s">
        <v>145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3"/>
      <c r="AJ49" s="3"/>
      <c r="AK49" s="13" t="s">
        <v>146</v>
      </c>
      <c r="AL49" s="1"/>
      <c r="AM49" s="1"/>
      <c r="AN49" s="1"/>
      <c r="AO49" s="24">
        <v>40.0</v>
      </c>
      <c r="AP49" s="9"/>
      <c r="AQ49" s="13" t="s">
        <v>147</v>
      </c>
      <c r="AR49" s="1"/>
      <c r="AS49" s="3"/>
      <c r="AT49" s="3"/>
      <c r="AU49" s="13" t="s">
        <v>148</v>
      </c>
      <c r="AV49" s="1"/>
      <c r="AW49" s="107"/>
      <c r="AX49" s="107"/>
      <c r="AY49" s="107"/>
      <c r="AZ49" s="108">
        <v>0.5</v>
      </c>
      <c r="BB49" s="13" t="s">
        <v>149</v>
      </c>
      <c r="BC49" s="1"/>
      <c r="BD49" s="3"/>
      <c r="BE49" s="1"/>
      <c r="BF49" s="1"/>
      <c r="BG49" s="4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>
      <c r="A50" s="3"/>
      <c r="B50" s="13" t="s">
        <v>150</v>
      </c>
      <c r="C50" s="1"/>
      <c r="D50" s="1"/>
      <c r="E50" s="1"/>
      <c r="F50" s="1"/>
      <c r="G50" s="100">
        <v>5.0</v>
      </c>
      <c r="H50" s="1"/>
      <c r="I50" s="25" t="s">
        <v>51</v>
      </c>
      <c r="J50" s="1"/>
      <c r="K50" s="88">
        <f t="shared" si="18"/>
        <v>15.4</v>
      </c>
      <c r="L50" s="25" t="s">
        <v>27</v>
      </c>
      <c r="M50" s="13" t="s">
        <v>151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3"/>
      <c r="AJ50" s="3"/>
      <c r="AK50" s="13" t="s">
        <v>127</v>
      </c>
      <c r="AL50" s="1"/>
      <c r="AM50" s="1"/>
      <c r="AN50" s="1"/>
      <c r="AO50" s="109">
        <f>1000*K50/AO49</f>
        <v>385</v>
      </c>
      <c r="AR50" s="25" t="s">
        <v>128</v>
      </c>
      <c r="AS50" s="3"/>
      <c r="AT50" s="3"/>
      <c r="AU50" s="13" t="s">
        <v>152</v>
      </c>
      <c r="AV50" s="1"/>
      <c r="AW50" s="1"/>
      <c r="AX50" s="1"/>
      <c r="AY50" s="1"/>
      <c r="AZ50" s="24">
        <v>50.0</v>
      </c>
      <c r="BB50" s="13" t="s">
        <v>153</v>
      </c>
      <c r="BC50" s="1"/>
      <c r="BD50" s="3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>
      <c r="A51" s="3"/>
      <c r="B51" s="13" t="s">
        <v>17</v>
      </c>
      <c r="C51" s="1"/>
      <c r="D51" s="1"/>
      <c r="E51" s="1"/>
      <c r="F51" s="1"/>
      <c r="G51" s="24">
        <v>5.0</v>
      </c>
      <c r="H51" s="1"/>
      <c r="I51" s="25" t="s">
        <v>51</v>
      </c>
      <c r="J51" s="1"/>
      <c r="K51" s="88">
        <f t="shared" si="18"/>
        <v>15.4</v>
      </c>
      <c r="L51" s="25" t="s">
        <v>27</v>
      </c>
      <c r="M51" s="13" t="s">
        <v>154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3"/>
      <c r="AJ51" s="3"/>
      <c r="AK51" s="13" t="s">
        <v>155</v>
      </c>
      <c r="AL51" s="1"/>
      <c r="AM51" s="1"/>
      <c r="AN51" s="1"/>
      <c r="AO51" s="88">
        <v>2.0</v>
      </c>
      <c r="AR51" s="1"/>
      <c r="AS51" s="3"/>
      <c r="AT51" s="3"/>
      <c r="AU51" s="75" t="s">
        <v>156</v>
      </c>
      <c r="AV51" s="1"/>
      <c r="AW51" s="1"/>
      <c r="AX51" s="1"/>
      <c r="AY51" s="1"/>
      <c r="AZ51" s="24">
        <v>1.0</v>
      </c>
      <c r="BB51" s="13" t="s">
        <v>157</v>
      </c>
      <c r="BC51" s="1"/>
      <c r="BD51" s="3"/>
      <c r="BE51" s="1"/>
      <c r="BF51" s="1"/>
      <c r="BG51" s="4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</row>
    <row r="52">
      <c r="A52" s="3"/>
      <c r="B52" s="13" t="s">
        <v>15</v>
      </c>
      <c r="C52" s="1"/>
      <c r="D52" s="1"/>
      <c r="E52" s="1"/>
      <c r="F52" s="1"/>
      <c r="G52" s="77"/>
      <c r="H52" s="1"/>
      <c r="I52" s="25" t="s">
        <v>51</v>
      </c>
      <c r="J52" s="1"/>
      <c r="K52" s="88">
        <v>0.1</v>
      </c>
      <c r="L52" s="25" t="s">
        <v>27</v>
      </c>
      <c r="M52" s="110" t="s">
        <v>158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3"/>
      <c r="AJ52" s="3"/>
      <c r="AK52" s="13" t="s">
        <v>159</v>
      </c>
      <c r="AL52" s="1"/>
      <c r="AM52" s="1"/>
      <c r="AN52" s="1"/>
      <c r="AO52" s="24">
        <v>1.0</v>
      </c>
      <c r="AR52" s="1"/>
      <c r="AS52" s="3"/>
      <c r="AT52" s="3"/>
      <c r="AU52" s="13" t="s">
        <v>160</v>
      </c>
      <c r="AV52" s="1"/>
      <c r="AW52" s="1"/>
      <c r="AX52" s="1"/>
      <c r="AY52" s="1"/>
      <c r="AZ52" s="111">
        <f>K55/AN43*1000*1000/10000</f>
        <v>0.7604938272</v>
      </c>
      <c r="BB52" s="13" t="s">
        <v>157</v>
      </c>
      <c r="BC52" s="1"/>
      <c r="BD52" s="3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</row>
    <row r="53">
      <c r="A53" s="3"/>
      <c r="B53" s="13" t="s">
        <v>97</v>
      </c>
      <c r="C53" s="1"/>
      <c r="D53" s="1"/>
      <c r="E53" s="1"/>
      <c r="F53" s="1"/>
      <c r="G53" s="24">
        <v>5.0</v>
      </c>
      <c r="H53" s="1"/>
      <c r="I53" s="25" t="s">
        <v>51</v>
      </c>
      <c r="J53" s="1"/>
      <c r="K53" s="88">
        <f t="shared" ref="K53:K55" si="19">$AV$44*G53/100</f>
        <v>15.4</v>
      </c>
      <c r="L53" s="25" t="s">
        <v>27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3"/>
      <c r="AJ53" s="3"/>
      <c r="AK53" s="13" t="s">
        <v>161</v>
      </c>
      <c r="AL53" s="1"/>
      <c r="AM53" s="1"/>
      <c r="AN53" s="1"/>
      <c r="AO53" s="24" t="s">
        <v>162</v>
      </c>
      <c r="AR53" s="1"/>
      <c r="AS53" s="3"/>
      <c r="AT53" s="3"/>
      <c r="AU53" s="1"/>
      <c r="AV53" s="75" t="s">
        <v>23</v>
      </c>
      <c r="AW53" s="112">
        <v>100.0</v>
      </c>
      <c r="AX53" s="53" t="s">
        <v>51</v>
      </c>
      <c r="AY53" s="113" t="s">
        <v>58</v>
      </c>
      <c r="AZ53" s="114">
        <f>$AZ$52*AW53/100*4</f>
        <v>3.041975309</v>
      </c>
      <c r="BB53" s="13" t="s">
        <v>157</v>
      </c>
      <c r="BC53" s="1"/>
      <c r="BD53" s="3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</row>
    <row r="54">
      <c r="A54" s="3"/>
      <c r="B54" s="13" t="s">
        <v>69</v>
      </c>
      <c r="C54" s="1"/>
      <c r="D54" s="1"/>
      <c r="E54" s="1"/>
      <c r="F54" s="1"/>
      <c r="G54" s="24">
        <v>10.0</v>
      </c>
      <c r="H54" s="1"/>
      <c r="I54" s="25" t="s">
        <v>51</v>
      </c>
      <c r="J54" s="1"/>
      <c r="K54" s="88">
        <f t="shared" si="19"/>
        <v>30.8</v>
      </c>
      <c r="L54" s="25" t="s">
        <v>27</v>
      </c>
      <c r="M54" s="13" t="s">
        <v>163</v>
      </c>
      <c r="N54" s="1"/>
      <c r="O54" s="1"/>
      <c r="P54" s="1"/>
      <c r="Q54" s="1"/>
      <c r="R54" s="1"/>
      <c r="S54" s="47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3"/>
      <c r="AJ54" s="3"/>
      <c r="AK54" s="13" t="s">
        <v>31</v>
      </c>
      <c r="AL54" s="1"/>
      <c r="AM54" s="1"/>
      <c r="AN54" s="1"/>
      <c r="AO54" s="22">
        <f>sqrt(AO50/AO51*if(AO53="Triangle",2,1))*AO52</f>
        <v>19.62141687</v>
      </c>
      <c r="AR54" s="25" t="s">
        <v>25</v>
      </c>
      <c r="AS54" s="3"/>
      <c r="AT54" s="3"/>
      <c r="AU54" s="1"/>
      <c r="AV54" s="75" t="s">
        <v>30</v>
      </c>
      <c r="AW54" s="112">
        <v>0.0</v>
      </c>
      <c r="AX54" s="53" t="s">
        <v>51</v>
      </c>
      <c r="AY54" s="113" t="s">
        <v>58</v>
      </c>
      <c r="AZ54" s="114">
        <f>$AZ$52*AW54/100*1</f>
        <v>0</v>
      </c>
      <c r="BB54" s="13" t="s">
        <v>157</v>
      </c>
      <c r="BC54" s="1"/>
      <c r="BD54" s="3"/>
      <c r="BE54" s="1"/>
      <c r="BF54" s="1"/>
      <c r="BG54" s="47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</row>
    <row r="55">
      <c r="A55" s="3"/>
      <c r="B55" s="13" t="s">
        <v>164</v>
      </c>
      <c r="C55" s="1"/>
      <c r="D55" s="1"/>
      <c r="E55" s="1"/>
      <c r="F55" s="1"/>
      <c r="G55" s="24">
        <v>10.0</v>
      </c>
      <c r="H55" s="1"/>
      <c r="I55" s="25" t="s">
        <v>51</v>
      </c>
      <c r="J55" s="1"/>
      <c r="K55" s="22">
        <f t="shared" si="19"/>
        <v>30.8</v>
      </c>
      <c r="L55" s="25" t="s">
        <v>27</v>
      </c>
      <c r="M55" s="1"/>
      <c r="N55" s="1"/>
      <c r="O55" s="1"/>
      <c r="P55" s="1"/>
      <c r="Q55" s="1"/>
      <c r="R55" s="1"/>
      <c r="S55" s="1"/>
      <c r="T55" s="1"/>
      <c r="U55" s="13" t="s">
        <v>165</v>
      </c>
      <c r="V55" s="1"/>
      <c r="W55" s="1"/>
      <c r="X55" s="13" t="s">
        <v>127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3"/>
      <c r="AJ55" s="3"/>
      <c r="AK55" s="6" t="s">
        <v>24</v>
      </c>
      <c r="AL55" s="1"/>
      <c r="AM55" s="1"/>
      <c r="AN55" s="1"/>
      <c r="AO55" s="22">
        <f>sqrt(AO50/AO51*if(AO53="Triangle",2,1))*1/AO52</f>
        <v>19.62141687</v>
      </c>
      <c r="AR55" s="25" t="s">
        <v>25</v>
      </c>
      <c r="AS55" s="3"/>
      <c r="AT55" s="3"/>
      <c r="AU55" s="1"/>
      <c r="AV55" s="75" t="s">
        <v>36</v>
      </c>
      <c r="AW55" s="27">
        <f>100-AW54-AW53</f>
        <v>0</v>
      </c>
      <c r="AX55" s="25" t="s">
        <v>51</v>
      </c>
      <c r="AY55" s="55" t="s">
        <v>58</v>
      </c>
      <c r="AZ55" s="114">
        <f>$AZ$52*AW55/100*2</f>
        <v>0</v>
      </c>
      <c r="BB55" s="13" t="s">
        <v>157</v>
      </c>
      <c r="BC55" s="1"/>
      <c r="BD55" s="3"/>
      <c r="BE55" s="1"/>
      <c r="BF55" s="1"/>
      <c r="BG55" s="47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</row>
    <row r="56">
      <c r="A56" s="3"/>
      <c r="B56" s="13" t="s">
        <v>111</v>
      </c>
      <c r="C56" s="1"/>
      <c r="D56" s="1"/>
      <c r="E56" s="1"/>
      <c r="F56" s="1"/>
      <c r="G56" s="88">
        <f>round(100*K56/$AV$44,1)</f>
        <v>1.3</v>
      </c>
      <c r="H56" s="1"/>
      <c r="I56" s="25" t="s">
        <v>51</v>
      </c>
      <c r="J56" s="1"/>
      <c r="K56" s="115">
        <f>round(2*U56*PI()*0.5*0.04,0)</f>
        <v>4</v>
      </c>
      <c r="L56" s="25" t="s">
        <v>27</v>
      </c>
      <c r="M56" s="13" t="s">
        <v>166</v>
      </c>
      <c r="N56" s="1"/>
      <c r="O56" s="1"/>
      <c r="P56" s="1"/>
      <c r="Q56" s="1"/>
      <c r="R56" s="1"/>
      <c r="S56" s="1"/>
      <c r="T56" s="1"/>
      <c r="U56" s="24">
        <v>30.0</v>
      </c>
      <c r="W56" s="25" t="s">
        <v>25</v>
      </c>
      <c r="X56" s="22">
        <f>2*PI()*U56</f>
        <v>188.4955592</v>
      </c>
      <c r="Z56" s="1" t="s">
        <v>128</v>
      </c>
      <c r="AA56" s="1"/>
      <c r="AB56" s="1"/>
      <c r="AC56" s="1"/>
      <c r="AD56" s="1"/>
      <c r="AE56" s="1"/>
      <c r="AF56" s="1"/>
      <c r="AG56" s="1"/>
      <c r="AH56" s="1"/>
      <c r="AI56" s="3"/>
      <c r="AJ56" s="3"/>
      <c r="AK56" s="116" t="s">
        <v>167</v>
      </c>
      <c r="AL56" s="71"/>
      <c r="AM56" s="2"/>
      <c r="AN56" s="2"/>
      <c r="AO56" s="29">
        <v>200.0</v>
      </c>
      <c r="AP56" s="37"/>
      <c r="AQ56" s="28" t="s">
        <v>168</v>
      </c>
      <c r="AR56" s="2"/>
      <c r="AS56" s="40"/>
      <c r="AT56" s="3"/>
      <c r="AU56" s="2"/>
      <c r="AV56" s="2"/>
      <c r="AW56" s="2"/>
      <c r="AX56" s="2"/>
      <c r="AY56" s="2"/>
      <c r="AZ56" s="2"/>
      <c r="BA56" s="2"/>
      <c r="BB56" s="2"/>
      <c r="BC56" s="2"/>
      <c r="BD56" s="40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</row>
    <row r="57">
      <c r="A57" s="3"/>
      <c r="B57" s="13" t="s">
        <v>88</v>
      </c>
      <c r="C57" s="1"/>
      <c r="D57" s="1"/>
      <c r="E57" s="1"/>
      <c r="F57" s="1"/>
      <c r="G57" s="93">
        <v>2.5</v>
      </c>
      <c r="H57" s="1"/>
      <c r="I57" s="25" t="s">
        <v>51</v>
      </c>
      <c r="J57" s="1"/>
      <c r="K57" s="22">
        <f>$AV$44*G57/100</f>
        <v>7.7</v>
      </c>
      <c r="L57" s="25" t="s">
        <v>27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3"/>
      <c r="AJ57" s="1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</row>
    <row r="58">
      <c r="A58" s="3"/>
      <c r="B58" s="13" t="s">
        <v>169</v>
      </c>
      <c r="C58" s="1"/>
      <c r="D58" s="1"/>
      <c r="E58" s="1"/>
      <c r="F58" s="1"/>
      <c r="G58" s="22">
        <f>K58/AV44*100</f>
        <v>11.64935065</v>
      </c>
      <c r="H58" s="1"/>
      <c r="I58" s="25" t="s">
        <v>51</v>
      </c>
      <c r="J58" s="1"/>
      <c r="K58" s="22">
        <f>sum(K69:K78)+K60</f>
        <v>35.88</v>
      </c>
      <c r="L58" s="25" t="s">
        <v>27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3"/>
      <c r="AJ58" s="3"/>
      <c r="AK58" s="10" t="s">
        <v>170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3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</row>
    <row r="59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3"/>
      <c r="AJ59" s="1"/>
      <c r="AK59" s="4" t="s">
        <v>171</v>
      </c>
      <c r="AL59" s="1"/>
      <c r="AM59" s="1"/>
      <c r="AN59" s="1"/>
      <c r="AO59" s="1"/>
      <c r="AP59" s="1"/>
      <c r="AQ59" s="1"/>
      <c r="AR59" s="1"/>
      <c r="AS59" s="12" t="s">
        <v>172</v>
      </c>
      <c r="AT59" s="1"/>
      <c r="AU59" s="1"/>
      <c r="AV59" s="1"/>
      <c r="AW59" s="117" t="s">
        <v>173</v>
      </c>
      <c r="AX59" s="1"/>
      <c r="AY59" s="1"/>
      <c r="AZ59" s="1"/>
      <c r="BA59" s="4" t="s">
        <v>174</v>
      </c>
      <c r="BB59" s="1"/>
      <c r="BC59" s="1"/>
      <c r="BD59" s="3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</row>
    <row r="60">
      <c r="A60" s="3"/>
      <c r="B60" s="4" t="s">
        <v>175</v>
      </c>
      <c r="C60" s="1"/>
      <c r="D60" s="1"/>
      <c r="E60" s="1"/>
      <c r="F60" s="1"/>
      <c r="G60" s="22">
        <f>K60/AV44*100</f>
        <v>8.376623377</v>
      </c>
      <c r="H60" s="25" t="s">
        <v>51</v>
      </c>
      <c r="I60" s="12" t="s">
        <v>176</v>
      </c>
      <c r="J60" s="1"/>
      <c r="K60" s="22">
        <f>K61*G61+G62*K62+G63*K63*G64*K64+G65*K65+sum(K67:K68)</f>
        <v>25.8</v>
      </c>
      <c r="L60" s="25" t="s">
        <v>27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3"/>
      <c r="AJ60" s="3"/>
      <c r="AK60" s="24">
        <v>100.0</v>
      </c>
      <c r="AM60" s="13" t="s">
        <v>177</v>
      </c>
      <c r="AN60" s="1"/>
      <c r="AO60" s="13" t="s">
        <v>178</v>
      </c>
      <c r="AP60" s="1"/>
      <c r="AQ60" s="1"/>
      <c r="AR60" s="1"/>
      <c r="AS60" s="27">
        <f t="shared" ref="AS60:AS62" si="20">0.01*60*L10</f>
        <v>0.4842286721</v>
      </c>
      <c r="AT60" s="13" t="s">
        <v>179</v>
      </c>
      <c r="AU60" s="1"/>
      <c r="AV60" s="1"/>
      <c r="AW60" s="24">
        <v>7.0</v>
      </c>
      <c r="AX60" s="13" t="s">
        <v>180</v>
      </c>
      <c r="AY60" s="1"/>
      <c r="AZ60" s="1"/>
      <c r="BA60" s="22">
        <f>2*H10/AW60</f>
        <v>2.857142857</v>
      </c>
      <c r="BB60" s="1"/>
      <c r="BC60" s="13" t="s">
        <v>181</v>
      </c>
      <c r="BD60" s="3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</row>
    <row r="61">
      <c r="A61" s="3"/>
      <c r="B61" s="13" t="s">
        <v>65</v>
      </c>
      <c r="C61" s="1"/>
      <c r="D61" s="1"/>
      <c r="E61" s="1"/>
      <c r="F61" s="1"/>
      <c r="G61" s="115">
        <v>1.0</v>
      </c>
      <c r="H61" s="25" t="s">
        <v>84</v>
      </c>
      <c r="I61" s="16">
        <v>4.0</v>
      </c>
      <c r="J61" s="1" t="s">
        <v>25</v>
      </c>
      <c r="K61" s="94">
        <v>8.0</v>
      </c>
      <c r="L61" s="1" t="s">
        <v>27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3"/>
      <c r="AJ61" s="3"/>
      <c r="AK61" s="1"/>
      <c r="AL61" s="1"/>
      <c r="AM61" s="1"/>
      <c r="AN61" s="1"/>
      <c r="AO61" s="13" t="s">
        <v>182</v>
      </c>
      <c r="AP61" s="1"/>
      <c r="AQ61" s="1"/>
      <c r="AR61" s="1"/>
      <c r="AS61" s="27">
        <f t="shared" si="20"/>
        <v>0.1694800353</v>
      </c>
      <c r="AT61" s="13" t="s">
        <v>179</v>
      </c>
      <c r="AU61" s="1"/>
      <c r="AV61" s="1"/>
      <c r="AW61" s="24">
        <v>20.0</v>
      </c>
      <c r="AX61" s="13" t="s">
        <v>180</v>
      </c>
      <c r="AY61" s="1"/>
      <c r="AZ61" s="1"/>
      <c r="BA61" s="22">
        <f>2*H10/AW61</f>
        <v>1</v>
      </c>
      <c r="BB61" s="1"/>
      <c r="BC61" s="13" t="s">
        <v>181</v>
      </c>
      <c r="BD61" s="3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</row>
    <row r="62">
      <c r="A62" s="3"/>
      <c r="B62" s="6" t="s">
        <v>87</v>
      </c>
      <c r="C62" s="1"/>
      <c r="D62" s="1"/>
      <c r="E62" s="1"/>
      <c r="F62" s="1"/>
      <c r="G62" s="24">
        <v>2.0</v>
      </c>
      <c r="H62" s="25" t="s">
        <v>84</v>
      </c>
      <c r="I62" s="16">
        <v>2.0</v>
      </c>
      <c r="J62" s="1" t="s">
        <v>25</v>
      </c>
      <c r="K62" s="118">
        <v>2.0</v>
      </c>
      <c r="L62" s="1" t="s">
        <v>27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3"/>
      <c r="AJ62" s="3"/>
      <c r="AK62" s="29">
        <v>100.0</v>
      </c>
      <c r="AL62" s="30"/>
      <c r="AM62" s="28" t="s">
        <v>177</v>
      </c>
      <c r="AN62" s="2"/>
      <c r="AO62" s="28" t="s">
        <v>183</v>
      </c>
      <c r="AP62" s="2"/>
      <c r="AQ62" s="2"/>
      <c r="AR62" s="2"/>
      <c r="AS62" s="39">
        <f t="shared" si="20"/>
        <v>0.4842286721</v>
      </c>
      <c r="AT62" s="28" t="s">
        <v>179</v>
      </c>
      <c r="AU62" s="2"/>
      <c r="AV62" s="2"/>
      <c r="AW62" s="29">
        <v>70.0</v>
      </c>
      <c r="AX62" s="28" t="s">
        <v>180</v>
      </c>
      <c r="AY62" s="2"/>
      <c r="AZ62" s="2"/>
      <c r="BA62" s="32">
        <f>2*H12/AW62</f>
        <v>2.857142857</v>
      </c>
      <c r="BB62" s="2"/>
      <c r="BC62" s="31" t="s">
        <v>184</v>
      </c>
      <c r="BD62" s="40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>
      <c r="A63" s="3"/>
      <c r="B63" s="13" t="s">
        <v>89</v>
      </c>
      <c r="C63" s="1"/>
      <c r="D63" s="1"/>
      <c r="E63" s="1"/>
      <c r="F63" s="1"/>
      <c r="G63" s="24">
        <v>2.0</v>
      </c>
      <c r="H63" s="25" t="s">
        <v>84</v>
      </c>
      <c r="I63" s="16">
        <v>2.0</v>
      </c>
      <c r="J63" s="1" t="s">
        <v>25</v>
      </c>
      <c r="K63" s="24">
        <v>2.0</v>
      </c>
      <c r="L63" s="25" t="s">
        <v>27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3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</row>
    <row r="64">
      <c r="A64" s="3"/>
      <c r="B64" s="13" t="s">
        <v>60</v>
      </c>
      <c r="C64" s="1"/>
      <c r="D64" s="1"/>
      <c r="E64" s="1"/>
      <c r="F64" s="1"/>
      <c r="G64" s="24">
        <v>1.0</v>
      </c>
      <c r="H64" s="25" t="s">
        <v>84</v>
      </c>
      <c r="I64" s="16">
        <v>48.0</v>
      </c>
      <c r="J64" s="1" t="s">
        <v>25</v>
      </c>
      <c r="K64" s="24">
        <v>2.0</v>
      </c>
      <c r="L64" s="25" t="s">
        <v>27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3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>
      <c r="A65" s="3"/>
      <c r="B65" s="13" t="s">
        <v>93</v>
      </c>
      <c r="C65" s="1"/>
      <c r="D65" s="1"/>
      <c r="E65" s="1"/>
      <c r="F65" s="1"/>
      <c r="G65" s="24">
        <v>2.0</v>
      </c>
      <c r="H65" s="25" t="s">
        <v>84</v>
      </c>
      <c r="I65" s="16">
        <v>1.0</v>
      </c>
      <c r="J65" s="1"/>
      <c r="K65" s="94">
        <v>0.4</v>
      </c>
      <c r="L65" s="1" t="s">
        <v>27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3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3"/>
      <c r="AJ66" s="1"/>
      <c r="AK66" s="1"/>
      <c r="AL66" s="1"/>
      <c r="AM66" s="47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</row>
    <row r="67">
      <c r="A67" s="3"/>
      <c r="B67" s="4" t="s">
        <v>86</v>
      </c>
      <c r="C67" s="1"/>
      <c r="D67" s="1"/>
      <c r="E67" s="76" t="s">
        <v>185</v>
      </c>
      <c r="F67" s="77"/>
      <c r="G67" s="77"/>
      <c r="H67" s="77"/>
      <c r="J67" s="1"/>
      <c r="K67" s="88">
        <f>10^-3*G22</f>
        <v>1</v>
      </c>
      <c r="L67" s="117" t="s">
        <v>27</v>
      </c>
      <c r="M67" s="13" t="s">
        <v>186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3"/>
      <c r="AJ67" s="1"/>
      <c r="AK67" s="1"/>
      <c r="AL67" s="1"/>
      <c r="AM67" s="47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</row>
    <row r="68">
      <c r="A68" s="1"/>
      <c r="B68" s="1"/>
      <c r="C68" s="1"/>
      <c r="D68" s="1"/>
      <c r="E68" s="75" t="s">
        <v>101</v>
      </c>
      <c r="F68" s="1"/>
      <c r="G68" s="1"/>
      <c r="H68" s="1"/>
      <c r="I68" s="1"/>
      <c r="J68" s="1"/>
      <c r="K68" s="88">
        <f>0.1*G23</f>
        <v>4</v>
      </c>
      <c r="L68" s="117" t="s">
        <v>27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3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>
      <c r="A69" s="3"/>
      <c r="B69" s="4" t="s">
        <v>187</v>
      </c>
      <c r="C69" s="1"/>
      <c r="D69" s="24">
        <v>10.0</v>
      </c>
      <c r="E69" s="76" t="s">
        <v>188</v>
      </c>
      <c r="F69" s="77"/>
      <c r="G69" s="77"/>
      <c r="H69" s="77"/>
      <c r="I69" s="77"/>
      <c r="J69" s="1"/>
      <c r="K69" s="108">
        <f>0.5*D69</f>
        <v>5</v>
      </c>
      <c r="L69" s="25" t="s">
        <v>27</v>
      </c>
      <c r="M69" s="13" t="s">
        <v>189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3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</row>
    <row r="70">
      <c r="A70" s="3"/>
      <c r="B70" s="1"/>
      <c r="C70" s="1"/>
      <c r="D70" s="1"/>
      <c r="E70" s="76" t="s">
        <v>190</v>
      </c>
      <c r="F70" s="77"/>
      <c r="G70" s="77"/>
      <c r="H70" s="77"/>
      <c r="I70" s="77"/>
      <c r="J70" s="1"/>
      <c r="K70" s="24">
        <v>0.0</v>
      </c>
      <c r="L70" s="25" t="s">
        <v>27</v>
      </c>
      <c r="M70" s="13" t="s">
        <v>191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3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</row>
    <row r="71">
      <c r="A71" s="3"/>
      <c r="B71" s="1"/>
      <c r="C71" s="1"/>
      <c r="D71" s="1"/>
      <c r="E71" s="76" t="s">
        <v>192</v>
      </c>
      <c r="F71" s="77"/>
      <c r="G71" s="77"/>
      <c r="H71" s="77"/>
      <c r="I71" s="77"/>
      <c r="J71" s="1"/>
      <c r="K71" s="24">
        <f>D69/10</f>
        <v>1</v>
      </c>
      <c r="L71" s="25" t="s">
        <v>27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3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>
      <c r="A72" s="3"/>
      <c r="B72" s="1"/>
      <c r="C72" s="1"/>
      <c r="D72" s="1"/>
      <c r="E72" s="76" t="s">
        <v>193</v>
      </c>
      <c r="F72" s="77"/>
      <c r="G72" s="77"/>
      <c r="H72" s="77"/>
      <c r="I72" s="77"/>
      <c r="J72" s="1"/>
      <c r="K72" s="1"/>
      <c r="L72" s="1"/>
      <c r="M72" s="13" t="s">
        <v>194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3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>
      <c r="A73" s="3"/>
      <c r="B73" s="1"/>
      <c r="C73" s="1"/>
      <c r="D73" s="1"/>
      <c r="E73" s="76" t="s">
        <v>195</v>
      </c>
      <c r="F73" s="77"/>
      <c r="G73" s="77"/>
      <c r="H73" s="77"/>
      <c r="I73" s="77"/>
      <c r="J73" s="1"/>
      <c r="K73" s="24">
        <v>1.0</v>
      </c>
      <c r="L73" s="25" t="s">
        <v>27</v>
      </c>
      <c r="M73" s="75" t="s">
        <v>196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3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>
      <c r="A74" s="3"/>
      <c r="B74" s="4" t="s">
        <v>197</v>
      </c>
      <c r="C74" s="1"/>
      <c r="D74" s="1"/>
      <c r="E74" s="76" t="s">
        <v>198</v>
      </c>
      <c r="F74" s="77"/>
      <c r="G74" s="77"/>
      <c r="H74" s="77"/>
      <c r="I74" s="77"/>
      <c r="J74" s="1"/>
      <c r="K74" s="24">
        <f>AV44/100</f>
        <v>3.08</v>
      </c>
      <c r="L74" s="25" t="s">
        <v>27</v>
      </c>
      <c r="M74" s="75" t="s">
        <v>199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3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3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3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3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40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47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47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47"/>
      <c r="AL105" s="1"/>
      <c r="AM105" s="1"/>
      <c r="AN105" s="1"/>
      <c r="AO105" s="1"/>
      <c r="AP105" s="1"/>
      <c r="AQ105" s="1"/>
      <c r="AR105" s="1"/>
      <c r="AS105" s="47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47"/>
      <c r="AL106" s="1"/>
      <c r="AM106" s="1"/>
      <c r="AN106" s="1"/>
      <c r="AO106" s="1"/>
      <c r="AP106" s="1"/>
      <c r="AQ106" s="1"/>
      <c r="AR106" s="1"/>
      <c r="AS106" s="47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47"/>
      <c r="AL107" s="1"/>
      <c r="AM107" s="1"/>
      <c r="AN107" s="1"/>
      <c r="AO107" s="11"/>
      <c r="AP107" s="1"/>
      <c r="AQ107" s="1"/>
      <c r="AR107" s="1"/>
      <c r="AS107" s="47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</row>
  </sheetData>
  <mergeCells count="126">
    <mergeCell ref="AD5:AE5"/>
    <mergeCell ref="AD6:AE6"/>
    <mergeCell ref="P9:Q9"/>
    <mergeCell ref="H10:I10"/>
    <mergeCell ref="O10:P10"/>
    <mergeCell ref="Q10:R10"/>
    <mergeCell ref="AC10:AD10"/>
    <mergeCell ref="AC12:AD12"/>
    <mergeCell ref="BL13:BM13"/>
    <mergeCell ref="L10:M10"/>
    <mergeCell ref="O11:P11"/>
    <mergeCell ref="Q11:R11"/>
    <mergeCell ref="T11:U11"/>
    <mergeCell ref="AC11:AD11"/>
    <mergeCell ref="H12:I12"/>
    <mergeCell ref="T12:U12"/>
    <mergeCell ref="Y11:Z11"/>
    <mergeCell ref="Y12:Z12"/>
    <mergeCell ref="X16:Y16"/>
    <mergeCell ref="AB16:AC16"/>
    <mergeCell ref="X17:Y17"/>
    <mergeCell ref="AB17:AC17"/>
    <mergeCell ref="X18:Y18"/>
    <mergeCell ref="AB18:AC18"/>
    <mergeCell ref="V19:AC19"/>
    <mergeCell ref="V20:AC20"/>
    <mergeCell ref="Z25:AA25"/>
    <mergeCell ref="AC25:AD25"/>
    <mergeCell ref="AN41:AO41"/>
    <mergeCell ref="AN42:AO42"/>
    <mergeCell ref="AV42:AW42"/>
    <mergeCell ref="BC42:BD42"/>
    <mergeCell ref="AV43:AW43"/>
    <mergeCell ref="BC43:BD43"/>
    <mergeCell ref="AV44:AW44"/>
    <mergeCell ref="BC44:BD44"/>
    <mergeCell ref="AV45:AW45"/>
    <mergeCell ref="AN43:AO43"/>
    <mergeCell ref="AN44:AO44"/>
    <mergeCell ref="AN45:AO45"/>
    <mergeCell ref="AO48:AR48"/>
    <mergeCell ref="AO49:AP49"/>
    <mergeCell ref="AO50:AQ50"/>
    <mergeCell ref="AO51:AQ51"/>
    <mergeCell ref="AK60:AL60"/>
    <mergeCell ref="AK62:AL62"/>
    <mergeCell ref="AO52:AQ52"/>
    <mergeCell ref="AO53:AQ53"/>
    <mergeCell ref="AO54:AQ54"/>
    <mergeCell ref="AO55:AQ55"/>
    <mergeCell ref="U56:V56"/>
    <mergeCell ref="X56:Y56"/>
    <mergeCell ref="AO56:AP56"/>
    <mergeCell ref="BC45:BD45"/>
    <mergeCell ref="BG80:BH80"/>
    <mergeCell ref="AZ49:BA49"/>
    <mergeCell ref="AZ50:BA50"/>
    <mergeCell ref="AZ51:BA51"/>
    <mergeCell ref="AZ52:BA52"/>
    <mergeCell ref="AZ53:BA53"/>
    <mergeCell ref="AZ54:BA54"/>
    <mergeCell ref="AZ55:BA55"/>
    <mergeCell ref="L11:M11"/>
    <mergeCell ref="L12:M12"/>
    <mergeCell ref="G22:H22"/>
    <mergeCell ref="G23:H23"/>
    <mergeCell ref="J27:K27"/>
    <mergeCell ref="N27:O27"/>
    <mergeCell ref="N28:O28"/>
    <mergeCell ref="J32:K32"/>
    <mergeCell ref="J33:K33"/>
    <mergeCell ref="J36:K36"/>
    <mergeCell ref="J37:K37"/>
    <mergeCell ref="G43:H43"/>
    <mergeCell ref="H67:I67"/>
    <mergeCell ref="N33:O33"/>
    <mergeCell ref="N34:O34"/>
    <mergeCell ref="N35:O35"/>
    <mergeCell ref="N36:O36"/>
    <mergeCell ref="N37:O37"/>
    <mergeCell ref="N38:O38"/>
    <mergeCell ref="J28:K28"/>
    <mergeCell ref="J29:K29"/>
    <mergeCell ref="N29:O29"/>
    <mergeCell ref="J30:K30"/>
    <mergeCell ref="N30:O30"/>
    <mergeCell ref="N31:O31"/>
    <mergeCell ref="N32:O32"/>
    <mergeCell ref="X2:Y2"/>
    <mergeCell ref="X3:Y3"/>
    <mergeCell ref="AD3:AE3"/>
    <mergeCell ref="AL3:AM3"/>
    <mergeCell ref="X4:Y4"/>
    <mergeCell ref="AD4:AE4"/>
    <mergeCell ref="AL4:AM4"/>
    <mergeCell ref="E5:F5"/>
    <mergeCell ref="N5:O5"/>
    <mergeCell ref="X5:Y5"/>
    <mergeCell ref="AL5:AM5"/>
    <mergeCell ref="E6:F6"/>
    <mergeCell ref="N6:O6"/>
    <mergeCell ref="X6:Y6"/>
    <mergeCell ref="AL6:AM6"/>
    <mergeCell ref="T10:U10"/>
    <mergeCell ref="Y10:Z10"/>
    <mergeCell ref="AG10:AH10"/>
    <mergeCell ref="AL10:AM10"/>
    <mergeCell ref="O12:P12"/>
    <mergeCell ref="Q12:R12"/>
    <mergeCell ref="R16:S16"/>
    <mergeCell ref="R17:S17"/>
    <mergeCell ref="R18:S18"/>
    <mergeCell ref="AG17:AH17"/>
    <mergeCell ref="AG18:AH18"/>
    <mergeCell ref="AG19:AH19"/>
    <mergeCell ref="AL18:AM18"/>
    <mergeCell ref="AL19:AM19"/>
    <mergeCell ref="AL20:AM20"/>
    <mergeCell ref="AU20:AX20"/>
    <mergeCell ref="AG11:AH11"/>
    <mergeCell ref="AL11:AM11"/>
    <mergeCell ref="AG12:AH12"/>
    <mergeCell ref="AL12:AM12"/>
    <mergeCell ref="AG16:AH16"/>
    <mergeCell ref="AL16:AM16"/>
    <mergeCell ref="AL17:AM17"/>
  </mergeCells>
  <hyperlinks>
    <hyperlink r:id="rId2" ref="F2"/>
  </hyperlinks>
  <drawing r:id="rId3"/>
  <legacyDrawing r:id="rId4"/>
</worksheet>
</file>